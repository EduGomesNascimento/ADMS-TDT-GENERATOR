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EstaPastaDeTrabalho"/>
  <mc:AlternateContent xmlns:mc="http://schemas.openxmlformats.org/markup-compatibility/2006">
    <mc:Choice Requires="x15">
      <x15ac:absPath xmlns:x15ac="http://schemas.microsoft.com/office/spreadsheetml/2010/11/ac" url="C:\Users\Rafael\Downloads\"/>
    </mc:Choice>
  </mc:AlternateContent>
  <xr:revisionPtr revIDLastSave="0" documentId="13_ncr:1_{988C611B-DC63-4271-BB4F-2DE12F611ED2}" xr6:coauthVersionLast="47" xr6:coauthVersionMax="47" xr10:uidLastSave="{00000000-0000-0000-0000-000000000000}"/>
  <bookViews>
    <workbookView xWindow="22932" yWindow="-108" windowWidth="23256" windowHeight="13176" xr2:uid="{5549C4C9-1AFE-4CB5-BE56-4D93F444C675}"/>
  </bookViews>
  <sheets>
    <sheet name="DiscreteSignals" sheetId="2" r:id="rId1"/>
    <sheet name="AnalogSignals" sheetId="9" r:id="rId2"/>
    <sheet name="DE-&gt;PARA" sheetId="10" r:id="rId3"/>
    <sheet name="Severidades" sheetId="3" r:id="rId4"/>
    <sheet name="Information" sheetId="4" r:id="rId5"/>
    <sheet name="DMS Signal Explanation" sheetId="5" r:id="rId6"/>
    <sheet name="Message Mapping" sheetId="8" r:id="rId7"/>
    <sheet name="MANUT_DiscreteSignals" sheetId="7" r:id="rId8"/>
    <sheet name="Manut_AnalogSignals" sheetId="6" r:id="rId9"/>
  </sheets>
  <externalReferences>
    <externalReference r:id="rId10"/>
    <externalReference r:id="rId11"/>
    <externalReference r:id="rId12"/>
    <externalReference r:id="rId13"/>
  </externalReferences>
  <definedNames>
    <definedName name="_xlnm._FilterDatabase" localSheetId="1" hidden="1">AnalogSignals!$A$1:$H$1</definedName>
    <definedName name="_xlnm._FilterDatabase" localSheetId="2" hidden="1">'DE-&gt;PARA'!$A$1:$B$1</definedName>
    <definedName name="_xlnm._FilterDatabase" localSheetId="0" hidden="1">DiscreteSignals!$A$1:$P$693</definedName>
    <definedName name="_xlnm._FilterDatabase" localSheetId="8" hidden="1">Manut_AnalogSignals!$A$1:$C$11</definedName>
    <definedName name="_xlnm._FilterDatabase" localSheetId="7" hidden="1">MANUT_DiscreteSignals!$A$1:$I$21</definedName>
    <definedName name="AnalogName">OFFSET([1]AnalogName!$B$2,0,0,COUNTA([1]AnalogName!$B$2:$B$1048576),1)</definedName>
    <definedName name="AnalogSignalType">[2]Info!$L$28:$L$51</definedName>
    <definedName name="AOR">#REF!</definedName>
    <definedName name="AORgroup">#REF!</definedName>
    <definedName name="CauseOfTransmissionLength">#REF!</definedName>
    <definedName name="command">#REF!</definedName>
    <definedName name="CommandQualifier">#REF!</definedName>
    <definedName name="CommandTriggersFastScan">#REF!</definedName>
    <definedName name="commT">#REF!</definedName>
    <definedName name="datatype">#REF!</definedName>
    <definedName name="DataType_">#REF!</definedName>
    <definedName name="DeadbandType">#REF!</definedName>
    <definedName name="direction">#REF!</definedName>
    <definedName name="Direction_">#REF!</definedName>
    <definedName name="display">#REF!</definedName>
    <definedName name="DisplayUnit">#REF!</definedName>
    <definedName name="FalseTrue">#REF!</definedName>
    <definedName name="flowd">#REF!</definedName>
    <definedName name="FlowDirection">#REF!</definedName>
    <definedName name="measurement">#REF!</definedName>
    <definedName name="MeasurementType">#REF!</definedName>
    <definedName name="N">#REF!</definedName>
    <definedName name="phases">#REF!</definedName>
    <definedName name="Phases_">#REF!</definedName>
    <definedName name="protocol">#REF!</definedName>
    <definedName name="qualifier">#REF!</definedName>
    <definedName name="ratedata">#REF!</definedName>
    <definedName name="RateType">#REF!</definedName>
    <definedName name="RemotePointType">#REF!</definedName>
    <definedName name="RemoteSource">#REF!</definedName>
    <definedName name="RemoteUnitType">#REF!</definedName>
    <definedName name="role">#REF!</definedName>
    <definedName name="RTU">#REF!</definedName>
    <definedName name="rtype">#REF!</definedName>
    <definedName name="sbo">#REF!</definedName>
    <definedName name="SelectBeforeOperate">#REF!</definedName>
    <definedName name="servicerole">#REF!</definedName>
    <definedName name="ServiceRole_">#REF!</definedName>
    <definedName name="SignalsType">#REF!</definedName>
    <definedName name="signaltype">#REF!</definedName>
    <definedName name="source">#REF!</definedName>
    <definedName name="stype">#REF!</definedName>
    <definedName name="TF">#REF!</definedName>
    <definedName name="Time_Zone">#REF!</definedName>
    <definedName name="TimeSyncMode">#REF!</definedName>
    <definedName name="timezone">#REF!</definedName>
    <definedName name="transmission">#REF!</definedName>
    <definedName name="type">#REF!</definedName>
    <definedName name="typedata">#REF!</definedName>
    <definedName name="type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43" i="2" l="1"/>
  <c r="H243" i="2"/>
  <c r="G243" i="2"/>
  <c r="H206" i="2"/>
  <c r="G206" i="2"/>
  <c r="H205" i="2"/>
  <c r="G205" i="2"/>
  <c r="H204" i="2"/>
  <c r="G204" i="2"/>
  <c r="H203" i="2"/>
  <c r="G203" i="2"/>
  <c r="H288" i="2"/>
  <c r="G288" i="2"/>
  <c r="H287" i="2"/>
  <c r="G287" i="2"/>
  <c r="J3" i="2"/>
  <c r="H3" i="2"/>
  <c r="G3" i="2"/>
  <c r="H244" i="2" l="1"/>
  <c r="G244" i="2"/>
  <c r="H692" i="2"/>
  <c r="G692" i="2"/>
  <c r="H500" i="2"/>
  <c r="G500" i="2"/>
  <c r="H668" i="2"/>
  <c r="G668" i="2"/>
  <c r="H669" i="2"/>
  <c r="G669" i="2"/>
  <c r="H498" i="2" l="1"/>
  <c r="G498" i="2"/>
  <c r="H499" i="2"/>
  <c r="G499" i="2"/>
  <c r="H679" i="2"/>
  <c r="G679" i="2"/>
  <c r="H678" i="2"/>
  <c r="G678" i="2"/>
  <c r="H677" i="2"/>
  <c r="G677" i="2"/>
  <c r="H676" i="2"/>
  <c r="G676" i="2"/>
  <c r="H691" i="2"/>
  <c r="G691" i="2"/>
  <c r="H690" i="2"/>
  <c r="G690" i="2"/>
  <c r="H689" i="2"/>
  <c r="G689" i="2"/>
  <c r="H688" i="2"/>
  <c r="G688" i="2"/>
  <c r="H434" i="2"/>
  <c r="G434" i="2"/>
  <c r="H687" i="2"/>
  <c r="G687" i="2"/>
  <c r="H686" i="2"/>
  <c r="G686" i="2"/>
  <c r="H418" i="2" l="1"/>
  <c r="G418" i="2"/>
  <c r="H492" i="2" l="1"/>
  <c r="G492" i="2"/>
  <c r="H353" i="2" l="1"/>
  <c r="G353" i="2"/>
  <c r="G666" i="2"/>
  <c r="H666" i="2"/>
  <c r="H4" i="2" l="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348"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71" i="2"/>
  <c r="H349" i="2"/>
  <c r="H350" i="2"/>
  <c r="H351" i="2"/>
  <c r="H352" i="2"/>
  <c r="H354" i="2"/>
  <c r="H355" i="2"/>
  <c r="H356" i="2"/>
  <c r="H357" i="2"/>
  <c r="H358" i="2"/>
  <c r="H359" i="2"/>
  <c r="H360" i="2"/>
  <c r="H361" i="2"/>
  <c r="H362" i="2"/>
  <c r="H363" i="2"/>
  <c r="H364" i="2"/>
  <c r="H365" i="2"/>
  <c r="H366" i="2"/>
  <c r="H367" i="2"/>
  <c r="H368" i="2"/>
  <c r="H369" i="2"/>
  <c r="H370" i="2"/>
  <c r="H436"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9" i="2"/>
  <c r="H420" i="2"/>
  <c r="H421" i="2"/>
  <c r="H422" i="2"/>
  <c r="H423" i="2"/>
  <c r="H424" i="2"/>
  <c r="H425" i="2"/>
  <c r="H426" i="2"/>
  <c r="H427" i="2"/>
  <c r="H428" i="2"/>
  <c r="H429" i="2"/>
  <c r="H430" i="2"/>
  <c r="H431" i="2"/>
  <c r="H432" i="2"/>
  <c r="H433" i="2"/>
  <c r="H435" i="2"/>
  <c r="H453" i="2"/>
  <c r="H437" i="2"/>
  <c r="H438" i="2"/>
  <c r="H439" i="2"/>
  <c r="H440" i="2"/>
  <c r="H441" i="2"/>
  <c r="H442" i="2"/>
  <c r="H443" i="2"/>
  <c r="H444" i="2"/>
  <c r="H445" i="2"/>
  <c r="H446" i="2"/>
  <c r="H447" i="2"/>
  <c r="H448" i="2"/>
  <c r="H449" i="2"/>
  <c r="H450" i="2"/>
  <c r="H451" i="2"/>
  <c r="H452" i="2"/>
  <c r="H473" i="2"/>
  <c r="H454" i="2"/>
  <c r="H455" i="2"/>
  <c r="H456" i="2"/>
  <c r="H457" i="2"/>
  <c r="H458" i="2"/>
  <c r="H459" i="2"/>
  <c r="H460" i="2"/>
  <c r="H461" i="2"/>
  <c r="H462" i="2"/>
  <c r="H463" i="2"/>
  <c r="H464" i="2"/>
  <c r="H465" i="2"/>
  <c r="H466" i="2"/>
  <c r="H467" i="2"/>
  <c r="H468" i="2"/>
  <c r="H469" i="2"/>
  <c r="H470" i="2"/>
  <c r="H471" i="2"/>
  <c r="H472" i="2"/>
  <c r="H526" i="2"/>
  <c r="H474" i="2"/>
  <c r="H475" i="2"/>
  <c r="H476" i="2"/>
  <c r="H477" i="2"/>
  <c r="H478" i="2"/>
  <c r="H479" i="2"/>
  <c r="H480" i="2"/>
  <c r="H481" i="2"/>
  <c r="H482" i="2"/>
  <c r="H483" i="2"/>
  <c r="H484" i="2"/>
  <c r="H485" i="2"/>
  <c r="H486" i="2"/>
  <c r="H487" i="2"/>
  <c r="H488" i="2"/>
  <c r="H489" i="2"/>
  <c r="H490" i="2"/>
  <c r="H491" i="2"/>
  <c r="H493" i="2"/>
  <c r="H494" i="2"/>
  <c r="H495" i="2"/>
  <c r="H496" i="2"/>
  <c r="H497"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602"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3" i="2"/>
  <c r="H604" i="2"/>
  <c r="H605" i="2"/>
  <c r="H606" i="2"/>
  <c r="H607" i="2"/>
  <c r="H608" i="2"/>
  <c r="H609" i="2"/>
  <c r="H610" i="2"/>
  <c r="H611" i="2"/>
  <c r="H612" i="2"/>
  <c r="H613" i="2"/>
  <c r="H64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53" i="2"/>
  <c r="H644" i="2"/>
  <c r="H645" i="2"/>
  <c r="H646" i="2"/>
  <c r="H647" i="2"/>
  <c r="H648" i="2"/>
  <c r="H649" i="2"/>
  <c r="H650" i="2"/>
  <c r="H651" i="2"/>
  <c r="H652" i="2"/>
  <c r="H667" i="2"/>
  <c r="H654" i="2"/>
  <c r="H655" i="2"/>
  <c r="H656" i="2"/>
  <c r="H657" i="2"/>
  <c r="H658" i="2"/>
  <c r="H659" i="2"/>
  <c r="H660" i="2"/>
  <c r="H661" i="2"/>
  <c r="H662" i="2"/>
  <c r="H663" i="2"/>
  <c r="H664" i="2"/>
  <c r="H665" i="2"/>
  <c r="H693" i="2"/>
  <c r="H670" i="2"/>
  <c r="H671" i="2"/>
  <c r="H672" i="2"/>
  <c r="H673" i="2"/>
  <c r="H674" i="2"/>
  <c r="H675" i="2"/>
  <c r="H680" i="2"/>
  <c r="H681" i="2"/>
  <c r="H682" i="2"/>
  <c r="H683" i="2"/>
  <c r="H684" i="2"/>
  <c r="H685" i="2"/>
  <c r="H2"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348"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71" i="2"/>
  <c r="G349" i="2"/>
  <c r="G350" i="2"/>
  <c r="G351" i="2"/>
  <c r="G352" i="2"/>
  <c r="G354" i="2"/>
  <c r="G355" i="2"/>
  <c r="G356" i="2"/>
  <c r="G357" i="2"/>
  <c r="G358" i="2"/>
  <c r="G359" i="2"/>
  <c r="G360" i="2"/>
  <c r="G361" i="2"/>
  <c r="G362" i="2"/>
  <c r="G363" i="2"/>
  <c r="G364" i="2"/>
  <c r="G365" i="2"/>
  <c r="G366" i="2"/>
  <c r="G367" i="2"/>
  <c r="G368" i="2"/>
  <c r="G369" i="2"/>
  <c r="G370" i="2"/>
  <c r="G436"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9" i="2"/>
  <c r="G420" i="2"/>
  <c r="G421" i="2"/>
  <c r="G422" i="2"/>
  <c r="G423" i="2"/>
  <c r="G424" i="2"/>
  <c r="G425" i="2"/>
  <c r="G426" i="2"/>
  <c r="G427" i="2"/>
  <c r="G428" i="2"/>
  <c r="G429" i="2"/>
  <c r="G430" i="2"/>
  <c r="G431" i="2"/>
  <c r="G432" i="2"/>
  <c r="G433" i="2"/>
  <c r="G435" i="2"/>
  <c r="G453" i="2"/>
  <c r="G437" i="2"/>
  <c r="G438" i="2"/>
  <c r="G439" i="2"/>
  <c r="G440" i="2"/>
  <c r="G441" i="2"/>
  <c r="G442" i="2"/>
  <c r="G443" i="2"/>
  <c r="G444" i="2"/>
  <c r="G445" i="2"/>
  <c r="G446" i="2"/>
  <c r="G447" i="2"/>
  <c r="G448" i="2"/>
  <c r="G449" i="2"/>
  <c r="G450" i="2"/>
  <c r="G451" i="2"/>
  <c r="G452" i="2"/>
  <c r="G473" i="2"/>
  <c r="G454" i="2"/>
  <c r="G455" i="2"/>
  <c r="G456" i="2"/>
  <c r="G457" i="2"/>
  <c r="G458" i="2"/>
  <c r="G459" i="2"/>
  <c r="G460" i="2"/>
  <c r="G461" i="2"/>
  <c r="G462" i="2"/>
  <c r="G463" i="2"/>
  <c r="G464" i="2"/>
  <c r="G465" i="2"/>
  <c r="G466" i="2"/>
  <c r="G467" i="2"/>
  <c r="G468" i="2"/>
  <c r="G469" i="2"/>
  <c r="G470" i="2"/>
  <c r="G471" i="2"/>
  <c r="G472" i="2"/>
  <c r="G526" i="2"/>
  <c r="G474" i="2"/>
  <c r="G475" i="2"/>
  <c r="G476" i="2"/>
  <c r="G477" i="2"/>
  <c r="G478" i="2"/>
  <c r="G479" i="2"/>
  <c r="G480" i="2"/>
  <c r="G481" i="2"/>
  <c r="G482" i="2"/>
  <c r="G483" i="2"/>
  <c r="G484" i="2"/>
  <c r="G485" i="2"/>
  <c r="G486" i="2"/>
  <c r="G487" i="2"/>
  <c r="G488" i="2"/>
  <c r="G489" i="2"/>
  <c r="G490" i="2"/>
  <c r="G491" i="2"/>
  <c r="G493" i="2"/>
  <c r="G494" i="2"/>
  <c r="G495" i="2"/>
  <c r="G496" i="2"/>
  <c r="G497"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602"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3" i="2"/>
  <c r="G604" i="2"/>
  <c r="G605" i="2"/>
  <c r="G606" i="2"/>
  <c r="G607" i="2"/>
  <c r="G608" i="2"/>
  <c r="G609" i="2"/>
  <c r="G610" i="2"/>
  <c r="G611" i="2"/>
  <c r="G612" i="2"/>
  <c r="G613" i="2"/>
  <c r="G64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53" i="2"/>
  <c r="G644" i="2"/>
  <c r="G645" i="2"/>
  <c r="G646" i="2"/>
  <c r="G647" i="2"/>
  <c r="G648" i="2"/>
  <c r="G649" i="2"/>
  <c r="G650" i="2"/>
  <c r="G651" i="2"/>
  <c r="G652" i="2"/>
  <c r="G667" i="2"/>
  <c r="G654" i="2"/>
  <c r="G655" i="2"/>
  <c r="G656" i="2"/>
  <c r="G657" i="2"/>
  <c r="G658" i="2"/>
  <c r="G659" i="2"/>
  <c r="G660" i="2"/>
  <c r="G661" i="2"/>
  <c r="G662" i="2"/>
  <c r="G663" i="2"/>
  <c r="G664" i="2"/>
  <c r="G665" i="2"/>
  <c r="G693" i="2"/>
  <c r="G670" i="2"/>
  <c r="G671" i="2"/>
  <c r="G672" i="2"/>
  <c r="G673" i="2"/>
  <c r="G674" i="2"/>
  <c r="G675" i="2"/>
  <c r="G680" i="2"/>
  <c r="G681" i="2"/>
  <c r="G682" i="2"/>
  <c r="G683" i="2"/>
  <c r="G684" i="2"/>
  <c r="G685" i="2"/>
  <c r="G2" i="2"/>
  <c r="L809" i="8"/>
  <c r="J282" i="2" s="1"/>
  <c r="L808" i="8"/>
  <c r="J296" i="2" s="1"/>
  <c r="L807" i="8"/>
  <c r="J88" i="2" s="1"/>
  <c r="L806" i="8"/>
  <c r="L805" i="8"/>
  <c r="L804" i="8"/>
  <c r="L803" i="8"/>
  <c r="L802" i="8"/>
  <c r="L801" i="8"/>
  <c r="L800" i="8"/>
  <c r="L799" i="8"/>
  <c r="L798" i="8"/>
  <c r="L797" i="8"/>
  <c r="L796" i="8"/>
  <c r="L795" i="8"/>
  <c r="L794" i="8"/>
  <c r="L793" i="8"/>
  <c r="L792" i="8"/>
  <c r="L791" i="8"/>
  <c r="L790" i="8"/>
  <c r="L789" i="8"/>
  <c r="L788" i="8"/>
  <c r="L787" i="8"/>
  <c r="L786" i="8"/>
  <c r="L785" i="8"/>
  <c r="L784" i="8"/>
  <c r="L783" i="8"/>
  <c r="L782" i="8"/>
  <c r="J96" i="2" s="1"/>
  <c r="L781" i="8"/>
  <c r="L780" i="8"/>
  <c r="L779" i="8"/>
  <c r="L778" i="8"/>
  <c r="L777" i="8"/>
  <c r="J350" i="2" s="1"/>
  <c r="L776" i="8"/>
  <c r="L775" i="8"/>
  <c r="L774" i="8"/>
  <c r="L773" i="8"/>
  <c r="L772" i="8"/>
  <c r="L771" i="8"/>
  <c r="L770" i="8"/>
  <c r="J615" i="2" s="1"/>
  <c r="L769" i="8"/>
  <c r="L768" i="8"/>
  <c r="L767" i="8"/>
  <c r="J685" i="2" s="1"/>
  <c r="L766" i="8"/>
  <c r="L765" i="8"/>
  <c r="L764" i="8"/>
  <c r="L763" i="8"/>
  <c r="L762" i="8"/>
  <c r="L761" i="8"/>
  <c r="L760" i="8"/>
  <c r="L759" i="8"/>
  <c r="L758" i="8"/>
  <c r="L757" i="8"/>
  <c r="L756" i="8"/>
  <c r="L755" i="8"/>
  <c r="L754" i="8"/>
  <c r="L753" i="8"/>
  <c r="L752" i="8"/>
  <c r="L751" i="8"/>
  <c r="L750" i="8"/>
  <c r="L749" i="8"/>
  <c r="L748" i="8"/>
  <c r="L747" i="8"/>
  <c r="J557" i="2" s="1"/>
  <c r="L746" i="8"/>
  <c r="L745" i="8"/>
  <c r="L744" i="8"/>
  <c r="L743" i="8"/>
  <c r="L742" i="8"/>
  <c r="L741" i="8"/>
  <c r="L740" i="8"/>
  <c r="J290" i="2" s="1"/>
  <c r="L739" i="8"/>
  <c r="J292" i="2" s="1"/>
  <c r="L738" i="8"/>
  <c r="L737" i="8"/>
  <c r="L736" i="8"/>
  <c r="L735" i="8"/>
  <c r="L734" i="8"/>
  <c r="L733" i="8"/>
  <c r="L732" i="8"/>
  <c r="L731" i="8"/>
  <c r="J68" i="2" s="1"/>
  <c r="L730" i="8"/>
  <c r="L729" i="8"/>
  <c r="L728" i="8"/>
  <c r="L727" i="8"/>
  <c r="L726" i="8"/>
  <c r="L725" i="8"/>
  <c r="L724" i="8"/>
  <c r="L723" i="8"/>
  <c r="L722" i="8"/>
  <c r="L721" i="8"/>
  <c r="L720" i="8"/>
  <c r="L719" i="8"/>
  <c r="L718" i="8"/>
  <c r="L717" i="8"/>
  <c r="L716" i="8"/>
  <c r="L715" i="8"/>
  <c r="L714" i="8"/>
  <c r="L713" i="8"/>
  <c r="L712" i="8"/>
  <c r="L711" i="8"/>
  <c r="L710" i="8"/>
  <c r="J684" i="2" s="1"/>
  <c r="L709" i="8"/>
  <c r="L708" i="8"/>
  <c r="J91" i="2" s="1"/>
  <c r="L707" i="8"/>
  <c r="J87" i="2" s="1"/>
  <c r="L706" i="8"/>
  <c r="L705" i="8"/>
  <c r="L704" i="8"/>
  <c r="L703" i="8"/>
  <c r="L702" i="8"/>
  <c r="L701" i="8"/>
  <c r="L700" i="8"/>
  <c r="L699" i="8"/>
  <c r="J352" i="2" s="1"/>
  <c r="L698" i="8"/>
  <c r="L697" i="8"/>
  <c r="L696" i="8"/>
  <c r="L695" i="8"/>
  <c r="L694" i="8"/>
  <c r="L693" i="8"/>
  <c r="L692" i="8"/>
  <c r="L691" i="8"/>
  <c r="L690" i="8"/>
  <c r="L689" i="8"/>
  <c r="L688" i="8"/>
  <c r="L687" i="8"/>
  <c r="L686" i="8"/>
  <c r="L685" i="8"/>
  <c r="J387" i="2" s="1"/>
  <c r="L684" i="8"/>
  <c r="L683" i="8"/>
  <c r="L682" i="8"/>
  <c r="J388" i="2" s="1"/>
  <c r="L681" i="8"/>
  <c r="J226" i="2" s="1"/>
  <c r="L680" i="8"/>
  <c r="J227" i="2" s="1"/>
  <c r="L679" i="8"/>
  <c r="L678" i="8"/>
  <c r="L677" i="8"/>
  <c r="L676" i="8"/>
  <c r="L675" i="8"/>
  <c r="L674" i="8"/>
  <c r="L673" i="8"/>
  <c r="L672" i="8"/>
  <c r="L671" i="8"/>
  <c r="L670" i="8"/>
  <c r="L669" i="8"/>
  <c r="L668" i="8"/>
  <c r="L667" i="8"/>
  <c r="L666" i="8"/>
  <c r="L665" i="8"/>
  <c r="J354" i="2" s="1"/>
  <c r="L664" i="8"/>
  <c r="L663" i="8"/>
  <c r="L662" i="8"/>
  <c r="L661" i="8"/>
  <c r="L660" i="8"/>
  <c r="L659" i="8"/>
  <c r="L658" i="8"/>
  <c r="L657" i="8"/>
  <c r="L656" i="8"/>
  <c r="J546" i="2" s="1"/>
  <c r="L655" i="8"/>
  <c r="L654" i="8"/>
  <c r="L653" i="8"/>
  <c r="L652" i="8"/>
  <c r="L651" i="8"/>
  <c r="L650" i="8"/>
  <c r="L649" i="8"/>
  <c r="L648" i="8"/>
  <c r="L647" i="8"/>
  <c r="L646" i="8"/>
  <c r="L645" i="8"/>
  <c r="L644" i="8"/>
  <c r="L643" i="8"/>
  <c r="L642" i="8"/>
  <c r="L641" i="8"/>
  <c r="L640" i="8"/>
  <c r="J547" i="2" s="1"/>
  <c r="L639" i="8"/>
  <c r="L638" i="8"/>
  <c r="J602" i="2" s="1"/>
  <c r="L637" i="8"/>
  <c r="L636" i="8"/>
  <c r="L635" i="8"/>
  <c r="J380" i="2" s="1"/>
  <c r="L634" i="8"/>
  <c r="L633" i="8"/>
  <c r="L632" i="8"/>
  <c r="L631" i="8"/>
  <c r="L630" i="8"/>
  <c r="J230" i="2" s="1"/>
  <c r="L629" i="8"/>
  <c r="L628" i="8"/>
  <c r="L627" i="8"/>
  <c r="L626" i="8"/>
  <c r="J552" i="2" s="1"/>
  <c r="L625" i="8"/>
  <c r="L624" i="8"/>
  <c r="L623" i="8"/>
  <c r="L622" i="8"/>
  <c r="L621" i="8"/>
  <c r="J384" i="2" s="1"/>
  <c r="L620" i="8"/>
  <c r="L619" i="8"/>
  <c r="J594" i="2" s="1"/>
  <c r="L618" i="8"/>
  <c r="L617" i="8"/>
  <c r="L616" i="8"/>
  <c r="L615" i="8"/>
  <c r="L614" i="8"/>
  <c r="L613" i="8"/>
  <c r="L612" i="8"/>
  <c r="L611" i="8"/>
  <c r="L610" i="8"/>
  <c r="L609" i="8"/>
  <c r="L608" i="8"/>
  <c r="L607" i="8"/>
  <c r="L606" i="8"/>
  <c r="L605" i="8"/>
  <c r="L604" i="8"/>
  <c r="L603" i="8"/>
  <c r="L602" i="8"/>
  <c r="L601" i="8"/>
  <c r="L600" i="8"/>
  <c r="L599" i="8"/>
  <c r="L598" i="8"/>
  <c r="L597" i="8"/>
  <c r="J398" i="2" s="1"/>
  <c r="L596" i="8"/>
  <c r="L595" i="8"/>
  <c r="L594" i="8"/>
  <c r="L593" i="8"/>
  <c r="L592" i="8"/>
  <c r="L591" i="8"/>
  <c r="L590" i="8"/>
  <c r="L589" i="8"/>
  <c r="L588" i="8"/>
  <c r="L587" i="8"/>
  <c r="L586" i="8"/>
  <c r="L585" i="8"/>
  <c r="L584" i="8"/>
  <c r="L583" i="8"/>
  <c r="L582" i="8"/>
  <c r="L581" i="8"/>
  <c r="L580" i="8"/>
  <c r="L579" i="8"/>
  <c r="L578" i="8"/>
  <c r="L577" i="8"/>
  <c r="L576" i="8"/>
  <c r="L575" i="8"/>
  <c r="L574" i="8"/>
  <c r="L573" i="8"/>
  <c r="L572" i="8"/>
  <c r="L571" i="8"/>
  <c r="L570" i="8"/>
  <c r="L569" i="8"/>
  <c r="L568" i="8"/>
  <c r="L567" i="8"/>
  <c r="J600" i="2" s="1"/>
  <c r="L566" i="8"/>
  <c r="L565" i="8"/>
  <c r="L564" i="8"/>
  <c r="L563" i="8"/>
  <c r="L562" i="8"/>
  <c r="J379" i="2" s="1"/>
  <c r="L561" i="8"/>
  <c r="L560" i="8"/>
  <c r="L559" i="8"/>
  <c r="L558" i="8"/>
  <c r="L557" i="8"/>
  <c r="L556" i="8"/>
  <c r="L555" i="8"/>
  <c r="L554" i="8"/>
  <c r="L553" i="8"/>
  <c r="J244" i="2" s="1"/>
  <c r="L552" i="8"/>
  <c r="L551" i="8"/>
  <c r="L550" i="8"/>
  <c r="L549" i="8"/>
  <c r="L548" i="8"/>
  <c r="L547" i="8"/>
  <c r="L546" i="8"/>
  <c r="L545" i="8"/>
  <c r="L544" i="8"/>
  <c r="L543" i="8"/>
  <c r="J658" i="2" s="1"/>
  <c r="L542" i="8"/>
  <c r="L541" i="8"/>
  <c r="L540" i="8"/>
  <c r="L539" i="8"/>
  <c r="L538" i="8"/>
  <c r="L537" i="8"/>
  <c r="L536" i="8"/>
  <c r="L535" i="8"/>
  <c r="L534" i="8"/>
  <c r="L533" i="8"/>
  <c r="L532" i="8"/>
  <c r="L531" i="8"/>
  <c r="L530" i="8"/>
  <c r="L529" i="8"/>
  <c r="L528" i="8"/>
  <c r="L527" i="8"/>
  <c r="L526" i="8"/>
  <c r="L525" i="8"/>
  <c r="L524" i="8"/>
  <c r="L523" i="8"/>
  <c r="L522" i="8"/>
  <c r="L521" i="8"/>
  <c r="L520" i="8"/>
  <c r="L519" i="8"/>
  <c r="L518" i="8"/>
  <c r="J362" i="2" s="1"/>
  <c r="L517" i="8"/>
  <c r="L516" i="8"/>
  <c r="L515" i="8"/>
  <c r="L514" i="8"/>
  <c r="L513" i="8"/>
  <c r="L512" i="8"/>
  <c r="L511" i="8"/>
  <c r="L510" i="8"/>
  <c r="L509" i="8"/>
  <c r="L508" i="8"/>
  <c r="L507" i="8"/>
  <c r="L506" i="8"/>
  <c r="J558" i="2" s="1"/>
  <c r="L505" i="8"/>
  <c r="J582" i="2" s="1"/>
  <c r="L504" i="8"/>
  <c r="L503" i="8"/>
  <c r="J662" i="2" s="1"/>
  <c r="L502" i="8"/>
  <c r="L501" i="8"/>
  <c r="L500" i="8"/>
  <c r="L499" i="8"/>
  <c r="L498" i="8"/>
  <c r="L497" i="8"/>
  <c r="L496" i="8"/>
  <c r="L495" i="8"/>
  <c r="L494" i="8"/>
  <c r="L493" i="8"/>
  <c r="L492" i="8"/>
  <c r="L491" i="8"/>
  <c r="L490" i="8"/>
  <c r="L489" i="8"/>
  <c r="L488" i="8"/>
  <c r="L487" i="8"/>
  <c r="L486" i="8"/>
  <c r="L485" i="8"/>
  <c r="L484" i="8"/>
  <c r="L483" i="8"/>
  <c r="L482" i="8"/>
  <c r="L481" i="8"/>
  <c r="L480" i="8"/>
  <c r="L479" i="8"/>
  <c r="L478" i="8"/>
  <c r="L477" i="8"/>
  <c r="L476" i="8"/>
  <c r="L475" i="8"/>
  <c r="J622" i="2" s="1"/>
  <c r="L474" i="8"/>
  <c r="L473" i="8"/>
  <c r="J623" i="2" s="1"/>
  <c r="L472" i="8"/>
  <c r="L471" i="8"/>
  <c r="L470" i="8"/>
  <c r="L469" i="8"/>
  <c r="L468" i="8"/>
  <c r="L467" i="8"/>
  <c r="L466" i="8"/>
  <c r="L465" i="8"/>
  <c r="L464" i="8"/>
  <c r="L463" i="8"/>
  <c r="L462" i="8"/>
  <c r="L461" i="8"/>
  <c r="L460" i="8"/>
  <c r="L459" i="8"/>
  <c r="L458" i="8"/>
  <c r="L457" i="8"/>
  <c r="L456" i="8"/>
  <c r="L455" i="8"/>
  <c r="L454" i="8"/>
  <c r="L453" i="8"/>
  <c r="L452" i="8"/>
  <c r="L451" i="8"/>
  <c r="L450" i="8"/>
  <c r="L449" i="8"/>
  <c r="L448" i="8"/>
  <c r="L447" i="8"/>
  <c r="L446" i="8"/>
  <c r="L445" i="8"/>
  <c r="L444" i="8"/>
  <c r="L443" i="8"/>
  <c r="L442" i="8"/>
  <c r="L441" i="8"/>
  <c r="J543" i="2" s="1"/>
  <c r="L440" i="8"/>
  <c r="L439" i="8"/>
  <c r="L438" i="8"/>
  <c r="J544" i="2" s="1"/>
  <c r="L437" i="8"/>
  <c r="L436" i="8"/>
  <c r="L435" i="8"/>
  <c r="L434" i="8"/>
  <c r="L433" i="8"/>
  <c r="L432" i="8"/>
  <c r="L431" i="8"/>
  <c r="L430" i="8"/>
  <c r="L429" i="8"/>
  <c r="L428" i="8"/>
  <c r="L427" i="8"/>
  <c r="L426" i="8"/>
  <c r="L425" i="8"/>
  <c r="L424" i="8"/>
  <c r="L423" i="8"/>
  <c r="L422" i="8"/>
  <c r="L421" i="8"/>
  <c r="L420" i="8"/>
  <c r="L419" i="8"/>
  <c r="J346" i="2" s="1"/>
  <c r="L418" i="8"/>
  <c r="L417" i="8"/>
  <c r="J545" i="2" s="1"/>
  <c r="L416" i="8"/>
  <c r="L415" i="8"/>
  <c r="L414" i="8"/>
  <c r="L413" i="8"/>
  <c r="L412" i="8"/>
  <c r="L411" i="8"/>
  <c r="L410" i="8"/>
  <c r="J680" i="2" s="1"/>
  <c r="L409" i="8"/>
  <c r="J633" i="2" s="1"/>
  <c r="L408" i="8"/>
  <c r="L407" i="8"/>
  <c r="L406" i="8"/>
  <c r="L405" i="8"/>
  <c r="L404" i="8"/>
  <c r="L403" i="8"/>
  <c r="L402" i="8"/>
  <c r="L401" i="8"/>
  <c r="L400" i="8"/>
  <c r="L399" i="8"/>
  <c r="L398" i="8"/>
  <c r="L397" i="8"/>
  <c r="L396" i="8"/>
  <c r="L395" i="8"/>
  <c r="L394" i="8"/>
  <c r="L393" i="8"/>
  <c r="L392" i="8"/>
  <c r="L391" i="8"/>
  <c r="L390" i="8"/>
  <c r="L389" i="8"/>
  <c r="L388" i="8"/>
  <c r="L387" i="8"/>
  <c r="L386" i="8"/>
  <c r="L385" i="8"/>
  <c r="J386" i="2" s="1"/>
  <c r="L384" i="8"/>
  <c r="J598" i="2" s="1"/>
  <c r="L383" i="8"/>
  <c r="L382" i="8"/>
  <c r="J328" i="2" s="1"/>
  <c r="L381" i="8"/>
  <c r="J329" i="2" s="1"/>
  <c r="L380" i="8"/>
  <c r="L379" i="8"/>
  <c r="J534" i="2" s="1"/>
  <c r="L378" i="8"/>
  <c r="L377" i="8"/>
  <c r="L376" i="8"/>
  <c r="L375" i="8"/>
  <c r="L374" i="8"/>
  <c r="L373" i="8"/>
  <c r="L372" i="8"/>
  <c r="L371" i="8"/>
  <c r="L370" i="8"/>
  <c r="L369" i="8"/>
  <c r="L368" i="8"/>
  <c r="L367" i="8"/>
  <c r="L366" i="8"/>
  <c r="L365" i="8"/>
  <c r="L364" i="8"/>
  <c r="L363" i="8"/>
  <c r="L362" i="8"/>
  <c r="L361" i="8"/>
  <c r="L360" i="8"/>
  <c r="L359" i="8"/>
  <c r="L358" i="8"/>
  <c r="L357" i="8"/>
  <c r="L356" i="8"/>
  <c r="L355" i="8"/>
  <c r="J657" i="2" s="1"/>
  <c r="L354" i="8"/>
  <c r="J654" i="2" s="1"/>
  <c r="L353" i="8"/>
  <c r="J644" i="2" s="1"/>
  <c r="L352" i="8"/>
  <c r="J2" i="2" s="1"/>
  <c r="L351" i="8"/>
  <c r="L350" i="8"/>
  <c r="L349" i="8"/>
  <c r="L348" i="8"/>
  <c r="J613" i="2" s="1"/>
  <c r="L347" i="8"/>
  <c r="L346" i="8"/>
  <c r="L345" i="8"/>
  <c r="L344" i="8"/>
  <c r="L343" i="8"/>
  <c r="L342" i="8"/>
  <c r="L341" i="8"/>
  <c r="L340" i="8"/>
  <c r="L339" i="8"/>
  <c r="L338" i="8"/>
  <c r="L337" i="8"/>
  <c r="L336" i="8"/>
  <c r="L335" i="8"/>
  <c r="L334" i="8"/>
  <c r="L333" i="8"/>
  <c r="L332" i="8"/>
  <c r="L331" i="8"/>
  <c r="L330" i="8"/>
  <c r="L329" i="8"/>
  <c r="J603" i="2" s="1"/>
  <c r="L328" i="8"/>
  <c r="L327" i="8"/>
  <c r="L326" i="8"/>
  <c r="L325" i="8"/>
  <c r="L324" i="8"/>
  <c r="L323" i="8"/>
  <c r="L322" i="8"/>
  <c r="L321" i="8"/>
  <c r="L320" i="8"/>
  <c r="L319" i="8"/>
  <c r="L318" i="8"/>
  <c r="J284" i="2" s="1"/>
  <c r="L317" i="8"/>
  <c r="L316" i="8"/>
  <c r="L315" i="8"/>
  <c r="L314" i="8"/>
  <c r="L313" i="8"/>
  <c r="L312" i="8"/>
  <c r="L311" i="8"/>
  <c r="L310" i="8"/>
  <c r="L309" i="8"/>
  <c r="L308" i="8"/>
  <c r="L307" i="8"/>
  <c r="L306" i="8"/>
  <c r="L305" i="8"/>
  <c r="L304" i="8"/>
  <c r="J653" i="2" s="1"/>
  <c r="L303" i="8"/>
  <c r="J643" i="2" s="1"/>
  <c r="L302" i="8"/>
  <c r="L301" i="8"/>
  <c r="L300" i="8"/>
  <c r="L299" i="8"/>
  <c r="L298" i="8"/>
  <c r="L297" i="8"/>
  <c r="L296" i="8"/>
  <c r="L295" i="8"/>
  <c r="L294" i="8"/>
  <c r="L293" i="8"/>
  <c r="J482" i="2" s="1"/>
  <c r="L292" i="8"/>
  <c r="J526" i="2" s="1"/>
  <c r="L291" i="8"/>
  <c r="L290" i="8"/>
  <c r="J248" i="2" s="1"/>
  <c r="L289" i="8"/>
  <c r="J247" i="2" s="1"/>
  <c r="L288" i="8"/>
  <c r="L287" i="8"/>
  <c r="L286" i="8"/>
  <c r="L285" i="8"/>
  <c r="L284" i="8"/>
  <c r="L283" i="8"/>
  <c r="L282" i="8"/>
  <c r="L281" i="8"/>
  <c r="L280" i="8"/>
  <c r="L279" i="8"/>
  <c r="L278" i="8"/>
  <c r="L277" i="8"/>
  <c r="L276" i="8"/>
  <c r="L275" i="8"/>
  <c r="L274" i="8"/>
  <c r="L273" i="8"/>
  <c r="L272" i="8"/>
  <c r="L271" i="8"/>
  <c r="L270" i="8"/>
  <c r="L269" i="8"/>
  <c r="L268" i="8"/>
  <c r="L267" i="8"/>
  <c r="J224" i="2" s="1"/>
  <c r="L266" i="8"/>
  <c r="L265" i="8"/>
  <c r="L264" i="8"/>
  <c r="L263" i="8"/>
  <c r="L262" i="8"/>
  <c r="L261" i="8"/>
  <c r="L260" i="8"/>
  <c r="L259" i="8"/>
  <c r="L258" i="8"/>
  <c r="L257" i="8"/>
  <c r="L256" i="8"/>
  <c r="L255" i="8"/>
  <c r="L254" i="8"/>
  <c r="L253" i="8"/>
  <c r="L252" i="8"/>
  <c r="L251" i="8"/>
  <c r="L250" i="8"/>
  <c r="L249" i="8"/>
  <c r="L248" i="8"/>
  <c r="L247" i="8"/>
  <c r="L246" i="8"/>
  <c r="L245" i="8"/>
  <c r="L244" i="8"/>
  <c r="L243" i="8"/>
  <c r="L242" i="8"/>
  <c r="L241" i="8"/>
  <c r="L240" i="8"/>
  <c r="L239" i="8"/>
  <c r="L238" i="8"/>
  <c r="L237" i="8"/>
  <c r="L236" i="8"/>
  <c r="L235"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J396" i="2" s="1"/>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J344" i="2" s="1"/>
  <c r="L132" i="8"/>
  <c r="L131" i="8"/>
  <c r="L130" i="8"/>
  <c r="L129" i="8"/>
  <c r="L128" i="8"/>
  <c r="L127" i="8"/>
  <c r="L126" i="8"/>
  <c r="L125" i="8"/>
  <c r="L124" i="8"/>
  <c r="L123" i="8"/>
  <c r="J686" i="2" s="1"/>
  <c r="L122" i="8"/>
  <c r="L121" i="8"/>
  <c r="L120" i="8"/>
  <c r="L119" i="8"/>
  <c r="L118" i="8"/>
  <c r="L117" i="8"/>
  <c r="L116" i="8"/>
  <c r="L115" i="8"/>
  <c r="L114" i="8"/>
  <c r="L113" i="8"/>
  <c r="L112" i="8"/>
  <c r="L111" i="8"/>
  <c r="J428" i="2" s="1"/>
  <c r="L110" i="8"/>
  <c r="L109" i="8"/>
  <c r="L108" i="8"/>
  <c r="L107" i="8"/>
  <c r="L106" i="8"/>
  <c r="L105" i="8"/>
  <c r="L104" i="8"/>
  <c r="L103" i="8"/>
  <c r="J429" i="2" s="1"/>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J383" i="2" s="1"/>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L2" i="8"/>
  <c r="J206" i="2" l="1"/>
  <c r="J205" i="2"/>
  <c r="J204" i="2"/>
  <c r="J203" i="2"/>
  <c r="J400" i="2"/>
  <c r="J418" i="2"/>
  <c r="J432" i="2"/>
  <c r="J669" i="2"/>
  <c r="J433" i="2"/>
  <c r="J500" i="2"/>
  <c r="J668" i="2"/>
  <c r="J498" i="2"/>
  <c r="J499" i="2"/>
  <c r="J434" i="2"/>
  <c r="J52" i="2"/>
  <c r="J692" i="2"/>
  <c r="J673" i="2"/>
  <c r="J677" i="2"/>
  <c r="J679" i="2"/>
  <c r="J672" i="2"/>
  <c r="J678" i="2"/>
  <c r="J676" i="2"/>
  <c r="J689" i="2"/>
  <c r="J687" i="2"/>
  <c r="J691" i="2"/>
  <c r="J688" i="2"/>
  <c r="J690" i="2"/>
  <c r="J490" i="2"/>
  <c r="J492" i="2"/>
  <c r="J12" i="2"/>
  <c r="J666" i="2"/>
  <c r="J4" i="2"/>
  <c r="J353" i="2"/>
  <c r="J683" i="2"/>
  <c r="J671" i="2"/>
  <c r="J661" i="2"/>
  <c r="J667" i="2"/>
  <c r="J645" i="2"/>
  <c r="J637" i="2"/>
  <c r="J629" i="2"/>
  <c r="J621" i="2"/>
  <c r="J606" i="2"/>
  <c r="J597" i="2"/>
  <c r="J589" i="2"/>
  <c r="J581" i="2"/>
  <c r="J573" i="2"/>
  <c r="J565" i="2"/>
  <c r="J549" i="2"/>
  <c r="J541" i="2"/>
  <c r="J533" i="2"/>
  <c r="J525" i="2"/>
  <c r="J517" i="2"/>
  <c r="J509" i="2"/>
  <c r="J501" i="2"/>
  <c r="J489" i="2"/>
  <c r="J481" i="2"/>
  <c r="J465" i="2"/>
  <c r="J457" i="2"/>
  <c r="J449" i="2"/>
  <c r="J441" i="2"/>
  <c r="J424" i="2"/>
  <c r="J415" i="2"/>
  <c r="J407" i="2"/>
  <c r="J399" i="2"/>
  <c r="J391" i="2"/>
  <c r="J376" i="2"/>
  <c r="J368" i="2"/>
  <c r="J360" i="2"/>
  <c r="J351" i="2"/>
  <c r="J343" i="2"/>
  <c r="J335" i="2"/>
  <c r="J327" i="2"/>
  <c r="J319" i="2"/>
  <c r="J311" i="2"/>
  <c r="J303" i="2"/>
  <c r="J295" i="2"/>
  <c r="J285" i="2"/>
  <c r="J278" i="2"/>
  <c r="J270" i="2"/>
  <c r="J262" i="2"/>
  <c r="J254" i="2"/>
  <c r="J246" i="2"/>
  <c r="J237" i="2"/>
  <c r="J222" i="2"/>
  <c r="J214" i="2"/>
  <c r="J202" i="2"/>
  <c r="J194" i="2"/>
  <c r="J186" i="2"/>
  <c r="J178" i="2"/>
  <c r="J170" i="2"/>
  <c r="J162" i="2"/>
  <c r="J154" i="2"/>
  <c r="J146" i="2"/>
  <c r="J138" i="2"/>
  <c r="J130" i="2"/>
  <c r="J122" i="2"/>
  <c r="J114" i="2"/>
  <c r="J106" i="2"/>
  <c r="J98" i="2"/>
  <c r="J90" i="2"/>
  <c r="J83" i="2"/>
  <c r="J75" i="2"/>
  <c r="J67" i="2"/>
  <c r="J59" i="2"/>
  <c r="J51" i="2"/>
  <c r="J43" i="2"/>
  <c r="J35" i="2"/>
  <c r="J27" i="2"/>
  <c r="J19" i="2"/>
  <c r="J11" i="2"/>
  <c r="J682" i="2"/>
  <c r="J670" i="2"/>
  <c r="J660" i="2"/>
  <c r="J652" i="2"/>
  <c r="J636" i="2"/>
  <c r="J628" i="2"/>
  <c r="J620" i="2"/>
  <c r="J605" i="2"/>
  <c r="J596" i="2"/>
  <c r="J588" i="2"/>
  <c r="J580" i="2"/>
  <c r="J572" i="2"/>
  <c r="J564" i="2"/>
  <c r="J556" i="2"/>
  <c r="J548" i="2"/>
  <c r="J540" i="2"/>
  <c r="J532" i="2"/>
  <c r="J524" i="2"/>
  <c r="J516" i="2"/>
  <c r="J508" i="2"/>
  <c r="J497" i="2"/>
  <c r="J488" i="2"/>
  <c r="J480" i="2"/>
  <c r="J472" i="2"/>
  <c r="J464" i="2"/>
  <c r="J456" i="2"/>
  <c r="J448" i="2"/>
  <c r="J440" i="2"/>
  <c r="J431" i="2"/>
  <c r="J423" i="2"/>
  <c r="J414" i="2"/>
  <c r="J406" i="2"/>
  <c r="J390" i="2"/>
  <c r="J375" i="2"/>
  <c r="J367" i="2"/>
  <c r="J359" i="2"/>
  <c r="J342" i="2"/>
  <c r="J334" i="2"/>
  <c r="J326" i="2"/>
  <c r="J318" i="2"/>
  <c r="J310" i="2"/>
  <c r="J302" i="2"/>
  <c r="J294" i="2"/>
  <c r="J277" i="2"/>
  <c r="J269" i="2"/>
  <c r="J261" i="2"/>
  <c r="J253" i="2"/>
  <c r="J245" i="2"/>
  <c r="J236" i="2"/>
  <c r="J229" i="2"/>
  <c r="J221" i="2"/>
  <c r="J213" i="2"/>
  <c r="J201" i="2"/>
  <c r="J193" i="2"/>
  <c r="J185" i="2"/>
  <c r="J177" i="2"/>
  <c r="J169" i="2"/>
  <c r="J161" i="2"/>
  <c r="J153" i="2"/>
  <c r="J145" i="2"/>
  <c r="J137" i="2"/>
  <c r="J129" i="2"/>
  <c r="J121" i="2"/>
  <c r="J113" i="2"/>
  <c r="J105" i="2"/>
  <c r="J97" i="2"/>
  <c r="J89" i="2"/>
  <c r="J82" i="2"/>
  <c r="J74" i="2"/>
  <c r="J66" i="2"/>
  <c r="J58" i="2"/>
  <c r="J50" i="2"/>
  <c r="J42" i="2"/>
  <c r="J34" i="2"/>
  <c r="J26" i="2"/>
  <c r="J18" i="2"/>
  <c r="J10" i="2"/>
  <c r="J681" i="2"/>
  <c r="J693" i="2"/>
  <c r="J659" i="2"/>
  <c r="J651" i="2"/>
  <c r="J635" i="2"/>
  <c r="J627" i="2"/>
  <c r="J619" i="2"/>
  <c r="J612" i="2"/>
  <c r="J604" i="2"/>
  <c r="J595" i="2"/>
  <c r="J587" i="2"/>
  <c r="J579" i="2"/>
  <c r="J571" i="2"/>
  <c r="J563" i="2"/>
  <c r="J555" i="2"/>
  <c r="J539" i="2"/>
  <c r="J531" i="2"/>
  <c r="J523" i="2"/>
  <c r="J515" i="2"/>
  <c r="J507" i="2"/>
  <c r="J496" i="2"/>
  <c r="J487" i="2"/>
  <c r="J479" i="2"/>
  <c r="J471" i="2"/>
  <c r="J463" i="2"/>
  <c r="J455" i="2"/>
  <c r="J447" i="2"/>
  <c r="J439" i="2"/>
  <c r="J430" i="2"/>
  <c r="J422" i="2"/>
  <c r="J413" i="2"/>
  <c r="J405" i="2"/>
  <c r="J397" i="2"/>
  <c r="J389" i="2"/>
  <c r="J382" i="2"/>
  <c r="J374" i="2"/>
  <c r="J366" i="2"/>
  <c r="J358" i="2"/>
  <c r="J349" i="2"/>
  <c r="J341" i="2"/>
  <c r="J333" i="2"/>
  <c r="J325" i="2"/>
  <c r="J317" i="2"/>
  <c r="J309" i="2"/>
  <c r="J301" i="2"/>
  <c r="J293" i="2"/>
  <c r="J276" i="2"/>
  <c r="J268" i="2"/>
  <c r="J260" i="2"/>
  <c r="J252" i="2"/>
  <c r="J348" i="2"/>
  <c r="J235" i="2"/>
  <c r="J228" i="2"/>
  <c r="J220" i="2"/>
  <c r="J212" i="2"/>
  <c r="J200" i="2"/>
  <c r="J192" i="2"/>
  <c r="J184" i="2"/>
  <c r="J176" i="2"/>
  <c r="J168" i="2"/>
  <c r="J160" i="2"/>
  <c r="J152" i="2"/>
  <c r="J144" i="2"/>
  <c r="J136" i="2"/>
  <c r="J128" i="2"/>
  <c r="J120" i="2"/>
  <c r="J112" i="2"/>
  <c r="J104" i="2"/>
  <c r="J81" i="2"/>
  <c r="J73" i="2"/>
  <c r="J65" i="2"/>
  <c r="J57" i="2"/>
  <c r="J49" i="2"/>
  <c r="J41" i="2"/>
  <c r="J33" i="2"/>
  <c r="J25" i="2"/>
  <c r="J17" i="2"/>
  <c r="J9" i="2"/>
  <c r="J665" i="2"/>
  <c r="J650" i="2"/>
  <c r="J642" i="2"/>
  <c r="J634" i="2"/>
  <c r="J626" i="2"/>
  <c r="J618" i="2"/>
  <c r="J611" i="2"/>
  <c r="J586" i="2"/>
  <c r="J578" i="2"/>
  <c r="J570" i="2"/>
  <c r="J562" i="2"/>
  <c r="J554" i="2"/>
  <c r="J538" i="2"/>
  <c r="J530" i="2"/>
  <c r="J522" i="2"/>
  <c r="J514" i="2"/>
  <c r="J506" i="2"/>
  <c r="J495" i="2"/>
  <c r="J486" i="2"/>
  <c r="J478" i="2"/>
  <c r="J470" i="2"/>
  <c r="J462" i="2"/>
  <c r="J454" i="2"/>
  <c r="J446" i="2"/>
  <c r="J438" i="2"/>
  <c r="J421" i="2"/>
  <c r="J412" i="2"/>
  <c r="J404" i="2"/>
  <c r="J381" i="2"/>
  <c r="J373" i="2"/>
  <c r="J365" i="2"/>
  <c r="J357" i="2"/>
  <c r="J371" i="2"/>
  <c r="J340" i="2"/>
  <c r="J332" i="2"/>
  <c r="J324" i="2"/>
  <c r="J316" i="2"/>
  <c r="J308" i="2"/>
  <c r="J300" i="2"/>
  <c r="J283" i="2"/>
  <c r="J275" i="2"/>
  <c r="J267" i="2"/>
  <c r="J259" i="2"/>
  <c r="J251" i="2"/>
  <c r="J242" i="2"/>
  <c r="J234" i="2"/>
  <c r="J219" i="2"/>
  <c r="J211" i="2"/>
  <c r="J199" i="2"/>
  <c r="J191" i="2"/>
  <c r="J183" i="2"/>
  <c r="J175" i="2"/>
  <c r="J167" i="2"/>
  <c r="J159" i="2"/>
  <c r="J151" i="2"/>
  <c r="J143" i="2"/>
  <c r="J135" i="2"/>
  <c r="J127" i="2"/>
  <c r="J119" i="2"/>
  <c r="J111" i="2"/>
  <c r="J103" i="2"/>
  <c r="J95" i="2"/>
  <c r="J80" i="2"/>
  <c r="J72" i="2"/>
  <c r="J64" i="2"/>
  <c r="J56" i="2"/>
  <c r="J48" i="2"/>
  <c r="J40" i="2"/>
  <c r="J32" i="2"/>
  <c r="J24" i="2"/>
  <c r="J16" i="2"/>
  <c r="J8" i="2"/>
  <c r="J675" i="2"/>
  <c r="J664" i="2"/>
  <c r="J649" i="2"/>
  <c r="J641" i="2"/>
  <c r="J625" i="2"/>
  <c r="J617" i="2"/>
  <c r="J610" i="2"/>
  <c r="J601" i="2"/>
  <c r="J593" i="2"/>
  <c r="J585" i="2"/>
  <c r="J577" i="2"/>
  <c r="J569" i="2"/>
  <c r="J561" i="2"/>
  <c r="J553" i="2"/>
  <c r="J537" i="2"/>
  <c r="J529" i="2"/>
  <c r="J521" i="2"/>
  <c r="J513" i="2"/>
  <c r="J505" i="2"/>
  <c r="J494" i="2"/>
  <c r="J485" i="2"/>
  <c r="J477" i="2"/>
  <c r="J469" i="2"/>
  <c r="J461" i="2"/>
  <c r="J473" i="2"/>
  <c r="J445" i="2"/>
  <c r="J437" i="2"/>
  <c r="J420" i="2"/>
  <c r="J411" i="2"/>
  <c r="J403" i="2"/>
  <c r="J395" i="2"/>
  <c r="J372" i="2"/>
  <c r="J364" i="2"/>
  <c r="J356" i="2"/>
  <c r="J347" i="2"/>
  <c r="J339" i="2"/>
  <c r="J331" i="2"/>
  <c r="J323" i="2"/>
  <c r="J315" i="2"/>
  <c r="J307" i="2"/>
  <c r="J299" i="2"/>
  <c r="J291" i="2"/>
  <c r="J274" i="2"/>
  <c r="J266" i="2"/>
  <c r="J258" i="2"/>
  <c r="J250" i="2"/>
  <c r="J241" i="2"/>
  <c r="J233" i="2"/>
  <c r="J218" i="2"/>
  <c r="J210" i="2"/>
  <c r="J198" i="2"/>
  <c r="J190" i="2"/>
  <c r="J182" i="2"/>
  <c r="J174" i="2"/>
  <c r="J166" i="2"/>
  <c r="J158" i="2"/>
  <c r="J150" i="2"/>
  <c r="J142" i="2"/>
  <c r="J134" i="2"/>
  <c r="J126" i="2"/>
  <c r="J118" i="2"/>
  <c r="J110" i="2"/>
  <c r="J102" i="2"/>
  <c r="J94" i="2"/>
  <c r="J79" i="2"/>
  <c r="J71" i="2"/>
  <c r="J63" i="2"/>
  <c r="J55" i="2"/>
  <c r="J47" i="2"/>
  <c r="J39" i="2"/>
  <c r="J31" i="2"/>
  <c r="J23" i="2"/>
  <c r="J15" i="2"/>
  <c r="J7" i="2"/>
  <c r="J674" i="2"/>
  <c r="J663" i="2"/>
  <c r="J656" i="2"/>
  <c r="J648" i="2"/>
  <c r="J640" i="2"/>
  <c r="J632" i="2"/>
  <c r="J624" i="2"/>
  <c r="J616" i="2"/>
  <c r="J609" i="2"/>
  <c r="J592" i="2"/>
  <c r="J584" i="2"/>
  <c r="J576" i="2"/>
  <c r="J568" i="2"/>
  <c r="J560" i="2"/>
  <c r="J536" i="2"/>
  <c r="J528" i="2"/>
  <c r="J520" i="2"/>
  <c r="J512" i="2"/>
  <c r="J504" i="2"/>
  <c r="J493" i="2"/>
  <c r="J484" i="2"/>
  <c r="J476" i="2"/>
  <c r="J468" i="2"/>
  <c r="J460" i="2"/>
  <c r="J452" i="2"/>
  <c r="J444" i="2"/>
  <c r="J453" i="2"/>
  <c r="J427" i="2"/>
  <c r="J419" i="2"/>
  <c r="J410" i="2"/>
  <c r="J402" i="2"/>
  <c r="J394" i="2"/>
  <c r="J436" i="2"/>
  <c r="J363" i="2"/>
  <c r="J355" i="2"/>
  <c r="J338" i="2"/>
  <c r="J330" i="2"/>
  <c r="J322" i="2"/>
  <c r="J314" i="2"/>
  <c r="J306" i="2"/>
  <c r="J298" i="2"/>
  <c r="J281" i="2"/>
  <c r="J273" i="2"/>
  <c r="J265" i="2"/>
  <c r="J257" i="2"/>
  <c r="J249" i="2"/>
  <c r="J240" i="2"/>
  <c r="J232" i="2"/>
  <c r="J225" i="2"/>
  <c r="J217" i="2"/>
  <c r="J209" i="2"/>
  <c r="J197" i="2"/>
  <c r="J189" i="2"/>
  <c r="J181" i="2"/>
  <c r="J173" i="2"/>
  <c r="J165" i="2"/>
  <c r="J157" i="2"/>
  <c r="J149" i="2"/>
  <c r="J141" i="2"/>
  <c r="J133" i="2"/>
  <c r="J125" i="2"/>
  <c r="J117" i="2"/>
  <c r="J109" i="2"/>
  <c r="J101" i="2"/>
  <c r="J93" i="2"/>
  <c r="J86" i="2"/>
  <c r="J78" i="2"/>
  <c r="J70" i="2"/>
  <c r="J62" i="2"/>
  <c r="J54" i="2"/>
  <c r="J46" i="2"/>
  <c r="J38" i="2"/>
  <c r="J30" i="2"/>
  <c r="J22" i="2"/>
  <c r="J14" i="2"/>
  <c r="J6" i="2"/>
  <c r="J655" i="2"/>
  <c r="J647" i="2"/>
  <c r="J639" i="2"/>
  <c r="J631" i="2"/>
  <c r="J608" i="2"/>
  <c r="J599" i="2"/>
  <c r="J591" i="2"/>
  <c r="J583" i="2"/>
  <c r="J575" i="2"/>
  <c r="J567" i="2"/>
  <c r="J559" i="2"/>
  <c r="J551" i="2"/>
  <c r="J535" i="2"/>
  <c r="J527" i="2"/>
  <c r="J519" i="2"/>
  <c r="J511" i="2"/>
  <c r="J503" i="2"/>
  <c r="J491" i="2"/>
  <c r="J483" i="2"/>
  <c r="J475" i="2"/>
  <c r="J467" i="2"/>
  <c r="J459" i="2"/>
  <c r="J451" i="2"/>
  <c r="J443" i="2"/>
  <c r="J435" i="2"/>
  <c r="J426" i="2"/>
  <c r="J417" i="2"/>
  <c r="J409" i="2"/>
  <c r="J401" i="2"/>
  <c r="J393" i="2"/>
  <c r="J385" i="2"/>
  <c r="J378" i="2"/>
  <c r="J370" i="2"/>
  <c r="J345" i="2"/>
  <c r="J337" i="2"/>
  <c r="J321" i="2"/>
  <c r="J313" i="2"/>
  <c r="J305" i="2"/>
  <c r="J297" i="2"/>
  <c r="J289" i="2"/>
  <c r="J280" i="2"/>
  <c r="J272" i="2"/>
  <c r="J264" i="2"/>
  <c r="J256" i="2"/>
  <c r="J239" i="2"/>
  <c r="J231" i="2"/>
  <c r="J216" i="2"/>
  <c r="J208" i="2"/>
  <c r="J196" i="2"/>
  <c r="J188" i="2"/>
  <c r="J180" i="2"/>
  <c r="J172" i="2"/>
  <c r="J164" i="2"/>
  <c r="J156" i="2"/>
  <c r="J148" i="2"/>
  <c r="J140" i="2"/>
  <c r="J132" i="2"/>
  <c r="J124" i="2"/>
  <c r="J116" i="2"/>
  <c r="J108" i="2"/>
  <c r="J100" i="2"/>
  <c r="J92" i="2"/>
  <c r="J85" i="2"/>
  <c r="J77" i="2"/>
  <c r="J69" i="2"/>
  <c r="J61" i="2"/>
  <c r="J53" i="2"/>
  <c r="J45" i="2"/>
  <c r="J37" i="2"/>
  <c r="J29" i="2"/>
  <c r="J21" i="2"/>
  <c r="J13" i="2"/>
  <c r="J5" i="2"/>
  <c r="J646" i="2"/>
  <c r="J638" i="2"/>
  <c r="J630" i="2"/>
  <c r="J614" i="2"/>
  <c r="J607" i="2"/>
  <c r="J590" i="2"/>
  <c r="J574" i="2"/>
  <c r="J566" i="2"/>
  <c r="J550" i="2"/>
  <c r="J542" i="2"/>
  <c r="J518" i="2"/>
  <c r="J510" i="2"/>
  <c r="J502" i="2"/>
  <c r="J474" i="2"/>
  <c r="J466" i="2"/>
  <c r="J458" i="2"/>
  <c r="J450" i="2"/>
  <c r="J442" i="2"/>
  <c r="J425" i="2"/>
  <c r="J416" i="2"/>
  <c r="J408" i="2"/>
  <c r="J392" i="2"/>
  <c r="J377" i="2"/>
  <c r="J369" i="2"/>
  <c r="J361" i="2"/>
  <c r="J336" i="2"/>
  <c r="J320" i="2"/>
  <c r="J312" i="2"/>
  <c r="J304" i="2"/>
  <c r="J286" i="2"/>
  <c r="J279" i="2"/>
  <c r="J271" i="2"/>
  <c r="J263" i="2"/>
  <c r="J255" i="2"/>
  <c r="J238" i="2"/>
  <c r="J223" i="2"/>
  <c r="J215" i="2"/>
  <c r="J207" i="2"/>
  <c r="J195" i="2"/>
  <c r="J187" i="2"/>
  <c r="J179" i="2"/>
  <c r="J171" i="2"/>
  <c r="J163" i="2"/>
  <c r="J155" i="2"/>
  <c r="J147" i="2"/>
  <c r="J139" i="2"/>
  <c r="J131" i="2"/>
  <c r="J123" i="2"/>
  <c r="J115" i="2"/>
  <c r="J107" i="2"/>
  <c r="J99" i="2"/>
  <c r="J84" i="2"/>
  <c r="J76" i="2"/>
  <c r="J60" i="2"/>
  <c r="J44" i="2"/>
  <c r="J36" i="2"/>
  <c r="J28" i="2"/>
  <c r="J20" i="2"/>
  <c r="A1141" i="5"/>
  <c r="A1140" i="5"/>
  <c r="A1139" i="5"/>
  <c r="A1138" i="5"/>
  <c r="A1137" i="5"/>
  <c r="A1136" i="5"/>
  <c r="A1135" i="5"/>
  <c r="A1134" i="5"/>
  <c r="A1133" i="5"/>
  <c r="A1132" i="5"/>
  <c r="A1131" i="5"/>
  <c r="A1130" i="5"/>
  <c r="A1129" i="5"/>
  <c r="A1128" i="5"/>
  <c r="A1127" i="5"/>
  <c r="A1126" i="5"/>
  <c r="A1125" i="5"/>
  <c r="A1124" i="5"/>
  <c r="A1123" i="5"/>
  <c r="A1122" i="5"/>
  <c r="A1121" i="5"/>
  <c r="A1120" i="5"/>
  <c r="A1119" i="5"/>
  <c r="A1118" i="5"/>
  <c r="A1117" i="5"/>
  <c r="A1116" i="5"/>
  <c r="A1115" i="5"/>
  <c r="A1114" i="5"/>
  <c r="A1113" i="5"/>
  <c r="A1112" i="5"/>
  <c r="A1111" i="5"/>
  <c r="A1110" i="5"/>
  <c r="A1109" i="5"/>
  <c r="A1108" i="5"/>
  <c r="A1107" i="5"/>
  <c r="A1106" i="5"/>
  <c r="A1105" i="5"/>
  <c r="A1104" i="5"/>
  <c r="A1103" i="5"/>
  <c r="A1102" i="5"/>
  <c r="A1101" i="5"/>
  <c r="A1100" i="5"/>
  <c r="A1099" i="5"/>
  <c r="A1098" i="5"/>
  <c r="A1097" i="5"/>
  <c r="A1096" i="5"/>
  <c r="A1095" i="5"/>
  <c r="A1094" i="5"/>
  <c r="A1093" i="5"/>
  <c r="A1092" i="5"/>
  <c r="A1091" i="5"/>
  <c r="A1090" i="5"/>
  <c r="A1089" i="5"/>
  <c r="A1088" i="5"/>
  <c r="A1087" i="5"/>
  <c r="A1086" i="5"/>
  <c r="A1085" i="5"/>
  <c r="A1084" i="5"/>
  <c r="A1083" i="5"/>
  <c r="A1082" i="5"/>
  <c r="A1081" i="5"/>
  <c r="A1080" i="5"/>
  <c r="A1079" i="5"/>
  <c r="A1078" i="5"/>
  <c r="A1077" i="5"/>
  <c r="A1076" i="5"/>
  <c r="A1075" i="5"/>
  <c r="A1074" i="5"/>
  <c r="A1073" i="5"/>
  <c r="A1072" i="5"/>
  <c r="A1071" i="5"/>
  <c r="A1070" i="5"/>
  <c r="A1069" i="5"/>
  <c r="A1068" i="5"/>
  <c r="A1067" i="5"/>
  <c r="A1066" i="5"/>
  <c r="A1065" i="5"/>
  <c r="A1064" i="5"/>
  <c r="A1063" i="5"/>
  <c r="A1062" i="5"/>
  <c r="A1061" i="5"/>
  <c r="A1060" i="5"/>
  <c r="A1059" i="5"/>
  <c r="A1058" i="5"/>
  <c r="A1057" i="5"/>
  <c r="A1056" i="5"/>
  <c r="A1055" i="5"/>
  <c r="A1054" i="5"/>
  <c r="A1053" i="5"/>
  <c r="A1052" i="5"/>
  <c r="A1051" i="5"/>
  <c r="A1050" i="5"/>
  <c r="A1049" i="5"/>
  <c r="A1048" i="5"/>
  <c r="A1047" i="5"/>
  <c r="A1046" i="5"/>
  <c r="A1045" i="5"/>
  <c r="A1044" i="5"/>
  <c r="A1043" i="5"/>
  <c r="A1042" i="5"/>
  <c r="A1041" i="5"/>
  <c r="A1040" i="5"/>
  <c r="A1039" i="5"/>
  <c r="A1038" i="5"/>
  <c r="A1037" i="5"/>
  <c r="A1036" i="5"/>
  <c r="A1035" i="5"/>
  <c r="A1034" i="5"/>
  <c r="A1033" i="5"/>
  <c r="A1032" i="5"/>
  <c r="A1031" i="5"/>
  <c r="A1030" i="5"/>
  <c r="A1029" i="5"/>
  <c r="A1028" i="5"/>
  <c r="A1027" i="5"/>
  <c r="A1026" i="5"/>
  <c r="A1025" i="5"/>
  <c r="A1024" i="5"/>
  <c r="A1023" i="5"/>
  <c r="A1022" i="5"/>
  <c r="A1021" i="5"/>
  <c r="A1020" i="5"/>
  <c r="A1019" i="5"/>
  <c r="A1018" i="5"/>
  <c r="A1017" i="5"/>
  <c r="A1016" i="5"/>
  <c r="A1015" i="5"/>
  <c r="A1014" i="5"/>
  <c r="A1013" i="5"/>
  <c r="A1012" i="5"/>
  <c r="A1011" i="5"/>
  <c r="A1010" i="5"/>
  <c r="A1009" i="5"/>
  <c r="A1008" i="5"/>
  <c r="A1007" i="5"/>
  <c r="A1006" i="5"/>
  <c r="A1005" i="5"/>
  <c r="A1004" i="5"/>
  <c r="A1003" i="5"/>
  <c r="A1002" i="5"/>
  <c r="A1001" i="5"/>
  <c r="A1000" i="5"/>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P3" i="5"/>
  <c r="A3" i="5"/>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tc={052A235D-8072-49FB-A5AC-93736261AF44}</author>
    <author>tc={48308C52-85E3-4657-9383-9EA78373C044}</author>
    <author>tc={A216ADAF-BB87-4CD3-B815-B87C35FE286C}</author>
    <author>tc={3E61C65E-AA5B-4618-8C0D-80A35D39A03C}</author>
    <author>tc={E9D88ABC-8997-4479-A42D-9579288DAE4E}</author>
    <author>tc={D0EA704F-D615-4860-ADFB-01B8AC2757DC}</author>
    <author>tc={00556614-9E75-4431-9B6A-9F700B3AE1EC}</author>
    <author>tc={72C31D3B-009D-4895-80F5-6257150B381D}</author>
  </authors>
  <commentList>
    <comment ref="F224" authorId="0" shapeId="0" xr:uid="{052A235D-8072-49FB-A5AC-93736261AF44}">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Atualmente, não possui um MM com a severidade SA para RecloserLockout</t>
        </r>
      </text>
    </comment>
    <comment ref="B237" authorId="1" shapeId="0" xr:uid="{48308C52-85E3-4657-9383-9EA78373C044}">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r>
      </text>
    </comment>
    <comment ref="B238" authorId="2" shapeId="0" xr:uid="{A216ADAF-BB87-4CD3-B815-B87C35FE286C}">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r>
      </text>
    </comment>
    <comment ref="B294" authorId="3" shapeId="0" xr:uid="{3E61C65E-AA5B-4618-8C0D-80A35D39A03C}">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NÃO USAR.
Conforme consulta às UTRs, é TRIP Geral (Usar sinal "TRIP")</t>
        </r>
      </text>
    </comment>
    <comment ref="A530" authorId="4" shapeId="0" xr:uid="{E9D88ABC-8997-4479-A42D-9579288DAE4E}">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Troca de ajustes, tendo mais de um grupo (roda)</t>
        </r>
      </text>
    </comment>
    <comment ref="A581" authorId="5" shapeId="0" xr:uid="{D0EA704F-D615-4860-ADFB-01B8AC2757DC}">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r>
      </text>
    </comment>
    <comment ref="A686" authorId="6" shapeId="0" xr:uid="{00556614-9E75-4431-9B6A-9F700B3AE1EC}">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NÃO utilizar</t>
        </r>
      </text>
    </comment>
    <comment ref="A687" authorId="7" shapeId="0" xr:uid="{72C31D3B-009D-4895-80F5-6257150B381D}">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NÃO utilizar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tc={4E2BA673-8B11-46FD-B490-ECC3E1F355AC}</author>
    <author>tc={BAEBAA4E-B17F-4908-A7A5-F99142DDD79D}</author>
    <author>tc={5D77F35F-9677-4B76-AA81-AB5FB0497E79}</author>
    <author>tc={3B4BCBDD-DF8F-4EBE-8420-D02C5318A1CF}</author>
    <author>tc={3AB88AE1-320B-4756-ABF2-A1A35563B21E}</author>
  </authors>
  <commentList>
    <comment ref="B188" authorId="0" shapeId="0" xr:uid="{4E2BA673-8B11-46FD-B490-ECC3E1F355AC}">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r>
      </text>
    </comment>
    <comment ref="B190" authorId="1" shapeId="0" xr:uid="{BAEBAA4E-B17F-4908-A7A5-F99142DDD79D}">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r>
      </text>
    </comment>
    <comment ref="B192" authorId="2" shapeId="0" xr:uid="{5D77F35F-9677-4B76-AA81-AB5FB0497E79}">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r>
      </text>
    </comment>
    <comment ref="B250" authorId="3" shapeId="0" xr:uid="{3B4BCBDD-DF8F-4EBE-8420-D02C5318A1CF}">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r>
      </text>
    </comment>
    <comment ref="B251" authorId="4" shapeId="0" xr:uid="{3AB88AE1-320B-4756-ABF2-A1A35563B21E}">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tc={DC0B0423-5422-4749-990C-537485532BE1}</author>
  </authors>
  <commentList>
    <comment ref="A64" authorId="0" shapeId="0" xr:uid="{DC0B0423-5422-4749-990C-537485532BE1}">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Alterar para 21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Nebojsa Obradovic</author>
    <author>tc={44B1F9AB-239C-4E3D-AD60-53A939F88D6F}</author>
    <author>tc={2B4BFE32-EFDB-4D7B-8F26-418950AC6530}</author>
  </authors>
  <commentList>
    <comment ref="A1" authorId="0" shapeId="0" xr:uid="{F8757AB4-6986-4261-B8B0-A22C0FC3FA5D}">
      <text>
        <r>
          <rPr>
            <sz val="9"/>
            <color indexed="81"/>
            <rFont val="Tahoma"/>
            <family val="2"/>
          </rPr>
          <t>User definable name of the message mapping.</t>
        </r>
      </text>
    </comment>
    <comment ref="B1" authorId="0" shapeId="0" xr:uid="{1E9C83BE-36A8-4BC3-B6BA-226FC4DAC948}">
      <text>
        <r>
          <rPr>
            <sz val="9"/>
            <color indexed="81"/>
            <rFont val="Tahoma"/>
            <family val="2"/>
          </rPr>
          <t xml:space="preserve">Optional string describing an alternate name of the message mapping.
</t>
        </r>
      </text>
    </comment>
    <comment ref="C1" authorId="0" shapeId="0" xr:uid="{D4FC78E0-962C-4D11-8930-5F3A992282A4}">
      <text>
        <r>
          <rPr>
            <sz val="9"/>
            <color indexed="81"/>
            <rFont val="Tahoma"/>
            <family val="2"/>
          </rPr>
          <t xml:space="preserve">List of strings associated with possible values, in the same order as Values. An empty string denotes that the corresponding value cannot occur as read from the field (i.e. may be used only for commanding). Elements in list are separated using ";" character, e.g. Transit; Open; Close; Error
</t>
        </r>
      </text>
    </comment>
    <comment ref="D1" authorId="0" shapeId="0" xr:uid="{150A439B-FC72-48AA-981D-73F1A68AA898}">
      <text>
        <r>
          <rPr>
            <sz val="9"/>
            <color indexed="81"/>
            <rFont val="Tahoma"/>
            <family val="2"/>
          </rPr>
          <t xml:space="preserve">List of possible values that the signal can obtain. Elements in list are separated using ";" character, e.g. 0; 1; 2; 3.
</t>
        </r>
      </text>
    </comment>
    <comment ref="E1" authorId="0" shapeId="0" xr:uid="{AC3B57AB-C7ED-4951-85E1-A419043485C9}">
      <text>
        <r>
          <rPr>
            <sz val="9"/>
            <color indexed="81"/>
            <rFont val="Tahoma"/>
            <family val="2"/>
          </rPr>
          <t xml:space="preserve">Integer values in SCADA which correspond to DMS values in values attribute. SCADA plugin does the translation in both directions. If empty, no translation is perfomed, and SCADA values are translated as-is. Elements in list are separated using ";" character, e.g. 0; 1; 2; 3.
</t>
        </r>
      </text>
    </comment>
    <comment ref="F1" authorId="0" shapeId="0" xr:uid="{AD892219-5552-4157-8539-3BB9FECEDA8B}">
      <text>
        <r>
          <rPr>
            <sz val="9"/>
            <color indexed="81"/>
            <rFont val="Tahoma"/>
            <family val="2"/>
          </rPr>
          <t xml:space="preserve">List of strings associated with possible values, used for commanding, in the same order as Values. If the value is not commandable, an empty string is used. Elements in list are separated using ";" character, e.g. ;ON;OFF;
</t>
        </r>
      </text>
    </comment>
    <comment ref="G1" authorId="0" shapeId="0" xr:uid="{7D2262EB-AEFA-48F3-98C5-E92DF694126A}">
      <text>
        <r>
          <rPr>
            <sz val="9"/>
            <color indexed="81"/>
            <rFont val="Tahoma"/>
            <family val="2"/>
          </rPr>
          <t>Color associated with the state. Color is represented as six digits hexadecimal RGB value, where the first two hexa numbers represent Red color, following Green and Blue.  Additionally, FF or 00 value added prior to RGB format determines whether color is used by default or not, respectively. 
Examples:  
#</t>
        </r>
        <r>
          <rPr>
            <b/>
            <sz val="9"/>
            <color indexed="81"/>
            <rFont val="Tahoma"/>
            <family val="2"/>
          </rPr>
          <t>00FF</t>
        </r>
        <r>
          <rPr>
            <sz val="9"/>
            <color indexed="81"/>
            <rFont val="Tahoma"/>
            <family val="2"/>
          </rPr>
          <t xml:space="preserve">0000 - represents </t>
        </r>
        <r>
          <rPr>
            <b/>
            <sz val="10"/>
            <color indexed="81"/>
            <rFont val="Tahoma"/>
            <family val="2"/>
          </rPr>
          <t>Red</t>
        </r>
        <r>
          <rPr>
            <sz val="9"/>
            <color indexed="81"/>
            <rFont val="Tahoma"/>
            <family val="2"/>
          </rPr>
          <t xml:space="preserve"> color; color is </t>
        </r>
        <r>
          <rPr>
            <b/>
            <sz val="9"/>
            <color indexed="81"/>
            <rFont val="Tahoma"/>
            <family val="2"/>
          </rPr>
          <t>NOT</t>
        </r>
        <r>
          <rPr>
            <sz val="9"/>
            <color indexed="81"/>
            <rFont val="Tahoma"/>
            <family val="2"/>
          </rPr>
          <t xml:space="preserve"> used by default 
#</t>
        </r>
        <r>
          <rPr>
            <b/>
            <sz val="9"/>
            <color indexed="81"/>
            <rFont val="Tahoma"/>
            <family val="2"/>
          </rPr>
          <t>FF</t>
        </r>
        <r>
          <rPr>
            <sz val="9"/>
            <color indexed="81"/>
            <rFont val="Tahoma"/>
            <family val="2"/>
          </rPr>
          <t>00</t>
        </r>
        <r>
          <rPr>
            <b/>
            <sz val="9"/>
            <color indexed="81"/>
            <rFont val="Tahoma"/>
            <family val="2"/>
          </rPr>
          <t>FF</t>
        </r>
        <r>
          <rPr>
            <sz val="9"/>
            <color indexed="81"/>
            <rFont val="Tahoma"/>
            <family val="2"/>
          </rPr>
          <t xml:space="preserve">00 - represents </t>
        </r>
        <r>
          <rPr>
            <b/>
            <sz val="9"/>
            <color indexed="81"/>
            <rFont val="Tahoma"/>
            <family val="2"/>
          </rPr>
          <t>Green</t>
        </r>
        <r>
          <rPr>
            <sz val="9"/>
            <color indexed="81"/>
            <rFont val="Tahoma"/>
            <family val="2"/>
          </rPr>
          <t xml:space="preserve"> color; color </t>
        </r>
        <r>
          <rPr>
            <b/>
            <sz val="9"/>
            <color indexed="81"/>
            <rFont val="Tahoma"/>
            <family val="2"/>
          </rPr>
          <t>IS</t>
        </r>
        <r>
          <rPr>
            <sz val="9"/>
            <color indexed="81"/>
            <rFont val="Tahoma"/>
            <family val="2"/>
          </rPr>
          <t xml:space="preserve"> used by default
#</t>
        </r>
        <r>
          <rPr>
            <b/>
            <sz val="9"/>
            <color indexed="81"/>
            <rFont val="Tahoma"/>
            <family val="2"/>
          </rPr>
          <t>FF</t>
        </r>
        <r>
          <rPr>
            <sz val="9"/>
            <color indexed="81"/>
            <rFont val="Tahoma"/>
            <family val="2"/>
          </rPr>
          <t>0000</t>
        </r>
        <r>
          <rPr>
            <b/>
            <sz val="9"/>
            <color indexed="81"/>
            <rFont val="Tahoma"/>
            <family val="2"/>
          </rPr>
          <t>FF</t>
        </r>
        <r>
          <rPr>
            <sz val="9"/>
            <color indexed="81"/>
            <rFont val="Tahoma"/>
            <family val="2"/>
          </rPr>
          <t xml:space="preserve"> - represents </t>
        </r>
        <r>
          <rPr>
            <b/>
            <sz val="9"/>
            <color indexed="81"/>
            <rFont val="Tahoma"/>
            <family val="2"/>
          </rPr>
          <t>Blue</t>
        </r>
        <r>
          <rPr>
            <sz val="9"/>
            <color indexed="81"/>
            <rFont val="Tahoma"/>
            <family val="2"/>
          </rPr>
          <t xml:space="preserve"> color; color </t>
        </r>
        <r>
          <rPr>
            <b/>
            <sz val="9"/>
            <color indexed="81"/>
            <rFont val="Tahoma"/>
            <family val="2"/>
          </rPr>
          <t>IS</t>
        </r>
        <r>
          <rPr>
            <sz val="9"/>
            <color indexed="81"/>
            <rFont val="Tahoma"/>
            <family val="2"/>
          </rPr>
          <t xml:space="preserve"> used by default
 </t>
        </r>
      </text>
    </comment>
    <comment ref="H1" authorId="0" shapeId="0" xr:uid="{193771F8-4CA4-4554-873A-A368E7FF8D3C}">
      <text>
        <r>
          <rPr>
            <sz val="9"/>
            <color indexed="81"/>
            <rFont val="Tahoma"/>
            <family val="2"/>
          </rPr>
          <t>For each value in the list, specifies if it is treated as abnormal. 
Abnormal values are listed in the Abnormal Summary, and an alarm might be rised, depending on Severity attribute.
Supported values are:
Normal
Abnormal
Auto</t>
        </r>
      </text>
    </comment>
    <comment ref="I1" authorId="0" shapeId="0" xr:uid="{381BBA46-5CD8-4EB6-88C8-37D49308EBEE}">
      <text>
        <r>
          <rPr>
            <sz val="9"/>
            <color indexed="81"/>
            <rFont val="Tahoma"/>
            <family val="2"/>
          </rPr>
          <t xml:space="preserve">Specifies whether every possible value can be entered as manual override. </t>
        </r>
        <r>
          <rPr>
            <b/>
            <sz val="9"/>
            <color indexed="81"/>
            <rFont val="Tahoma"/>
            <family val="2"/>
          </rPr>
          <t xml:space="preserve">
</t>
        </r>
        <r>
          <rPr>
            <sz val="9"/>
            <color indexed="81"/>
            <rFont val="Tahoma"/>
            <family val="2"/>
          </rPr>
          <t xml:space="preserve">
</t>
        </r>
      </text>
    </comment>
    <comment ref="J1" authorId="0" shapeId="0" xr:uid="{29D76B76-6846-4BE2-9455-75046182FF45}">
      <text>
        <r>
          <rPr>
            <sz val="9"/>
            <color indexed="81"/>
            <rFont val="Tahoma"/>
            <family val="2"/>
          </rPr>
          <t xml:space="preserve">List of references to an alarm/event catalogs assigned to this message mapping setting. Elements in list are seperated using ";" character.
</t>
        </r>
      </text>
    </comment>
    <comment ref="A807" authorId="1" shapeId="0" xr:uid="{44B1F9AB-239C-4E3D-AD60-53A939F88D6F}">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Criar esse novo mm</t>
        </r>
      </text>
    </comment>
    <comment ref="A808" authorId="2" shapeId="0" xr:uid="{2B4BFE32-EFDB-4D7B-8F26-418950AC6530}">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Criar MM novo. Grupo 81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tc={99BB2C3E-CC5E-4674-B6B0-8FE1FFB58A72}</author>
    <author>tc={5B04D3B7-6E37-410A-9722-71E7579DFF28}</author>
    <author>tc={29EE7A84-9321-43B7-A203-A16244D0F618}</author>
    <author>tc={6A58D5BD-A303-4191-B101-3C8BC40F17BE}</author>
    <author>tc={2E5AB503-CEA8-4524-B32E-5D9440949733}</author>
    <author>tc={F3BECDF5-F592-461B-BB98-3AA37CFA5C13}</author>
    <author>tc={BD6AD60B-25AC-433A-8BA4-3552167FE991}</author>
    <author>tc={6D70048F-9B64-4FD6-BB20-7E3B30E9B2C7}</author>
    <author>tc={64DCF02A-9CA0-4C0D-A89D-915CE280FEC5}</author>
    <author>tc={AA5090C6-A6E0-4D55-819D-B0F44F2F061D}</author>
    <author>tc={DFD6FDA9-2652-4998-9006-DE8C548D3118}</author>
    <author>tc={454595D9-1A25-426E-A065-91B696B01AAD}</author>
    <author>tc={581E8CD1-52EA-497B-A7DB-93520C63F88D}</author>
  </authors>
  <commentList>
    <comment ref="A3" authorId="0" shapeId="0" xr:uid="{99BB2C3E-CC5E-4674-B6B0-8FE1FFB58A72}">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USAR NOME AJAL E MUDAR ALIAS</t>
        </r>
      </text>
    </comment>
    <comment ref="A5" authorId="1" shapeId="0" xr:uid="{5B04D3B7-6E37-410A-9722-71E7579DFF28}">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NÃO USAR</t>
        </r>
      </text>
    </comment>
    <comment ref="B7" authorId="2" shapeId="0" xr:uid="{29EE7A84-9321-43B7-A203-A16244D0F618}">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 COM CAMPO FUNCIONAMENTO</t>
        </r>
      </text>
    </comment>
    <comment ref="B10" authorId="3" shapeId="0" xr:uid="{6A58D5BD-A303-4191-B101-3C8BC40F17BE}">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USAR MDTP</t>
        </r>
      </text>
    </comment>
    <comment ref="B11" authorId="4" shapeId="0" xr:uid="{2E5AB503-CEA8-4524-B32E-5D9440949733}">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USAR MDTP</t>
        </r>
      </text>
    </comment>
    <comment ref="B12" authorId="5" shapeId="0" xr:uid="{F3BECDF5-F592-461B-BB98-3AA37CFA5C13}">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USAR MDTP</t>
        </r>
      </text>
    </comment>
    <comment ref="B13" authorId="6" shapeId="0" xr:uid="{BD6AD60B-25AC-433A-8BA4-3552167FE991}">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USAR MDTP</t>
        </r>
      </text>
    </comment>
    <comment ref="B14" authorId="7" shapeId="0" xr:uid="{6D70048F-9B64-4FD6-BB20-7E3B30E9B2C7}">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 COM CAMPO O FUNCIONAMENTO</t>
        </r>
      </text>
    </comment>
    <comment ref="B15" authorId="8" shapeId="0" xr:uid="{64DCF02A-9CA0-4C0D-A89D-915CE280FEC5}">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r>
      </text>
    </comment>
    <comment ref="B16" authorId="9" shapeId="0" xr:uid="{AA5090C6-A6E0-4D55-819D-B0F44F2F061D}">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OK</t>
        </r>
      </text>
    </comment>
    <comment ref="B17" authorId="10" shapeId="0" xr:uid="{DFD6FDA9-2652-4998-9006-DE8C548D3118}">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r>
      </text>
    </comment>
    <comment ref="B18" authorId="11" shapeId="0" xr:uid="{454595D9-1A25-426E-A065-91B696B01AAD}">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OK</t>
        </r>
      </text>
    </comment>
    <comment ref="A20" authorId="12" shapeId="0" xr:uid="{581E8CD1-52EA-497B-A7DB-93520C63F88D}">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tc={31FB2B95-E0D7-443A-9454-5D3C56AD10C8}</author>
    <author>tc={5F049A5C-CBAA-4C5E-BD4C-B6AF9C119846}</author>
    <author>tc={7D8A081B-FCAB-4427-B931-4C4EA387D5DC}</author>
    <author>tc={C9FA33FE-1C31-486B-A539-649DE8B16881}</author>
    <author>tc={19D01D8D-087D-4BD9-84FD-8FF7A313F978}</author>
  </authors>
  <commentList>
    <comment ref="B142" authorId="0" shapeId="0" xr:uid="{31FB2B95-E0D7-443A-9454-5D3C56AD10C8}">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r>
      </text>
    </comment>
    <comment ref="B144" authorId="1" shapeId="0" xr:uid="{5F049A5C-CBAA-4C5E-BD4C-B6AF9C119846}">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r>
      </text>
    </comment>
    <comment ref="B146" authorId="2" shapeId="0" xr:uid="{7D8A081B-FCAB-4427-B931-4C4EA387D5DC}">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r>
      </text>
    </comment>
    <comment ref="B204" authorId="3" shapeId="0" xr:uid="{C9FA33FE-1C31-486B-A539-649DE8B16881}">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r>
      </text>
    </comment>
    <comment ref="B205" authorId="4" shapeId="0" xr:uid="{19D01D8D-087D-4BD9-84FD-8FF7A313F978}">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r>
      </text>
    </comment>
  </commentList>
</comments>
</file>

<file path=xl/sharedStrings.xml><?xml version="1.0" encoding="utf-8"?>
<sst xmlns="http://schemas.openxmlformats.org/spreadsheetml/2006/main" count="19038" uniqueCount="4408">
  <si>
    <t>SINAL</t>
  </si>
  <si>
    <t>DESCRIÇÃO NOVA</t>
  </si>
  <si>
    <t>SIGNAL TYPE</t>
  </si>
  <si>
    <t>MM</t>
  </si>
  <si>
    <t>FUNÇÃO</t>
  </si>
  <si>
    <t>VALOR</t>
  </si>
  <si>
    <t>CONTROL CODE</t>
  </si>
  <si>
    <t>SEVERIDADE</t>
  </si>
  <si>
    <t>Funcionamento</t>
  </si>
  <si>
    <t>20A</t>
  </si>
  <si>
    <t>20 - ALARME VALVULA</t>
  </si>
  <si>
    <t>Custom</t>
  </si>
  <si>
    <t>PROT</t>
  </si>
  <si>
    <t>null@null___NORMAL@ATUADO___Custom_S_TS_SA</t>
  </si>
  <si>
    <t>20CA</t>
  </si>
  <si>
    <t xml:space="preserve">20 - ALARME VALVULA CDC          </t>
  </si>
  <si>
    <t>20TA</t>
  </si>
  <si>
    <t>20 - ALARME VALVULA TRAFO</t>
  </si>
  <si>
    <t>20D</t>
  </si>
  <si>
    <t>20 - TRIP VALVULA</t>
  </si>
  <si>
    <t>20TC</t>
  </si>
  <si>
    <t>20 - TRIP VALVULA CDC</t>
  </si>
  <si>
    <t>20CD</t>
  </si>
  <si>
    <t xml:space="preserve">20 - TRIP VALVULA TRAFO </t>
  </si>
  <si>
    <t>20TD</t>
  </si>
  <si>
    <t>20T1</t>
  </si>
  <si>
    <t>20 - TRIP VALVULA TRAFO E1</t>
  </si>
  <si>
    <t>20T2</t>
  </si>
  <si>
    <t>20 - TRIP VALVULA TRAFO E2</t>
  </si>
  <si>
    <t>INTR</t>
  </si>
  <si>
    <t>20 63 87 - PROTECOES INTRINSECAS</t>
  </si>
  <si>
    <t>263A</t>
  </si>
  <si>
    <t>206T</t>
  </si>
  <si>
    <t>21 - FUNCAO DISTANCIA</t>
  </si>
  <si>
    <t>Enabled</t>
  </si>
  <si>
    <t>FUNCÕES/43/PARALELISMO</t>
  </si>
  <si>
    <t>null@null___INCLUIDO@EXCLUIDO___Enabled_S_TS_SS</t>
  </si>
  <si>
    <t>21_T</t>
  </si>
  <si>
    <t>21 - TRIP DISTANCIA</t>
  </si>
  <si>
    <t>RelayTrip</t>
  </si>
  <si>
    <t>null@null___NORMAL@ATUADO___RelayTrip_S_TS_SA</t>
  </si>
  <si>
    <t>21EF</t>
  </si>
  <si>
    <t xml:space="preserve">21 - TRIP DISTANCIA ESTENDIDA FASES </t>
  </si>
  <si>
    <t>21EM</t>
  </si>
  <si>
    <t xml:space="preserve">21 - TRIP DISTANCIA ESTENDIDA MONOFASICA </t>
  </si>
  <si>
    <t>21FA</t>
  </si>
  <si>
    <t>21 - TRIP DISTANCIA FASE A</t>
  </si>
  <si>
    <t>21FB</t>
  </si>
  <si>
    <t>21 - TRIP DISTANCIA FASE B</t>
  </si>
  <si>
    <t>21FC</t>
  </si>
  <si>
    <t>21 - TRIP DISTANCIA FASE C</t>
  </si>
  <si>
    <t>21MO</t>
  </si>
  <si>
    <t>21 - TRIP DISTANCIA MONOFASICO</t>
  </si>
  <si>
    <t>21MF</t>
  </si>
  <si>
    <t>21 - TRIP DISTANCIA MULTI FASES</t>
  </si>
  <si>
    <t>21N</t>
  </si>
  <si>
    <t>21 - TRIP DISTANCIA NEUTRO</t>
  </si>
  <si>
    <t>21F1</t>
  </si>
  <si>
    <t>21 - TRIP FASE ZONA 1</t>
  </si>
  <si>
    <t>21F2</t>
  </si>
  <si>
    <t>21 - TRIP FASE ZONA 2</t>
  </si>
  <si>
    <t>21F3</t>
  </si>
  <si>
    <t>21 - TRIP FASE ZONA 3</t>
  </si>
  <si>
    <t>21F4</t>
  </si>
  <si>
    <t>21 - TRIP FASE ZONA 4</t>
  </si>
  <si>
    <t>21N1</t>
  </si>
  <si>
    <t>21 - TRIP NEUTRO ZONA 1</t>
  </si>
  <si>
    <t>21N2</t>
  </si>
  <si>
    <t>21 - TRIP NEUTRO ZONA 2</t>
  </si>
  <si>
    <t>21N3</t>
  </si>
  <si>
    <t>21 - TRIP NEUTRO ZONA 3</t>
  </si>
  <si>
    <t>21N4</t>
  </si>
  <si>
    <t>21 - TRIP NEUTRO ZONA 4</t>
  </si>
  <si>
    <t>21 - TRIP ZONA 1</t>
  </si>
  <si>
    <t>21Z1</t>
  </si>
  <si>
    <t>21 - TRIP ZONA 2</t>
  </si>
  <si>
    <t>21Z2</t>
  </si>
  <si>
    <t>21 - TRIP ZONA 3</t>
  </si>
  <si>
    <t>21Z3</t>
  </si>
  <si>
    <t>21 - TRIP ZONA 4</t>
  </si>
  <si>
    <t>21Z4</t>
  </si>
  <si>
    <t>21Z5</t>
  </si>
  <si>
    <t>21 - TRIP ZONA 5</t>
  </si>
  <si>
    <t>24I</t>
  </si>
  <si>
    <t>24 - INSTANTANEA SOBREEXCITACAO (VOLTS HERTZ)</t>
  </si>
  <si>
    <t>24I1</t>
  </si>
  <si>
    <t>24 - INSTANTANEA SOBREEXCITACAO (VOLTS HERTZ) E1</t>
  </si>
  <si>
    <t>24I2</t>
  </si>
  <si>
    <t>24 - INSTANTANEA SOBREEXCITACAO (VOLTS HERTZ) E2</t>
  </si>
  <si>
    <t>24T</t>
  </si>
  <si>
    <t>24 - TEMPORIZADA SOBREEXCITACAO (VOLTS HERTZ)</t>
  </si>
  <si>
    <t>24T1</t>
  </si>
  <si>
    <t>24 - TEMPORIZADA SOBREEXCITACAO (VOLTS HERTZ) E1</t>
  </si>
  <si>
    <t>24T2</t>
  </si>
  <si>
    <t>24 - TEMPORIZADA SOBREEXCITACAO (VOLTS HERTZ) E2</t>
  </si>
  <si>
    <t>24 - TRIP SOBREEXCITACAO (VOLTS HERTZ)</t>
  </si>
  <si>
    <t>25_T</t>
  </si>
  <si>
    <t>25 - TRIP SINCRONISMO</t>
  </si>
  <si>
    <t>25AM</t>
  </si>
  <si>
    <t>null@null___MANUAL@AUTOMATICO___Custom_S_TS_SS</t>
  </si>
  <si>
    <t>25AT</t>
  </si>
  <si>
    <t>25 - TRIP DIFERENCA DE ANGULO</t>
  </si>
  <si>
    <t>25CA</t>
  </si>
  <si>
    <t>25 - FALTA VCA RELE SINCRONISMO</t>
  </si>
  <si>
    <t>null@null___NORMAL@FALTA___Custom_S_TS_SB</t>
  </si>
  <si>
    <t>25ER</t>
  </si>
  <si>
    <t>25 - FALHA SINCRONISMO</t>
  </si>
  <si>
    <t>null@null___NORMAL@FALHA___Custom_S_TS_SB</t>
  </si>
  <si>
    <t>FALHA SINCRONISMO PARALELISMO</t>
  </si>
  <si>
    <t>25FT</t>
  </si>
  <si>
    <t>25 - TRIP DIFERENCA FREQUENCIA</t>
  </si>
  <si>
    <t>25IE</t>
  </si>
  <si>
    <t>25 - FUNCAO SINCRONISMO</t>
  </si>
  <si>
    <t>INCLUIR@EXCLUIR___INCLUIDO@EXCLUIDO___Enabled_S_TC_SS</t>
  </si>
  <si>
    <t>25LR</t>
  </si>
  <si>
    <t>null@null___REMOTO@LOCAL___Custom_S_TS_SS</t>
  </si>
  <si>
    <t>25OK</t>
  </si>
  <si>
    <t>25 - SINCRONISMO FONTE/CARGA</t>
  </si>
  <si>
    <t>null@null___NORMAL@ATUADO___Custom_S_TS_SB</t>
  </si>
  <si>
    <t>25VT</t>
  </si>
  <si>
    <t>25 - TRIP DIFERENCA TENSAO</t>
  </si>
  <si>
    <t>AJ25</t>
  </si>
  <si>
    <t>AJUSTE PARA AL25</t>
  </si>
  <si>
    <t>ALARMES PREDIAIS/VF/GRUPO</t>
  </si>
  <si>
    <t>DESATIVAR@ATIVAR___DESATIVADO@ATIVADO___Custom_S_TC_SV</t>
  </si>
  <si>
    <t>TOA</t>
  </si>
  <si>
    <t>26 - ALARME TEMPERATURA OLEO</t>
  </si>
  <si>
    <t>TOC</t>
  </si>
  <si>
    <t>26 - ALARME TEMPERATURA OLEO CDC</t>
  </si>
  <si>
    <t>TOD</t>
  </si>
  <si>
    <t>26 - TRIP TEMPERATURA OLEO</t>
  </si>
  <si>
    <t>TOEA</t>
  </si>
  <si>
    <t>26 49 - ALARME TEMPERATURA</t>
  </si>
  <si>
    <t>null@null___NORMAL@ATUADO___Custom_S_TS_SI</t>
  </si>
  <si>
    <t>26 49 - FUNCAO TEMPERATURA</t>
  </si>
  <si>
    <t>TOED</t>
  </si>
  <si>
    <t>26 49 - TRIP TEMPERATURA</t>
  </si>
  <si>
    <t>27BL</t>
  </si>
  <si>
    <t>27 - BLOQUEIO SUBTENSAO</t>
  </si>
  <si>
    <t>27 - FUNCAO SUBTENSAO</t>
  </si>
  <si>
    <t>27 - SUBTENSAO BARRA</t>
  </si>
  <si>
    <t>27BR</t>
  </si>
  <si>
    <t>27CD</t>
  </si>
  <si>
    <t>27 - SUBTENSAO E1</t>
  </si>
  <si>
    <t>27E1</t>
  </si>
  <si>
    <t>27 - SUBTENSAO E2</t>
  </si>
  <si>
    <t>27E2</t>
  </si>
  <si>
    <t>27AB</t>
  </si>
  <si>
    <t>27 - SUBTENSAO FASE AB</t>
  </si>
  <si>
    <t>27AC</t>
  </si>
  <si>
    <t>27 - SUBTENSAO FASE AC</t>
  </si>
  <si>
    <t>27BC</t>
  </si>
  <si>
    <t>27 - SUBTENSAO FASE BC</t>
  </si>
  <si>
    <t>27 - SUBTENSAO LINHA</t>
  </si>
  <si>
    <t>27LT</t>
  </si>
  <si>
    <t>27TP</t>
  </si>
  <si>
    <t>27 - SUBTENSAO TP</t>
  </si>
  <si>
    <t>27CA</t>
  </si>
  <si>
    <t>27 - SUBTENSAO VCA</t>
  </si>
  <si>
    <t>27CC</t>
  </si>
  <si>
    <t>27 - SUBTENSAO VCC</t>
  </si>
  <si>
    <t>27_T</t>
  </si>
  <si>
    <t>27 - TRIP SUBTENSAO</t>
  </si>
  <si>
    <t>27 59 - SUBTENSAO OU SOBRETENSAO</t>
  </si>
  <si>
    <t>32 - DIRECIONAL DE POTENCIA</t>
  </si>
  <si>
    <t>43AM</t>
  </si>
  <si>
    <t>43 - CHAVE AUTOMATICO MANUAL</t>
  </si>
  <si>
    <t>43LR</t>
  </si>
  <si>
    <t>43 - CHAVE LOCAL REMOTO</t>
  </si>
  <si>
    <t>Local</t>
  </si>
  <si>
    <t>null@null___REMOTO@LOCAL__Local_S_TS_SS</t>
  </si>
  <si>
    <t>43CD</t>
  </si>
  <si>
    <t>43 - CHAVE LOCAL REMOTO COMUTADOR</t>
  </si>
  <si>
    <t>43VF</t>
  </si>
  <si>
    <t>43 - CHAVE LOCAL REMOTO VENTILACAO FORCADA</t>
  </si>
  <si>
    <t>43EP</t>
  </si>
  <si>
    <t>43 - CHAVE PROTECAO</t>
  </si>
  <si>
    <t>43RT</t>
  </si>
  <si>
    <t>43 - CHAVE REJEICAO POR TEMPERATURA</t>
  </si>
  <si>
    <t>43TC</t>
  </si>
  <si>
    <t>43 - CHAVE TELECOMANDO</t>
  </si>
  <si>
    <t>null@null___INCLUIDO@EXCLUIDO___Local_S_TS_SS</t>
  </si>
  <si>
    <t>CDLR</t>
  </si>
  <si>
    <t>RLCD</t>
  </si>
  <si>
    <t>90LR</t>
  </si>
  <si>
    <t>PLLR</t>
  </si>
  <si>
    <t>43TP</t>
  </si>
  <si>
    <t>43 - TRANSFERENCIA DE PROTECAO</t>
  </si>
  <si>
    <t>INCLUIR@EXCLUIR___INCLUIDO@EXCLUIDO___Custom_S_TC_SS</t>
  </si>
  <si>
    <t>43TR</t>
  </si>
  <si>
    <t>46 - CORRENTE DE SEQUENCIA NEGATIVA</t>
  </si>
  <si>
    <t>46E1</t>
  </si>
  <si>
    <t>46 - CORRENTE DE SEQUENCIA NEGATIVA E1</t>
  </si>
  <si>
    <t>TEA</t>
  </si>
  <si>
    <t>TED</t>
  </si>
  <si>
    <t>50CD</t>
  </si>
  <si>
    <t>50 - SOBRECORRENTE CDC</t>
  </si>
  <si>
    <t>50_1</t>
  </si>
  <si>
    <t>50_2</t>
  </si>
  <si>
    <t>50BF</t>
  </si>
  <si>
    <t>50F</t>
  </si>
  <si>
    <t>50FA</t>
  </si>
  <si>
    <t>50FB</t>
  </si>
  <si>
    <t>50FC</t>
  </si>
  <si>
    <t>50CA</t>
  </si>
  <si>
    <t>50F1</t>
  </si>
  <si>
    <t>50F2</t>
  </si>
  <si>
    <t>50F3</t>
  </si>
  <si>
    <t>50FN</t>
  </si>
  <si>
    <t>50N</t>
  </si>
  <si>
    <t>50N1</t>
  </si>
  <si>
    <t>50N2</t>
  </si>
  <si>
    <t>50N3</t>
  </si>
  <si>
    <t>5BKP</t>
  </si>
  <si>
    <t>5F</t>
  </si>
  <si>
    <t>5FA</t>
  </si>
  <si>
    <t>5FB</t>
  </si>
  <si>
    <t>5FC</t>
  </si>
  <si>
    <t>5FN</t>
  </si>
  <si>
    <t>5FN1</t>
  </si>
  <si>
    <t>5FN2</t>
  </si>
  <si>
    <t>5N</t>
  </si>
  <si>
    <t>5NBK</t>
  </si>
  <si>
    <t>561F</t>
  </si>
  <si>
    <t>50 51 61 - FASE</t>
  </si>
  <si>
    <t>51N</t>
  </si>
  <si>
    <t>51F</t>
  </si>
  <si>
    <t>51FA</t>
  </si>
  <si>
    <t>51FB</t>
  </si>
  <si>
    <t>51FC</t>
  </si>
  <si>
    <t>51CA</t>
  </si>
  <si>
    <t>51F1</t>
  </si>
  <si>
    <t>51F2</t>
  </si>
  <si>
    <t>51FN</t>
  </si>
  <si>
    <t>51NL</t>
  </si>
  <si>
    <t>51N1</t>
  </si>
  <si>
    <t>51N2</t>
  </si>
  <si>
    <t>51V</t>
  </si>
  <si>
    <t>51 61 - FASE NEUTRO</t>
  </si>
  <si>
    <t>59 - FUNCAO SOBRETENSAO</t>
  </si>
  <si>
    <t>59A</t>
  </si>
  <si>
    <t>59CD</t>
  </si>
  <si>
    <t>59 - SOBRETENSAO E1</t>
  </si>
  <si>
    <t>59E1</t>
  </si>
  <si>
    <t>59 - SOBRETENSAO E2</t>
  </si>
  <si>
    <t>59E2</t>
  </si>
  <si>
    <t>59E3</t>
  </si>
  <si>
    <t>59 - SOBRETENSAO E3</t>
  </si>
  <si>
    <t>59E4</t>
  </si>
  <si>
    <t>59 - SOBRETENSAO E4</t>
  </si>
  <si>
    <t>59E5</t>
  </si>
  <si>
    <t>59 - SOBRETENSAO E5</t>
  </si>
  <si>
    <t>59N</t>
  </si>
  <si>
    <t>59 - SOBRETENSAO NEUTRO</t>
  </si>
  <si>
    <t>59_T</t>
  </si>
  <si>
    <t>59 - TRIP SOBRETENSAO</t>
  </si>
  <si>
    <t>61 - DESEQUILIBRIO</t>
  </si>
  <si>
    <t>61_1</t>
  </si>
  <si>
    <t>61_2</t>
  </si>
  <si>
    <t>61I</t>
  </si>
  <si>
    <t>61 - DESEQUILIBRIO INSTANTANEO</t>
  </si>
  <si>
    <t>62BF</t>
  </si>
  <si>
    <t>62 - FALHA DISJUNTOR BLOQUEIO</t>
  </si>
  <si>
    <t>BFAT</t>
  </si>
  <si>
    <t>62 - FALHA DISJUNTOR BLOQUEIO AT</t>
  </si>
  <si>
    <t>BFP1</t>
  </si>
  <si>
    <t>62 - FALHA DISJUNTOR BLOQUEIO BARRA P1</t>
  </si>
  <si>
    <t>BFP2</t>
  </si>
  <si>
    <t>62 - FALHA DISJUNTOR BLOQUEIO BARRA P2</t>
  </si>
  <si>
    <t>BFP3</t>
  </si>
  <si>
    <t>62 - FALHA DISJUNTOR BLOQUEIO BARRA P3</t>
  </si>
  <si>
    <t>BFBT</t>
  </si>
  <si>
    <t>63CA</t>
  </si>
  <si>
    <t>63A</t>
  </si>
  <si>
    <t>63TA</t>
  </si>
  <si>
    <t>63TC</t>
  </si>
  <si>
    <t>63C</t>
  </si>
  <si>
    <t>63 - TRIP BUCHHOLZ CDC</t>
  </si>
  <si>
    <t>63T</t>
  </si>
  <si>
    <t xml:space="preserve">63 - TRIP BUCHHOLZ TRAFO  </t>
  </si>
  <si>
    <t>67FTD</t>
  </si>
  <si>
    <t>67 - DIRECIONAL SOBRECORRENTE DIRETO FASE TEMPORIZADA</t>
  </si>
  <si>
    <t>67NTD</t>
  </si>
  <si>
    <t>67 - DIRECIONAL SOBRECORRENTE DIRETO NEUTRO TEMPORIZADA</t>
  </si>
  <si>
    <t>67_1</t>
  </si>
  <si>
    <t>67 - DIRECIONAL SOBRECORRENTE E1</t>
  </si>
  <si>
    <t>67_2</t>
  </si>
  <si>
    <t>67 - DIRECIONAL SOBRECORRENTE E2</t>
  </si>
  <si>
    <t>67F</t>
  </si>
  <si>
    <t>67 - DIRECIONAL SOBRECORRENTE FASE</t>
  </si>
  <si>
    <t>67FA</t>
  </si>
  <si>
    <t>67 - DIRECIONAL SOBRECORRENTE FASE A</t>
  </si>
  <si>
    <t>67FB</t>
  </si>
  <si>
    <t>67 - DIRECIONAL SOBRECORRENTE FASE B</t>
  </si>
  <si>
    <t>67FC</t>
  </si>
  <si>
    <t>67 - DIRECIONAL SOBRECORRENTE FASE C</t>
  </si>
  <si>
    <t>67F1</t>
  </si>
  <si>
    <t>67 - DIRECIONAL SOBRECORRENTE FASE E1</t>
  </si>
  <si>
    <t>67F2</t>
  </si>
  <si>
    <t>67 - DIRECIONAL SOBRECORRENTE FASE E2</t>
  </si>
  <si>
    <t>67FT</t>
  </si>
  <si>
    <t>67 - DIRECIONAL SOBRECORRENTE FASE TEMPORIZADO</t>
  </si>
  <si>
    <t>67P1</t>
  </si>
  <si>
    <t>67 - DIRECIONAL SOBRECORRENTE FASE TEMPORIZADO E1</t>
  </si>
  <si>
    <t>67P2</t>
  </si>
  <si>
    <t>67 - DIRECIONAL SOBRECORRENTE FASE TEMPORIZADO E2</t>
  </si>
  <si>
    <t>67N</t>
  </si>
  <si>
    <t>67 - DIRECIONAL SOBRECORRENTE NEUTRO</t>
  </si>
  <si>
    <t>67N1</t>
  </si>
  <si>
    <t>67 - DIRECIONAL SOBRECORRENTE NEUTRO E1</t>
  </si>
  <si>
    <t>67N2</t>
  </si>
  <si>
    <t>67NT</t>
  </si>
  <si>
    <t>67 - DIRECIONAL SOBRECORRENTE NEUTRO TEMPORIZADO</t>
  </si>
  <si>
    <t>67NT1</t>
  </si>
  <si>
    <t>67 - DIRECIONAL SOBRECORRENTE NEUTRO TEMPORIZADO E1</t>
  </si>
  <si>
    <t>67NT2</t>
  </si>
  <si>
    <t>67 - DIRECIONAL SOBRECORRENTE NEUTRO TEMPORIZADO E2</t>
  </si>
  <si>
    <t>67FTR</t>
  </si>
  <si>
    <t>67 - DIRECIONAL SOBRECORRENTE REVERSO FASE TEMPORIZADA</t>
  </si>
  <si>
    <t>67NTR</t>
  </si>
  <si>
    <t>67 - DIRECIONAL SOBRECORRENTE REVERSO NEUTRO TEMPORIZADA</t>
  </si>
  <si>
    <t>67 - FUNCAO DIRECIONAL SOBRECORRENTE</t>
  </si>
  <si>
    <t>67NX</t>
  </si>
  <si>
    <t>67 - FUNCAO DIRECIONAL SOBRECORRENTE NEUTRO</t>
  </si>
  <si>
    <t>67_T</t>
  </si>
  <si>
    <t>67 - TRIP DIRECIONAL SOBRECORRENTE</t>
  </si>
  <si>
    <t>71H</t>
  </si>
  <si>
    <t>71 - NIVEL ALTO OLEO</t>
  </si>
  <si>
    <t>71CH</t>
  </si>
  <si>
    <t>71 - NIVEL ALTO OLEO CDC</t>
  </si>
  <si>
    <t>71HI</t>
  </si>
  <si>
    <t>71 - NIVEL ALTO OLEO CDC OU TRAFO</t>
  </si>
  <si>
    <t>71TH</t>
  </si>
  <si>
    <t>71 - NIVEL ALTO OLEO TRAFO</t>
  </si>
  <si>
    <t>71L</t>
  </si>
  <si>
    <t xml:space="preserve">71 - NIVEL BAIXO OLEO  </t>
  </si>
  <si>
    <t>71CL</t>
  </si>
  <si>
    <t>71 - NIVEL BAIXO OLEO CDC</t>
  </si>
  <si>
    <t>71LO</t>
  </si>
  <si>
    <t>71 - NIVEL BAIXO OLEO CDC OU TRAFO</t>
  </si>
  <si>
    <t>71TL</t>
  </si>
  <si>
    <t>71 - NIVEL BAIXO OLEO TRAFO</t>
  </si>
  <si>
    <t>71C</t>
  </si>
  <si>
    <t>71 - NIVEL OLEO CDC</t>
  </si>
  <si>
    <t>71TC</t>
  </si>
  <si>
    <t>71 - NIVEL OLEO CDC OU TRAFO</t>
  </si>
  <si>
    <t>71T</t>
  </si>
  <si>
    <t>71 - NIVEL OLEO TRAFO</t>
  </si>
  <si>
    <t>78_T</t>
  </si>
  <si>
    <t>78 - DESEQUILIBRIO ANGULO FASE</t>
  </si>
  <si>
    <t>78VS</t>
  </si>
  <si>
    <t>78 - SALTO VETOR ANTI-ILHAMENTO</t>
  </si>
  <si>
    <t>79 - FUNCAO RELIGAMENTO</t>
  </si>
  <si>
    <t>ReclosingEnabled</t>
  </si>
  <si>
    <t>79_1</t>
  </si>
  <si>
    <t>79 - PARTIDA RELIGAMENTO</t>
  </si>
  <si>
    <t>79LO</t>
  </si>
  <si>
    <t>79 - RELIGAMENTO BLOQUEADO</t>
  </si>
  <si>
    <t>RecloserLockout</t>
  </si>
  <si>
    <t>RELIGADOR BLOQUEADO</t>
  </si>
  <si>
    <t>79OK</t>
  </si>
  <si>
    <t>79 - RELIGAMENTO COM SUCESSO</t>
  </si>
  <si>
    <t>79_EXC</t>
  </si>
  <si>
    <t>79_INC</t>
  </si>
  <si>
    <t>79_L</t>
  </si>
  <si>
    <t>79 - RELIGAMENTO LOCAL</t>
  </si>
  <si>
    <t>79RE</t>
  </si>
  <si>
    <t>79 - RELIGAMENTO PRONTO</t>
  </si>
  <si>
    <t>79TF</t>
  </si>
  <si>
    <t>79 - RELIGAMENTO TRANSFERIDO</t>
  </si>
  <si>
    <t xml:space="preserve">81 - FUNCAO SUB/SOB FREQUENCIA </t>
  </si>
  <si>
    <t>81O1</t>
  </si>
  <si>
    <t>81 - TRIP SOBRE FREQUENCIA</t>
  </si>
  <si>
    <t>81SO</t>
  </si>
  <si>
    <t>81O2</t>
  </si>
  <si>
    <t>81SU</t>
  </si>
  <si>
    <t>81 - TRIP SUB FREQUENCIA</t>
  </si>
  <si>
    <t>81_T</t>
  </si>
  <si>
    <t xml:space="preserve">81 - TRIP SUB/SOBRE FREQUENCIA </t>
  </si>
  <si>
    <t>81IE1</t>
  </si>
  <si>
    <t>81 - TRIP SUB/SOBRE FREQUENCIA E1</t>
  </si>
  <si>
    <t>81IE2</t>
  </si>
  <si>
    <t>81 - TRIP SUB/SOBRE FREQUENCIA E2</t>
  </si>
  <si>
    <t>81E1</t>
  </si>
  <si>
    <t>81E2</t>
  </si>
  <si>
    <t>81E3</t>
  </si>
  <si>
    <t>81E4</t>
  </si>
  <si>
    <t>85 - TRIP TELEPROTECAO</t>
  </si>
  <si>
    <t>86 - BLOQUEIO</t>
  </si>
  <si>
    <t>REARMAR@null___NORMAL@ATUADO___Custom_S_TC_SA</t>
  </si>
  <si>
    <t>86BF</t>
  </si>
  <si>
    <t>86C</t>
  </si>
  <si>
    <t>86 - BLOQUEIO CDC</t>
  </si>
  <si>
    <t>86FL</t>
  </si>
  <si>
    <t>86 - FALHA CIRCUITO RELE</t>
  </si>
  <si>
    <t>87BL</t>
  </si>
  <si>
    <t>87 - DIFERENCIAL BLOQUEIO</t>
  </si>
  <si>
    <t>87A</t>
  </si>
  <si>
    <t>87 - DIFERENCIAL FASE A</t>
  </si>
  <si>
    <t>87B</t>
  </si>
  <si>
    <t>87 - DIFERENCIAL FASE B</t>
  </si>
  <si>
    <t>87C</t>
  </si>
  <si>
    <t>87 - DIFERENCIAL FASE C</t>
  </si>
  <si>
    <t>87_I</t>
  </si>
  <si>
    <t>87 - DIFERENCIAL INSTANTANEO</t>
  </si>
  <si>
    <t>87U</t>
  </si>
  <si>
    <t>87 - DIFERENCIAL NAO RESTRITO</t>
  </si>
  <si>
    <t>87U1</t>
  </si>
  <si>
    <t>87 - DIFERENCIAL NAO RESTRITO E1</t>
  </si>
  <si>
    <t>87U2</t>
  </si>
  <si>
    <t>87 - DIFERENCIAL NAO RESTRITO E2</t>
  </si>
  <si>
    <t>87R</t>
  </si>
  <si>
    <t>87 - DIFERENCIAL RESTRITO</t>
  </si>
  <si>
    <t>87R1</t>
  </si>
  <si>
    <t>87 - DIFERENCIAL RESTRITO E1</t>
  </si>
  <si>
    <t>87R2</t>
  </si>
  <si>
    <t>87 - DIFERENCIAL RESTRITO E2</t>
  </si>
  <si>
    <t>87EF</t>
  </si>
  <si>
    <t>87 - DIFERENCIAL RESTRITO FALTA A TERRA</t>
  </si>
  <si>
    <t>87RA</t>
  </si>
  <si>
    <t>87 - DIFERENCIAL RESTRITO FASE A</t>
  </si>
  <si>
    <t>87RB</t>
  </si>
  <si>
    <t>87 - DIFERENCIAL RESTRITO FASE B</t>
  </si>
  <si>
    <t>87RC</t>
  </si>
  <si>
    <t>87 - DIFERENCIAL RESTRITO FASE C</t>
  </si>
  <si>
    <t>87Q</t>
  </si>
  <si>
    <t>87 - DIFERENCIAL SEQUENCIA NEGATIVA</t>
  </si>
  <si>
    <t>87Q1</t>
  </si>
  <si>
    <t>87 - DIFERENCIAL SEQUENCIA NEGATIVA E1</t>
  </si>
  <si>
    <t>87Q2</t>
  </si>
  <si>
    <t>87 - DIFERENCIAL SEQUENCIA NEGATIVA E2</t>
  </si>
  <si>
    <t>87 - DIFERENCIAL TEMPORIZADO</t>
  </si>
  <si>
    <t>87TA</t>
  </si>
  <si>
    <t>87 - DIFERENCIAL TEMPORIZADO FASE A</t>
  </si>
  <si>
    <t>87TB</t>
  </si>
  <si>
    <t>87 - DIFERENCIAL TEMPORIZADO FASE B</t>
  </si>
  <si>
    <t>87TC</t>
  </si>
  <si>
    <t>87 - DIFERENCIAL TEMPORIZADO FASE C</t>
  </si>
  <si>
    <t>87G</t>
  </si>
  <si>
    <t>87 - DIFERENCIAL TERRA</t>
  </si>
  <si>
    <t>87 - FUNCAO DIFERENCIAL</t>
  </si>
  <si>
    <t>87_T</t>
  </si>
  <si>
    <t>87 - TRIP DIFERENCIAL</t>
  </si>
  <si>
    <t>87LT</t>
  </si>
  <si>
    <t>87 - TRIP DIFERENCIAL LINHA</t>
  </si>
  <si>
    <t>87 50 - FASE NEUTRO</t>
  </si>
  <si>
    <t>90I</t>
  </si>
  <si>
    <t xml:space="preserve">90 - BLOQUEIO SOBRECORRENTE RELE 90 </t>
  </si>
  <si>
    <t>90V</t>
  </si>
  <si>
    <t>90 - BLOQUEIO TENSAO RELE 90</t>
  </si>
  <si>
    <t>COMA</t>
  </si>
  <si>
    <t>Parallel</t>
  </si>
  <si>
    <t>null@null___DESATIVADO@ATIVADO___Custom_S_TS_SS</t>
  </si>
  <si>
    <t>90DP</t>
  </si>
  <si>
    <t>90 - DISCREPANCIA DE TAP</t>
  </si>
  <si>
    <t>null@null___NORMAL@DISCREPANCIA___Custom_S_TS_SA</t>
  </si>
  <si>
    <t>FC90</t>
  </si>
  <si>
    <t>90FU</t>
  </si>
  <si>
    <t>90 - FALHA FUSIVEL</t>
  </si>
  <si>
    <t>90 - FUNCAO REGULADOR</t>
  </si>
  <si>
    <t>R90</t>
  </si>
  <si>
    <t>INDI</t>
  </si>
  <si>
    <t>90 - POSICAO INDIVIDUAL</t>
  </si>
  <si>
    <t>null@MESTRE___DESATIVADO@ATIVADO___Custom_S_TC_SS</t>
  </si>
  <si>
    <t>MEST</t>
  </si>
  <si>
    <t>90 - POSICAO MESTRE</t>
  </si>
  <si>
    <t>null@INDIVIDUAL___DESATIVADO@ATIVADO___Custom_S_TC_SS</t>
  </si>
  <si>
    <t>94 - RETRIP</t>
  </si>
  <si>
    <t>ABBN</t>
  </si>
  <si>
    <t>ABERTURA PELA BOBINA DE NEUTRO</t>
  </si>
  <si>
    <t>81U1</t>
  </si>
  <si>
    <t>null@null___DESABILITADO@HABILITADO___Custom_S_TS_SV</t>
  </si>
  <si>
    <t>81U2</t>
  </si>
  <si>
    <t>81U3</t>
  </si>
  <si>
    <t>81U4</t>
  </si>
  <si>
    <t>81U5</t>
  </si>
  <si>
    <t>AJ1</t>
  </si>
  <si>
    <t>AJUSTE PARA AL1</t>
  </si>
  <si>
    <t>J124</t>
  </si>
  <si>
    <t>AJUSTE PARA AL1 OU AL2 OU AL4</t>
  </si>
  <si>
    <t>AJ12</t>
  </si>
  <si>
    <t>AJUSTE PARA AL12</t>
  </si>
  <si>
    <t>AJ13</t>
  </si>
  <si>
    <t>AJUSTE PARA AL13</t>
  </si>
  <si>
    <t>AJ14</t>
  </si>
  <si>
    <t>AJUSTE PARA AL14</t>
  </si>
  <si>
    <t>AJ15</t>
  </si>
  <si>
    <t>AJUSTE PARA AL15</t>
  </si>
  <si>
    <t>AJ16</t>
  </si>
  <si>
    <t>AJUSTE PARA AL16</t>
  </si>
  <si>
    <t>AJ17</t>
  </si>
  <si>
    <t>AJUSTE PARA AL17</t>
  </si>
  <si>
    <t>AJ18</t>
  </si>
  <si>
    <t>AJUSTE PARA AL18</t>
  </si>
  <si>
    <t>AJ2</t>
  </si>
  <si>
    <t>AJUSTE PARA AL2</t>
  </si>
  <si>
    <t>AJ21</t>
  </si>
  <si>
    <t>AJUSTE PARA AL21</t>
  </si>
  <si>
    <t>DR25</t>
  </si>
  <si>
    <t>DEFEITO RELE 25</t>
  </si>
  <si>
    <t>AJ26</t>
  </si>
  <si>
    <t>AJUSTE PARA AL26</t>
  </si>
  <si>
    <t>AJ27</t>
  </si>
  <si>
    <t>AJUSTE PARA AL27</t>
  </si>
  <si>
    <t>AJ28</t>
  </si>
  <si>
    <t>AJUSTE PARA AL28</t>
  </si>
  <si>
    <t>AJ3</t>
  </si>
  <si>
    <t>AJUSTE PARA AL3</t>
  </si>
  <si>
    <t>AJ31</t>
  </si>
  <si>
    <t>AJUSTE PARA AL31</t>
  </si>
  <si>
    <t>AJ32</t>
  </si>
  <si>
    <t>AJUSTE PARA AL32</t>
  </si>
  <si>
    <t>AJ33</t>
  </si>
  <si>
    <t>AJUSTE PARA AL33</t>
  </si>
  <si>
    <t>AJ34</t>
  </si>
  <si>
    <t>AJUSTE PARA AL34</t>
  </si>
  <si>
    <t>AJ4</t>
  </si>
  <si>
    <t>AJUSTE PARA AL4</t>
  </si>
  <si>
    <t>AJ5</t>
  </si>
  <si>
    <t>AJUSTE PARA AL5</t>
  </si>
  <si>
    <t>AJ6</t>
  </si>
  <si>
    <t>AJUSTE PARA AL6</t>
  </si>
  <si>
    <t>AJ7</t>
  </si>
  <si>
    <t>AJUSTE PARA AL7</t>
  </si>
  <si>
    <t>AJ8</t>
  </si>
  <si>
    <t>AJUSTE PARA AL8</t>
  </si>
  <si>
    <t>AJG1</t>
  </si>
  <si>
    <t>AJUSTE PARA GRUPO 1</t>
  </si>
  <si>
    <t>AJG2</t>
  </si>
  <si>
    <t>AJUSTE PARA GRUPO 2</t>
  </si>
  <si>
    <t>AJG3</t>
  </si>
  <si>
    <t>AJUSTE PARA GRUPO 3</t>
  </si>
  <si>
    <t>AJG4</t>
  </si>
  <si>
    <t>AJUSTE PARA GRUPO 4</t>
  </si>
  <si>
    <t>AJG5</t>
  </si>
  <si>
    <t>AJUSTE PARA GRUPO 5</t>
  </si>
  <si>
    <t>AJG6</t>
  </si>
  <si>
    <t>AJUSTE PARA GRUPO 6</t>
  </si>
  <si>
    <t>AJNM</t>
  </si>
  <si>
    <t>AJUSTE PARA GRUPO NORMAL</t>
  </si>
  <si>
    <t>ALARME BATERIA</t>
  </si>
  <si>
    <t>BATA</t>
  </si>
  <si>
    <t>ALM</t>
  </si>
  <si>
    <t>ALARME GERAL</t>
  </si>
  <si>
    <t>PRES</t>
  </si>
  <si>
    <t>ALARME PREDIAL</t>
  </si>
  <si>
    <t>PREX</t>
  </si>
  <si>
    <t>ALARME PREDIAL PRESENCA EXTERNA</t>
  </si>
  <si>
    <t>PRIN</t>
  </si>
  <si>
    <t>ALARME PREDIAL PRESENCA INTERNA</t>
  </si>
  <si>
    <t>PROL</t>
  </si>
  <si>
    <t>ALARME PRESSAO DE OLEO</t>
  </si>
  <si>
    <t>RETA</t>
  </si>
  <si>
    <t>ALARME RETIFICADOR</t>
  </si>
  <si>
    <t>SIRE</t>
  </si>
  <si>
    <t>ALARME SONORO</t>
  </si>
  <si>
    <t>DSAB</t>
  </si>
  <si>
    <t>ALARMES DESABILITADOS</t>
  </si>
  <si>
    <t>ANP</t>
  </si>
  <si>
    <t>ANOMALIA PROTECAO</t>
  </si>
  <si>
    <t>ANR</t>
  </si>
  <si>
    <t>ANOMALIA REDE</t>
  </si>
  <si>
    <t>ZERO</t>
  </si>
  <si>
    <t>AUTO ZERO</t>
  </si>
  <si>
    <t>AUTOMATISMO</t>
  </si>
  <si>
    <t>AUTO</t>
  </si>
  <si>
    <t>AUTD</t>
  </si>
  <si>
    <t>AUTOMATISMO DESLIGA</t>
  </si>
  <si>
    <t>AUTL</t>
  </si>
  <si>
    <t>AUTOMATISMO LIGA</t>
  </si>
  <si>
    <t>90VF</t>
  </si>
  <si>
    <t>AUTOMATISMO RELE 90 E VENTILACAO FORCADA</t>
  </si>
  <si>
    <t>BXAR</t>
  </si>
  <si>
    <t>BAIXA PRESSAO AR COMPRIMIDO</t>
  </si>
  <si>
    <t>SF6</t>
  </si>
  <si>
    <t>BAIXA PRESSAO SF6</t>
  </si>
  <si>
    <t>SF6A</t>
  </si>
  <si>
    <t>SF6B</t>
  </si>
  <si>
    <t>BADC</t>
  </si>
  <si>
    <t>BATERIA EM DESCARGA</t>
  </si>
  <si>
    <t>B5M</t>
  </si>
  <si>
    <t>BLOQUEIO 5 MINUTOS</t>
  </si>
  <si>
    <t>BAB</t>
  </si>
  <si>
    <t>BLOQUEIO ABERTURA BAIXO AR COMPRIMIDO</t>
  </si>
  <si>
    <t>BCDC</t>
  </si>
  <si>
    <t>BLOQUEIO CDC</t>
  </si>
  <si>
    <t>BLA</t>
  </si>
  <si>
    <t>BLOQUEIO COMANDO ABERTURA</t>
  </si>
  <si>
    <t>BFC</t>
  </si>
  <si>
    <t>BLOQUEIO COMANDO FECHAMENTO</t>
  </si>
  <si>
    <t>BLDJ</t>
  </si>
  <si>
    <t>BLOQUEIO DISJUNTOR</t>
  </si>
  <si>
    <t>BSEC</t>
  </si>
  <si>
    <t>BLOQUEIO MANOBRA SECCIONADORA</t>
  </si>
  <si>
    <t>BLV</t>
  </si>
  <si>
    <t>BLOQUEIO POR TENSAO DE RETORNO</t>
  </si>
  <si>
    <t>BPBR</t>
  </si>
  <si>
    <t>BLOQUEIO PROTECAO DE BARRA</t>
  </si>
  <si>
    <t>BBAB</t>
  </si>
  <si>
    <t>BOBINA ABERTURA</t>
  </si>
  <si>
    <t>CIRCUITO ABERTURA</t>
  </si>
  <si>
    <t>BBA1</t>
  </si>
  <si>
    <t>BOBINA ABERTURA 1</t>
  </si>
  <si>
    <t>BBA2</t>
  </si>
  <si>
    <t>BOBINA ABERTURA 2</t>
  </si>
  <si>
    <t>BAF1</t>
  </si>
  <si>
    <t>BOBINA ABERTURA FECHAMENTO 1</t>
  </si>
  <si>
    <t>BAF2</t>
  </si>
  <si>
    <t>BOBINA ABERTURA FECHAMENTO 2</t>
  </si>
  <si>
    <t>BBAF</t>
  </si>
  <si>
    <t>BOBINA ABERTURA OU FECHAMENTO</t>
  </si>
  <si>
    <t>BBFC</t>
  </si>
  <si>
    <t>BOBINA FECHAMENTO</t>
  </si>
  <si>
    <t>BAVL</t>
  </si>
  <si>
    <t>CARREGAMENTO DA BATERIA</t>
  </si>
  <si>
    <t>CDAM</t>
  </si>
  <si>
    <t>CDC AUTOMATICO MANUAL</t>
  </si>
  <si>
    <t>CDC</t>
  </si>
  <si>
    <t>CDLA</t>
  </si>
  <si>
    <t>CDC LOCAL AUTOMATICO</t>
  </si>
  <si>
    <t>CDLM</t>
  </si>
  <si>
    <t>CDC LOCAL MANUAL</t>
  </si>
  <si>
    <t>CDCO</t>
  </si>
  <si>
    <t>CDRA</t>
  </si>
  <si>
    <t>CDC REMOTO AUTOMATICO</t>
  </si>
  <si>
    <t>CDRM</t>
  </si>
  <si>
    <t>CDC REMOTO MANUAL</t>
  </si>
  <si>
    <t>DEFC</t>
  </si>
  <si>
    <t>CENTRAL DE ALARME DEFEITO</t>
  </si>
  <si>
    <t>VFCH</t>
  </si>
  <si>
    <t>CHAVE GERAL VENTILACAO FORCADA</t>
  </si>
  <si>
    <t>VFDE</t>
  </si>
  <si>
    <t>CHAVE VENTILACAO FORCADA DESLIGADA</t>
  </si>
  <si>
    <t>VFMA</t>
  </si>
  <si>
    <t>CHAVE VENTILACAO FORCADA MANUAL</t>
  </si>
  <si>
    <t>VFRE</t>
  </si>
  <si>
    <t>CHAVE VENTILACAO FORCADA REMOTO</t>
  </si>
  <si>
    <t>CAB</t>
  </si>
  <si>
    <t>CAB1</t>
  </si>
  <si>
    <t>CIRCUITO ABERTURA 1</t>
  </si>
  <si>
    <t>CAB2</t>
  </si>
  <si>
    <t>CIRCUITO ABERTURA 2</t>
  </si>
  <si>
    <t>CFC</t>
  </si>
  <si>
    <t>CIRCUITO FECHAMENTO</t>
  </si>
  <si>
    <t>CMD</t>
  </si>
  <si>
    <t>COMANDO</t>
  </si>
  <si>
    <t>FCRE</t>
  </si>
  <si>
    <t>COMANDO FECHAMENTO REMOTO</t>
  </si>
  <si>
    <t>COMUTADOR</t>
  </si>
  <si>
    <t>TapIncrement</t>
  </si>
  <si>
    <t>ICC</t>
  </si>
  <si>
    <t>DCDC</t>
  </si>
  <si>
    <t>DEFEITO CDC</t>
  </si>
  <si>
    <t>DCMD</t>
  </si>
  <si>
    <t>DEFEITO COMANDO</t>
  </si>
  <si>
    <t>DFDJ</t>
  </si>
  <si>
    <t>DEFEITO DISJUNTOR</t>
  </si>
  <si>
    <t>DMOT</t>
  </si>
  <si>
    <t>DEFEITO MOTOR</t>
  </si>
  <si>
    <t>CDMT</t>
  </si>
  <si>
    <t>DEFEITO MOTOR CDC</t>
  </si>
  <si>
    <t>DPT1</t>
  </si>
  <si>
    <t>DEFEITO PT100</t>
  </si>
  <si>
    <t>DR</t>
  </si>
  <si>
    <t>DEFEITO RELE</t>
  </si>
  <si>
    <t>DR21</t>
  </si>
  <si>
    <t>DEFEITO RELE 21</t>
  </si>
  <si>
    <t>DR14</t>
  </si>
  <si>
    <t>DEFEITO RELE 2414</t>
  </si>
  <si>
    <t>FC25</t>
  </si>
  <si>
    <t>DR67</t>
  </si>
  <si>
    <t>DEFEITO RELE 67</t>
  </si>
  <si>
    <t>DR81</t>
  </si>
  <si>
    <t>DEFEITO RELE 81</t>
  </si>
  <si>
    <t>DR87</t>
  </si>
  <si>
    <t>DEFEITO RELE 87</t>
  </si>
  <si>
    <t>DR90</t>
  </si>
  <si>
    <t>DEFEITO RELE 90</t>
  </si>
  <si>
    <t>DRRT</t>
  </si>
  <si>
    <t>DEFEITO RELE ALTERNADO</t>
  </si>
  <si>
    <t>DRPL</t>
  </si>
  <si>
    <t>DEFEITO RELE MONITOR DE PARALELISMO</t>
  </si>
  <si>
    <t>DRTM</t>
  </si>
  <si>
    <t>DEFEITO RELE MONITORAMENTO DE TEMPERATURA</t>
  </si>
  <si>
    <t>DEFEITO RELE MONITORAMENTO DE TEMPERATURA 1</t>
  </si>
  <si>
    <t>DRT1</t>
  </si>
  <si>
    <t>DRT2</t>
  </si>
  <si>
    <t>DEFEITO RELE MONITORAMENTO DE TEMPERATURA 2</t>
  </si>
  <si>
    <t>DRTMAVR</t>
  </si>
  <si>
    <t>DEFEITO RELE MONITORAMENTO DE TEMPERATURA E AVR</t>
  </si>
  <si>
    <t>DRPR</t>
  </si>
  <si>
    <t>DEFEITO RELE PRINCIPAL</t>
  </si>
  <si>
    <t>DREL</t>
  </si>
  <si>
    <t>DEFEITO RELIGADOR</t>
  </si>
  <si>
    <t>DRET</t>
  </si>
  <si>
    <t>DEFEITO RETIFICADOR</t>
  </si>
  <si>
    <t>DSEC</t>
  </si>
  <si>
    <t>DEFEITO SECCIONADORA</t>
  </si>
  <si>
    <t>DSEX</t>
  </si>
  <si>
    <t>DEFEITO SENSOR EXTERNO</t>
  </si>
  <si>
    <t>DSIM</t>
  </si>
  <si>
    <t>DEFEITO SIMULTANEO</t>
  </si>
  <si>
    <t>DHT</t>
  </si>
  <si>
    <t>DHT - SECADOR DE SILICA</t>
  </si>
  <si>
    <t>DIAF</t>
  </si>
  <si>
    <t>DIAFRAGMA TRANSFORMADOR</t>
  </si>
  <si>
    <t>DJA1</t>
  </si>
  <si>
    <t>DISJUNTOR NA</t>
  </si>
  <si>
    <t>SwitchStatus</t>
  </si>
  <si>
    <t>DISJUNTOR NF</t>
  </si>
  <si>
    <t>DJF1</t>
  </si>
  <si>
    <t>EST</t>
  </si>
  <si>
    <t>ESTADO EQUIPAMENTO</t>
  </si>
  <si>
    <t>FLAF</t>
  </si>
  <si>
    <t>FALHA ABERTURA OU FECHAMENTO</t>
  </si>
  <si>
    <t>BMB</t>
  </si>
  <si>
    <t>FCTL</t>
  </si>
  <si>
    <t>FALHA CANAL TELEPROTECAO</t>
  </si>
  <si>
    <t>CDFL</t>
  </si>
  <si>
    <t>FALHA CDC</t>
  </si>
  <si>
    <t>FCOM</t>
  </si>
  <si>
    <t>FALHA COMUNICACAO</t>
  </si>
  <si>
    <t>FCAV</t>
  </si>
  <si>
    <t>FALHA COMUNICACAO AVR RELE 90</t>
  </si>
  <si>
    <t>FCPR</t>
  </si>
  <si>
    <t>FALHA COMUNICACAO PARALELISMO INTERNO</t>
  </si>
  <si>
    <t>FC21</t>
  </si>
  <si>
    <t>FALHA COMUNICACAO RELE 21</t>
  </si>
  <si>
    <t>FC14</t>
  </si>
  <si>
    <t>FALHA COMUNICACAO RELE 2414</t>
  </si>
  <si>
    <t>FALHA COMUNICACAO RELE 25</t>
  </si>
  <si>
    <t>FC67</t>
  </si>
  <si>
    <t>FALHA COMUNICACAO RELE 67</t>
  </si>
  <si>
    <t>FC87</t>
  </si>
  <si>
    <t>FALHA COMUNICACAO RELE 87</t>
  </si>
  <si>
    <t>FALHA COMUNICACAO RELE 90</t>
  </si>
  <si>
    <t>FALHA COMUNICACAO SPS</t>
  </si>
  <si>
    <t>FCRC</t>
  </si>
  <si>
    <t>FALHA COMUNICACAO RELE CONTROLE</t>
  </si>
  <si>
    <t>FCTM</t>
  </si>
  <si>
    <t>FALHA COMUNICACAO RELE MONITORAMENTO DE TEMPERATURA</t>
  </si>
  <si>
    <t>FALHA COMUNICACAO RELE MONITORAMENTO DE TEMPERATURA 1</t>
  </si>
  <si>
    <t>FCT1</t>
  </si>
  <si>
    <t>FALHA COMUNICACAO RELE MONITORAMENTO DE TEMPERATURA 2</t>
  </si>
  <si>
    <t>FCT2</t>
  </si>
  <si>
    <t>FCT3</t>
  </si>
  <si>
    <t>FALHA COMUNICACAO RELE MONITORAMENTO DE TEMPERATURA 3</t>
  </si>
  <si>
    <t>FCPL</t>
  </si>
  <si>
    <t>FALHA COMUNICACAO RELE MONITORAMENTO PARALELISMO</t>
  </si>
  <si>
    <t>FCRP</t>
  </si>
  <si>
    <t>FALHA COMUNICACAO RELE PROTECAO</t>
  </si>
  <si>
    <t>FCTA</t>
  </si>
  <si>
    <t>FALHA COMUNICACAO SENSOR TEMPERATURA AMBIENTE E UMIDADE</t>
  </si>
  <si>
    <t>FCSA</t>
  </si>
  <si>
    <t>FALHA COMUNICACAO SERVICO AUXILIAR</t>
  </si>
  <si>
    <t>FCCA</t>
  </si>
  <si>
    <t>FALHA COMUNICACAO SERVICO AUXILIAR VCA</t>
  </si>
  <si>
    <t>FCCC</t>
  </si>
  <si>
    <t>FALHA COMUNICACAO SERVICO AUXILIAR VCC</t>
  </si>
  <si>
    <t>FCSP</t>
  </si>
  <si>
    <t>FCM</t>
  </si>
  <si>
    <t>FALHA COMUNICACAO TRANSDUTOR</t>
  </si>
  <si>
    <t>FCMP</t>
  </si>
  <si>
    <t>FALHA COMUNICAO COMPRESSOR</t>
  </si>
  <si>
    <t>FCMR</t>
  </si>
  <si>
    <t>FALHA COMUNICAO TRANSDUTOR RESERVA</t>
  </si>
  <si>
    <t>FCMT</t>
  </si>
  <si>
    <t>FALHA COMUTADOR</t>
  </si>
  <si>
    <t>FLAB</t>
  </si>
  <si>
    <t>FALHA DE ABERTURA</t>
  </si>
  <si>
    <t>FLFC</t>
  </si>
  <si>
    <t>FALHA DE FECHAMENTO</t>
  </si>
  <si>
    <t>FIOL</t>
  </si>
  <si>
    <t>FALHA FILTRO DE OLEO</t>
  </si>
  <si>
    <t>OLFL</t>
  </si>
  <si>
    <t>FALHA FLUXO DE OLEO</t>
  </si>
  <si>
    <t>RLFU</t>
  </si>
  <si>
    <t>FALHA FUSIVEL 1</t>
  </si>
  <si>
    <t>FALHA FUSIVEL</t>
  </si>
  <si>
    <t>FU1</t>
  </si>
  <si>
    <t>FUTP</t>
  </si>
  <si>
    <t>FALHA FUSIVEL TP</t>
  </si>
  <si>
    <t>FALH</t>
  </si>
  <si>
    <t>FALHA GERAL</t>
  </si>
  <si>
    <t>GOOS</t>
  </si>
  <si>
    <t>FALHA GOOSE</t>
  </si>
  <si>
    <t>FSIN</t>
  </si>
  <si>
    <t>FALHA IRIG B - SINCRONISMO</t>
  </si>
  <si>
    <t>FALHA SINCRONISMO HORA</t>
  </si>
  <si>
    <t>PRTF</t>
  </si>
  <si>
    <t>FALHA PROTECAO</t>
  </si>
  <si>
    <t>RXER</t>
  </si>
  <si>
    <t>FALHA RECEPCAO DADOS RX</t>
  </si>
  <si>
    <t>FSEC</t>
  </si>
  <si>
    <t>FALHA SECCIONADORA</t>
  </si>
  <si>
    <t>FSIH</t>
  </si>
  <si>
    <t>FPAR</t>
  </si>
  <si>
    <t>FVF</t>
  </si>
  <si>
    <t>FALHA VENTILACAO FORCADA</t>
  </si>
  <si>
    <t>FVF1</t>
  </si>
  <si>
    <t>FALHA VENTILACAO FORCADA 1</t>
  </si>
  <si>
    <t>FVF2</t>
  </si>
  <si>
    <t>FALHA VENTILACAO FORCADA 2</t>
  </si>
  <si>
    <t>ZHI</t>
  </si>
  <si>
    <t>FALTA ALTA IMPEDANCIA</t>
  </si>
  <si>
    <t>ZLO</t>
  </si>
  <si>
    <t>FALTA BAIXA IMPEDANCIA</t>
  </si>
  <si>
    <t>HIZ</t>
  </si>
  <si>
    <t>FALTA DE ALTA IMPEDANCIA</t>
  </si>
  <si>
    <t>HIF1A</t>
  </si>
  <si>
    <t>FALTA DE ALTA IMPEDANCIA FASE A</t>
  </si>
  <si>
    <t>HIF1B</t>
  </si>
  <si>
    <t>FALTA DE ALTA IMPEDANCIA FASE B</t>
  </si>
  <si>
    <t>HIF1C</t>
  </si>
  <si>
    <t>FALTA DE ALTA IMPEDANCIA FASE C</t>
  </si>
  <si>
    <t>FINT</t>
  </si>
  <si>
    <t>FALTA INTERMITENTE</t>
  </si>
  <si>
    <t>FPBR</t>
  </si>
  <si>
    <t>FALTA POTENCIAL BARRA</t>
  </si>
  <si>
    <t>FPP1</t>
  </si>
  <si>
    <t>FALTA POTENCIAL BARRA P1</t>
  </si>
  <si>
    <t>FPP2</t>
  </si>
  <si>
    <t>FALTA POTENCIAL BARRA P2</t>
  </si>
  <si>
    <t>FVLT</t>
  </si>
  <si>
    <t>FALTA POTENCIAL LT</t>
  </si>
  <si>
    <t>CAFL</t>
  </si>
  <si>
    <t>FALTA VCA</t>
  </si>
  <si>
    <t>FALTA VCA COMANDO</t>
  </si>
  <si>
    <t>CACD</t>
  </si>
  <si>
    <t>CACO</t>
  </si>
  <si>
    <t>CAMO</t>
  </si>
  <si>
    <t>FALTA VCA MOTOR</t>
  </si>
  <si>
    <t>CASC</t>
  </si>
  <si>
    <t>FALTA VCA SECCIONADORA</t>
  </si>
  <si>
    <t>CCSC</t>
  </si>
  <si>
    <t>CAVF</t>
  </si>
  <si>
    <t>FALTA VCA VENTILACAO FORCADA</t>
  </si>
  <si>
    <t>CCFL</t>
  </si>
  <si>
    <t>FALTA VCC</t>
  </si>
  <si>
    <t>VCC ALARME</t>
  </si>
  <si>
    <t>CCAB</t>
  </si>
  <si>
    <t>FALTA VCC CIRCUITO ABERTURA</t>
  </si>
  <si>
    <t>CCA1</t>
  </si>
  <si>
    <t>FALTA VCC CIRCUITO ABERTURA 1</t>
  </si>
  <si>
    <t>CCA2</t>
  </si>
  <si>
    <t>FALTA VCC CIRCUITO ABERTURA 2</t>
  </si>
  <si>
    <t>CCFC</t>
  </si>
  <si>
    <t>FALTA VCC CIRCUITO FECHAMENTO</t>
  </si>
  <si>
    <t>86CC</t>
  </si>
  <si>
    <t>FALTA VCC CIRCUITO RELE 86</t>
  </si>
  <si>
    <t>CCCO</t>
  </si>
  <si>
    <t>FALTA VCC COMANDO</t>
  </si>
  <si>
    <t>CCC1</t>
  </si>
  <si>
    <t>FALTA VCC COMANDO 1</t>
  </si>
  <si>
    <t>CCC2</t>
  </si>
  <si>
    <t>FALTA VCC COMANDO 2</t>
  </si>
  <si>
    <t>CCCM</t>
  </si>
  <si>
    <t>FALTA VCC COMANDO MOTOR</t>
  </si>
  <si>
    <t>CCMO</t>
  </si>
  <si>
    <t>FALTA VCC MOTOR</t>
  </si>
  <si>
    <t>CCPN</t>
  </si>
  <si>
    <t>FALTA VCC PAINEL</t>
  </si>
  <si>
    <t>CCCA</t>
  </si>
  <si>
    <t>FALTA VCC VCA</t>
  </si>
  <si>
    <t>MCCA</t>
  </si>
  <si>
    <t>FALTA VCC VCA MOLA</t>
  </si>
  <si>
    <t>VMTC</t>
  </si>
  <si>
    <t>FALTA VCC VCA MOTOR COMANDO</t>
  </si>
  <si>
    <t>FA</t>
  </si>
  <si>
    <t>FASE A</t>
  </si>
  <si>
    <t>FB</t>
  </si>
  <si>
    <t>FASE B</t>
  </si>
  <si>
    <t>FC</t>
  </si>
  <si>
    <t>FASE C</t>
  </si>
  <si>
    <t>FCBN</t>
  </si>
  <si>
    <t>FECHAMENTO PELA BOBINA NEUTRO</t>
  </si>
  <si>
    <t>FCSN</t>
  </si>
  <si>
    <t>FECHAMENTO POR SINCRONISMO</t>
  </si>
  <si>
    <t>FCSF</t>
  </si>
  <si>
    <t>FECHAMENTO SOB FALTA</t>
  </si>
  <si>
    <t>FGTE</t>
  </si>
  <si>
    <t>FUGA TERRA</t>
  </si>
  <si>
    <t>SOTX</t>
  </si>
  <si>
    <t>FUNCAO FECHAMENTO SOB FALTA</t>
  </si>
  <si>
    <t>PBEX</t>
  </si>
  <si>
    <t>FUNCAO PROTECAO DE BARRA</t>
  </si>
  <si>
    <t>SGF</t>
  </si>
  <si>
    <t>FUNCAO SGF</t>
  </si>
  <si>
    <t>TDS</t>
  </si>
  <si>
    <t>FUNCAO TRIP DEFEITO SIMULTANEO</t>
  </si>
  <si>
    <t>AJST</t>
  </si>
  <si>
    <t>GRUPO DE AJUSTE</t>
  </si>
  <si>
    <t>G1</t>
  </si>
  <si>
    <t>GRUPO DE AJUSTE 1</t>
  </si>
  <si>
    <t>G2</t>
  </si>
  <si>
    <t>GRUPO DE AJUSTE 2</t>
  </si>
  <si>
    <t>G3</t>
  </si>
  <si>
    <t>GRUPO DE AJUSTE 3</t>
  </si>
  <si>
    <t>G4</t>
  </si>
  <si>
    <t>GRUPO DE AJUSTE 4</t>
  </si>
  <si>
    <t>G5</t>
  </si>
  <si>
    <t>GRUPO DE AJUSTE 5</t>
  </si>
  <si>
    <t>G6</t>
  </si>
  <si>
    <t>GRUPO DE AJUSTE 6</t>
  </si>
  <si>
    <t>81AJST</t>
  </si>
  <si>
    <t>GRUPO DE AJUSTE FUNCAO 81</t>
  </si>
  <si>
    <t>GRPO</t>
  </si>
  <si>
    <t>AJGP</t>
  </si>
  <si>
    <t>GRUPOS DE AJUSTE</t>
  </si>
  <si>
    <t>CMDE</t>
  </si>
  <si>
    <t>HLT</t>
  </si>
  <si>
    <t>HOT LINE TAG</t>
  </si>
  <si>
    <t>HotLineTag</t>
  </si>
  <si>
    <t>null@null___DESABILITADO@HABILITADO___HotLineTag_S_TS_SS</t>
  </si>
  <si>
    <t>ITFA</t>
  </si>
  <si>
    <t>INTERTRIP FASE A</t>
  </si>
  <si>
    <t>ITFB</t>
  </si>
  <si>
    <t>INTERTRIP FASE B</t>
  </si>
  <si>
    <t>ITFC</t>
  </si>
  <si>
    <t>INTERTRIP FASE C</t>
  </si>
  <si>
    <t>ITGE</t>
  </si>
  <si>
    <t>INTERTRIP GERAL</t>
  </si>
  <si>
    <t>LMAB</t>
  </si>
  <si>
    <t>LIBERA MANOBRA ABERTURA</t>
  </si>
  <si>
    <t>LMFE</t>
  </si>
  <si>
    <t>LIBERA MANOBRA FECHAMENTO</t>
  </si>
  <si>
    <t>LMLO</t>
  </si>
  <si>
    <t>LIBERA MANOBRA LOCAL</t>
  </si>
  <si>
    <t>MLRE</t>
  </si>
  <si>
    <t>MAL FUNCIONAMENTO</t>
  </si>
  <si>
    <t>MANI</t>
  </si>
  <si>
    <t>MANIVELA COMANDO MANUAL</t>
  </si>
  <si>
    <t>MD</t>
  </si>
  <si>
    <t>MINI DISJUNTOR</t>
  </si>
  <si>
    <t>MD38</t>
  </si>
  <si>
    <t>MINI DISJUNTOR 138KV</t>
  </si>
  <si>
    <t>MD13</t>
  </si>
  <si>
    <t>MINI DISJUNTOR 13KV</t>
  </si>
  <si>
    <t>MD23</t>
  </si>
  <si>
    <t>MINI DISJUNTOR 23KV</t>
  </si>
  <si>
    <t>MD69</t>
  </si>
  <si>
    <t>MINI DISJUNTOR 69KV</t>
  </si>
  <si>
    <t>MDBC</t>
  </si>
  <si>
    <t>MINI DISJUNTOR BARRA PAINEL</t>
  </si>
  <si>
    <t>MDBP</t>
  </si>
  <si>
    <t>MINI DISJUNTOR BARRA PATIO</t>
  </si>
  <si>
    <t>MDCD</t>
  </si>
  <si>
    <t>MINI DISJUNTOR CDC</t>
  </si>
  <si>
    <t>MDCM</t>
  </si>
  <si>
    <t>MINI DISJUNTOR COMANDO</t>
  </si>
  <si>
    <t>MDFA</t>
  </si>
  <si>
    <t>MINI DISJUNTOR FASE A</t>
  </si>
  <si>
    <t>MDFB</t>
  </si>
  <si>
    <t>MINI DISJUNTOR FASE B</t>
  </si>
  <si>
    <t>MDFC</t>
  </si>
  <si>
    <t>MINI DISJUNTOR FASE C</t>
  </si>
  <si>
    <t>MDLT</t>
  </si>
  <si>
    <t>MINI DISJUNTOR LT</t>
  </si>
  <si>
    <t>MDLC</t>
  </si>
  <si>
    <t>MINI DISJUNTOR LT PAINEL</t>
  </si>
  <si>
    <t>MDLP</t>
  </si>
  <si>
    <t>MINI DISJUNTOR LT PATIO</t>
  </si>
  <si>
    <t>MDOL</t>
  </si>
  <si>
    <t>MINI DISJUNTOR OLEO</t>
  </si>
  <si>
    <t>MDPM</t>
  </si>
  <si>
    <t>MINI DISJUNTOR PAINEL MEDICAO</t>
  </si>
  <si>
    <t>MDTP</t>
  </si>
  <si>
    <t>MINI DISJUNTOR TP</t>
  </si>
  <si>
    <t>MDTM</t>
  </si>
  <si>
    <t>MINI DISJUNTOR TP MEDICAO</t>
  </si>
  <si>
    <t>MDMT</t>
  </si>
  <si>
    <t>MINI DISJUNTOR TP MEDICAO CDC</t>
  </si>
  <si>
    <t>MDPN</t>
  </si>
  <si>
    <t>MINI DISJUNTOR TP PAINEL</t>
  </si>
  <si>
    <t>MDCA</t>
  </si>
  <si>
    <t>MINI DISJUNTOR VCA</t>
  </si>
  <si>
    <t>MDCC</t>
  </si>
  <si>
    <t>MINI DISJUNTOR VCC</t>
  </si>
  <si>
    <t>MODULO TRANSFERIDO</t>
  </si>
  <si>
    <t>MTRF</t>
  </si>
  <si>
    <t>MOLA</t>
  </si>
  <si>
    <t>MLCC</t>
  </si>
  <si>
    <t>NEGT</t>
  </si>
  <si>
    <t>NEGATIVADO A TERRA</t>
  </si>
  <si>
    <t>N</t>
  </si>
  <si>
    <t>NEUTRO</t>
  </si>
  <si>
    <t>OI</t>
  </si>
  <si>
    <t>OAUT</t>
  </si>
  <si>
    <t>OPERAÇÃO PELO AUTOMATISMO</t>
  </si>
  <si>
    <t>PARALELO</t>
  </si>
  <si>
    <t>PPOT</t>
  </si>
  <si>
    <t>PERDA DE POTENCIAL</t>
  </si>
  <si>
    <t>PVRF</t>
  </si>
  <si>
    <t>PERDA DE TENSAO DE REFERENCIA</t>
  </si>
  <si>
    <t>PALT</t>
  </si>
  <si>
    <t>PERFIL DE AJUSTE ALTERNATIVO</t>
  </si>
  <si>
    <t>PNOR</t>
  </si>
  <si>
    <t>PERFIL DE AJUSTE NORMAL</t>
  </si>
  <si>
    <t>PERP</t>
  </si>
  <si>
    <t>PERMISSAO PARALELISMO</t>
  </si>
  <si>
    <t>P51F</t>
  </si>
  <si>
    <t>PICK UP 51F</t>
  </si>
  <si>
    <t>P51N</t>
  </si>
  <si>
    <t>PICK UP 51N</t>
  </si>
  <si>
    <t>PORT</t>
  </si>
  <si>
    <t>PORTA SUBESTACAO</t>
  </si>
  <si>
    <t>PORU</t>
  </si>
  <si>
    <t>PORTA UTR</t>
  </si>
  <si>
    <t>PORO</t>
  </si>
  <si>
    <t>PORTAO SUBESTACAO</t>
  </si>
  <si>
    <t>DJIE</t>
  </si>
  <si>
    <t>POSICAO DISJUNTOR EXTRAIVEL</t>
  </si>
  <si>
    <t>POST</t>
  </si>
  <si>
    <t>POSITIVO A TERRA</t>
  </si>
  <si>
    <t>PROTECAO BLOQUEADA</t>
  </si>
  <si>
    <t>PB</t>
  </si>
  <si>
    <t>PROTECAO DE BARRA</t>
  </si>
  <si>
    <t>Funciona como um 50 da barra (quando há defeito na barra e não nos alimentadores). Atua com um tempo pré-determinado (geralmente 150ms) e é utilizado para diminuir o tempo de atuação sobre o defeito (devido os tempos de seletividade).</t>
  </si>
  <si>
    <t>PBF</t>
  </si>
  <si>
    <t>PROTECAO DE BARRA FASE</t>
  </si>
  <si>
    <t>PBF1</t>
  </si>
  <si>
    <t>PBF2</t>
  </si>
  <si>
    <t>PBN</t>
  </si>
  <si>
    <t>PROTECAO DE BARRA NEUTRO</t>
  </si>
  <si>
    <t>PBN1</t>
  </si>
  <si>
    <t>PROTECAO DE BARRA NEUTRO 1</t>
  </si>
  <si>
    <t>PBN2</t>
  </si>
  <si>
    <t>PROTECAO DE BARRA NEUTRO 2</t>
  </si>
  <si>
    <t>PB1</t>
  </si>
  <si>
    <t>PROTECAO DE BARRA P1</t>
  </si>
  <si>
    <t>PB2</t>
  </si>
  <si>
    <t>PROTECAO DE BARRA P2</t>
  </si>
  <si>
    <t>TPNO</t>
  </si>
  <si>
    <t>PROTECAO NAO TRANSFERIDA</t>
  </si>
  <si>
    <t>PROTECAO TRANSFERIDA</t>
  </si>
  <si>
    <t>TPOK</t>
  </si>
  <si>
    <t>R90E</t>
  </si>
  <si>
    <t>RELE 90 EMERGENCIAL</t>
  </si>
  <si>
    <t>RGBL</t>
  </si>
  <si>
    <t>CTPC</t>
  </si>
  <si>
    <t>RUPTURA MEMBRANA</t>
  </si>
  <si>
    <t>SCAR</t>
  </si>
  <si>
    <t>SECADOR DE AR</t>
  </si>
  <si>
    <t>SECB</t>
  </si>
  <si>
    <t>SECCIONADORA BYPASS</t>
  </si>
  <si>
    <t>SECC</t>
  </si>
  <si>
    <t>SECCIONADORA CARGA</t>
  </si>
  <si>
    <t>SECCIONADORA FONTE</t>
  </si>
  <si>
    <t>SECF</t>
  </si>
  <si>
    <t>SECI</t>
  </si>
  <si>
    <t>SECCIONADORA INTERBARRAS</t>
  </si>
  <si>
    <t>SECL</t>
  </si>
  <si>
    <t>SECCIONADORA INTERLINHAS</t>
  </si>
  <si>
    <t>SECG</t>
  </si>
  <si>
    <t>SECCIONADORA TERRA</t>
  </si>
  <si>
    <t>SECT</t>
  </si>
  <si>
    <t>SECCIONADORA TRANSFERENCIA</t>
  </si>
  <si>
    <t>FUMA</t>
  </si>
  <si>
    <t>SENSOR FUMACA</t>
  </si>
  <si>
    <t>SEXT</t>
  </si>
  <si>
    <t>SENSOR PRESENCA EXTERNO</t>
  </si>
  <si>
    <t>SINT</t>
  </si>
  <si>
    <t>STMP</t>
  </si>
  <si>
    <t>SENSOR TEMPERATURA</t>
  </si>
  <si>
    <t>SFAB</t>
  </si>
  <si>
    <t>SF6 BLOQUEIO ABERTURA</t>
  </si>
  <si>
    <t>SFFC</t>
  </si>
  <si>
    <t>SF6 BLOQUEIO FECHAMENTO</t>
  </si>
  <si>
    <t>SOBC</t>
  </si>
  <si>
    <t>SOBRECARGA</t>
  </si>
  <si>
    <t>BAHI</t>
  </si>
  <si>
    <t>TENSAO ALTA BATERIA</t>
  </si>
  <si>
    <t>BATL</t>
  </si>
  <si>
    <t>TENSAO BAIXA BATERIA</t>
  </si>
  <si>
    <t>RVTL</t>
  </si>
  <si>
    <t>TENSAO BAIXA RELE 90</t>
  </si>
  <si>
    <t>TPIN</t>
  </si>
  <si>
    <t>TRANSFERENCIA DE PROTECAO</t>
  </si>
  <si>
    <t>DTT</t>
  </si>
  <si>
    <t>TRANSFERENCIA DE TRIP</t>
  </si>
  <si>
    <t>DTTT</t>
  </si>
  <si>
    <t>TRIP</t>
  </si>
  <si>
    <t>SIMD</t>
  </si>
  <si>
    <t>TRIP DEFEITO SIMULTANEO</t>
  </si>
  <si>
    <t>TEXT</t>
  </si>
  <si>
    <t>TRIP EXTERNO</t>
  </si>
  <si>
    <t>RXTR</t>
  </si>
  <si>
    <t>TRIP EXTERNO RECEBIDO</t>
  </si>
  <si>
    <t>TXTR</t>
  </si>
  <si>
    <t>TRIP EXTERNO TRANSMITIDO</t>
  </si>
  <si>
    <t>TRIP FECHAMENTO SOB FALTA</t>
  </si>
  <si>
    <t>SOTF</t>
  </si>
  <si>
    <t>TRAL</t>
  </si>
  <si>
    <t>TRIP PARA ALIMENTADORES</t>
  </si>
  <si>
    <t>POTT</t>
  </si>
  <si>
    <t>TRIP POR TELEPROTECAO</t>
  </si>
  <si>
    <t>TRPR</t>
  </si>
  <si>
    <t>TRIP RECEBIDO</t>
  </si>
  <si>
    <t>SGFT</t>
  </si>
  <si>
    <t>TRIP SGF</t>
  </si>
  <si>
    <t>SGT2</t>
  </si>
  <si>
    <t>TRPT</t>
  </si>
  <si>
    <t>REFE</t>
  </si>
  <si>
    <t>VARIAÇÃO DA TENSAO DE REFERÊNCIA POR MVA</t>
  </si>
  <si>
    <t>CAAL</t>
  </si>
  <si>
    <t>VCA ALARME</t>
  </si>
  <si>
    <t>CAAQ</t>
  </si>
  <si>
    <t>VCA AQUECIMENTO</t>
  </si>
  <si>
    <t>CAFI</t>
  </si>
  <si>
    <t>CASA</t>
  </si>
  <si>
    <t>VCA SERVICO AUXILIAR</t>
  </si>
  <si>
    <t>CCAL</t>
  </si>
  <si>
    <t>CCHI</t>
  </si>
  <si>
    <t>VCC ALTA</t>
  </si>
  <si>
    <t>CCLO</t>
  </si>
  <si>
    <t>VCC BAIXA</t>
  </si>
  <si>
    <t>VCPB</t>
  </si>
  <si>
    <t>VCC PROTECAO BARRA</t>
  </si>
  <si>
    <t>VF</t>
  </si>
  <si>
    <t>VENTILACAO FORCADA</t>
  </si>
  <si>
    <t>VF1</t>
  </si>
  <si>
    <t>VENTILACAO FORCADA 1</t>
  </si>
  <si>
    <t>VF2</t>
  </si>
  <si>
    <t>VENTILACAO FORCADA 2</t>
  </si>
  <si>
    <t>VFAM</t>
  </si>
  <si>
    <t>VENTILACAO FORCADA AUTOMATICA MANUAL</t>
  </si>
  <si>
    <t>VFAR</t>
  </si>
  <si>
    <t>VENTILACAO FORCADA AUTOMATICO REMOTO</t>
  </si>
  <si>
    <t>90PI</t>
  </si>
  <si>
    <t>FCMC</t>
  </si>
  <si>
    <t>FCRT</t>
  </si>
  <si>
    <t>FLNR</t>
  </si>
  <si>
    <t>M69C</t>
  </si>
  <si>
    <t>MDP1</t>
  </si>
  <si>
    <t>MDP2</t>
  </si>
  <si>
    <t>MDTP1</t>
  </si>
  <si>
    <t>MDTP2</t>
  </si>
  <si>
    <t>MINC</t>
  </si>
  <si>
    <t>MNAT</t>
  </si>
  <si>
    <t>VF1I</t>
  </si>
  <si>
    <t>VF1L</t>
  </si>
  <si>
    <t>VF2I</t>
  </si>
  <si>
    <t>VF2L</t>
  </si>
  <si>
    <t>59I</t>
  </si>
  <si>
    <t>59 - SOBRETENSAO INSTANTANEA</t>
  </si>
  <si>
    <t>61N</t>
  </si>
  <si>
    <t>61 - DESEQUILIBRIO NEUTRO</t>
  </si>
  <si>
    <t>61T</t>
  </si>
  <si>
    <t>61 - DESEQUILIBRIO TEMPORIZADO</t>
  </si>
  <si>
    <t>20 - TRIP VALVULA TRAFO OU CDC</t>
  </si>
  <si>
    <t>43 - CHAVE LOCAL REMOTO RELE 90</t>
  </si>
  <si>
    <t>43 - CHAVE LOCAL REMOTO RELE PARALELISMO</t>
  </si>
  <si>
    <t>43 - CHAVE LOCAL REMOTO TRANSFORMADOR</t>
  </si>
  <si>
    <t>67 - DIRECIONAL SOBRECORRENTE NEUTRO E2</t>
  </si>
  <si>
    <t>CDC MODO DE OPERACAO</t>
  </si>
  <si>
    <t>FALTA VCC SECCIONADORA</t>
  </si>
  <si>
    <t>TRANSFERENCIA DE TRIP TRIFASICO</t>
  </si>
  <si>
    <t>TYPE SEVERIDADE</t>
  </si>
  <si>
    <t>DIRECTION</t>
  </si>
  <si>
    <t>Read</t>
  </si>
  <si>
    <t>ReadWrite</t>
  </si>
  <si>
    <t>Usado para indicar que houve o trip do disjuntor do alimentador, devido atuação da proteção por temperatura dos transformadores. Para verificar quais alimentadores possuem a função ativada, deve-se verificar a folha de ajustes da proteção.</t>
  </si>
  <si>
    <t>Usado nos transformadores, pra indicar o trip por temperatura (óleo ou enrolamento).</t>
  </si>
  <si>
    <t>null@null___INCLUIDO@EXCLUIDO___Custom_S_TS_SS</t>
  </si>
  <si>
    <t>Write</t>
  </si>
  <si>
    <t>null@EXCLUIR___null@null___ReclosingEnabled___admsINV_D_TC_SS</t>
  </si>
  <si>
    <t>INCLUIR@null___null@null___ReclosingEnabled___admsINV_D_TC_SS</t>
  </si>
  <si>
    <t>null@COMANDADO___DESATIVADO@ATIVADO___Custom_S_TC_SS</t>
  </si>
  <si>
    <t>DESATIVAR@ATIVAR___DESATIVADO@ATIVADO___Custom_S_TS_SV</t>
  </si>
  <si>
    <t>null@null___DESATIVADO@ATIVADO___Custom_S_TS_SV</t>
  </si>
  <si>
    <t>DJ</t>
  </si>
  <si>
    <t>SE/ST/E2</t>
  </si>
  <si>
    <t>DEFEITOS</t>
  </si>
  <si>
    <t>SI</t>
  </si>
  <si>
    <t>SA/DA/A1</t>
  </si>
  <si>
    <t>SV/SP/DV/DP</t>
  </si>
  <si>
    <t>DJ BC/SEC</t>
  </si>
  <si>
    <t>SC/SO</t>
  </si>
  <si>
    <t>SB/DB</t>
  </si>
  <si>
    <t>SS/DS</t>
  </si>
  <si>
    <t>null@null___NORMAL@ATUADO___Custom_S_TS_SV</t>
  </si>
  <si>
    <t>null@null___NORMAL@DISPARADA___Custom_S_TS_SV</t>
  </si>
  <si>
    <t>ZERAR@null___null@null___Custom_S_TC_SS</t>
  </si>
  <si>
    <t>null@null___NORMAL@ATUADO___Custom_S_TS_SS</t>
  </si>
  <si>
    <t>null@null___CARGA@DESCARGA___Custom_S_TS_SB</t>
  </si>
  <si>
    <t>null@null___FALHA@OPERANDO___Custom_S_TS_SB</t>
  </si>
  <si>
    <t>null@null___AUTOMATICO@MANUAL___Custom_S_TS_SS</t>
  </si>
  <si>
    <t>null@null___LOCAL@REMOTO___Custom_S_TS_SS</t>
  </si>
  <si>
    <t>MESTRE@INDIVIDUAL@COMANDO___MESTRE@INDIVIDUAL@COMANDO___Parallel___admsINV_D_TC</t>
  </si>
  <si>
    <t>null@null___NORMAL@DEFEITO___Custom_S_TS_SP</t>
  </si>
  <si>
    <t>null@null___LIGADO@DESLIGADO___Custom_S_TS_SS</t>
  </si>
  <si>
    <t>null@null___DESABILITOU@HABILITOU___Custom_S_TS_SS</t>
  </si>
  <si>
    <t>AUMENTAR@DIMINUIR___null@null___TapIncrement_S_TC_SS</t>
  </si>
  <si>
    <t>RESET CORRENTE DE CURTO CIRCUITO</t>
  </si>
  <si>
    <t>RESET@null___null@null___Custom_S_TC_SS</t>
  </si>
  <si>
    <t>null@null___NORMAL@DEFEITO___Custom_S_TS_SB</t>
  </si>
  <si>
    <t>DESLIGAR@LIGAR___DESLIGADO@LIGADO___SwitchStatus_D_TC_SE</t>
  </si>
  <si>
    <t>DESLIGAR@LIGAR___DESLIGADO@LIGADO___SwitchStatus_D_TS_SE</t>
  </si>
  <si>
    <t>DESLIGAR@LIGAR___DESLIGADO@LIGADO___Custom_S_TS_SB</t>
  </si>
  <si>
    <t>Usado para indicar o estado do retificador.</t>
  </si>
  <si>
    <t>null@null___NORMAL@FALHA___Custom_S_TS_SI</t>
  </si>
  <si>
    <t>null@null___NORMAL@FALHA___Custom_S_TS_SA</t>
  </si>
  <si>
    <t>null@null___NORMAL@FALTA___Custom_S_TS_SA</t>
  </si>
  <si>
    <t>INCLUIR@EXCLUIR___INCLUIDO@EXCLUIDO___Enabled_S_TS_SS</t>
  </si>
  <si>
    <t>CMD_COS@null___REMOTO@LOCAL___Custom_S_TC_SS</t>
  </si>
  <si>
    <t>TROCA@null___null@null___Custom_S_TC_SV</t>
  </si>
  <si>
    <t>RELIGADOR@ALTERNATIVO___NORMAL@ALTERNATIVO___Custom_S_TC_SV</t>
  </si>
  <si>
    <t>G1@G2___GRUPO 1@GRUPO 2___Custom_S_TC_SV</t>
  </si>
  <si>
    <t>CMD_CEEE@CMD_RGE___CEEE@RGE___Custom___INV___admsINV_S_TC_SA</t>
  </si>
  <si>
    <t>INCLUIR@EXCLUIR___INCLUIDO@EXCLUIDO___HotLineTag_S_TC_SS</t>
  </si>
  <si>
    <t>An intertrip protection relay is a relay used in power systems to initiate a trip (opening) of a circuit breaker at a remote location when a fault is detected at another location on the same circuit</t>
  </si>
  <si>
    <t>null@null___BLOQUEADA@LIBERADA___Custom_S_TS_SS</t>
  </si>
  <si>
    <t>null@null___EXTRAIDA@INSERIDA___Custom_S_TS_SS</t>
  </si>
  <si>
    <t>21D</t>
  </si>
  <si>
    <t xml:space="preserve">21 - DISPARO LOCALIZADOR DE FALTA </t>
  </si>
  <si>
    <t>null@null___LIGADO@DESLIGADO___Custom_S_TS_SB</t>
  </si>
  <si>
    <t>null@null___CARREGADA@DESCARREGADA___Custom_S_TS_SB</t>
  </si>
  <si>
    <t>DESATIVAR@ATIVAR___DESATIVADO@ATIVADO___Custom_S_TC_SS</t>
  </si>
  <si>
    <t>null@null___NÃO PERMITIDO@PERMITIDO___Custom_S_TS_SS</t>
  </si>
  <si>
    <t>null@null___ABERTO@FECHADO___Custom_S_TS_SP</t>
  </si>
  <si>
    <t>LINHA</t>
  </si>
  <si>
    <t>BARRA</t>
  </si>
  <si>
    <t>TRANSFORMADOR</t>
  </si>
  <si>
    <t>ALIMENTADOR</t>
  </si>
  <si>
    <t>TRANSFERÊNCIA</t>
  </si>
  <si>
    <t>Agrupamento de falhas: vcc comando, motor, vca e 43LR</t>
  </si>
  <si>
    <t>DESBLOQUEAR@BLOQUEAR___NORMAL@BLOQUEADA___Enabled___admsINV_S_TS_SA</t>
  </si>
  <si>
    <t>null@null___NORMAL@INCOMPLETA___Custom_S_TS_SA</t>
  </si>
  <si>
    <t>null@null___NORMAL@COMPLETA___Custom_S_TS_SA</t>
  </si>
  <si>
    <t>MEMB</t>
  </si>
  <si>
    <t>ABRIR@FECHAR___ABERTO@FECHADO___SwitchStatus_D_TC_SO</t>
  </si>
  <si>
    <t>ABRIR@FECHAR___ABERTO@FECHADO___SwitchStatus_D_TS_SO</t>
  </si>
  <si>
    <t>null@null___COMPLETA@INCOMPLETA___Custom_S_TS_SA</t>
  </si>
  <si>
    <t>null@null___OPERANDO@BLOQUEADO___Custom_S_TS_SA</t>
  </si>
  <si>
    <t>FALHAS FCOM/VCA/VCC</t>
  </si>
  <si>
    <t>DESLIGAR@LIGAR___DESLIGADO@LIGADO___Custom_S_TC_SV</t>
  </si>
  <si>
    <t>DESLIGAR@LIGAR___DESLIGADO@LIGADO___Custom_S_TS_SV</t>
  </si>
  <si>
    <t>AUTOMATICO@MANUAL___AUTOMATICO@MANUAL___Custom___admsINV_S_TS_SV</t>
  </si>
  <si>
    <t>PARALELO@INDIVID___PARALELO@INDIVIDUAL___Custom_S_TS_SS</t>
  </si>
  <si>
    <t>RELE PARALELISMO</t>
  </si>
  <si>
    <t>DJAUX 69 PAINEL</t>
  </si>
  <si>
    <t>DJAUX TP BARRA P1 PAINEL</t>
  </si>
  <si>
    <t>DJAUX TP BARRA P2 PAINEL</t>
  </si>
  <si>
    <t>DJAUX TP PATIO BARRAP1</t>
  </si>
  <si>
    <t>DJAUX TP PATIO BARRAP2</t>
  </si>
  <si>
    <t>CHAVE VF1 PRIORITARIO</t>
  </si>
  <si>
    <t>CHAVE VF1 POSICAO LOCAL</t>
  </si>
  <si>
    <t>CHAVE VF2 PRIORITARIO</t>
  </si>
  <si>
    <t>CHAVE VF2 POSICAO LOCAL</t>
  </si>
  <si>
    <t>86 - BLOQUEIO DEFEITO DISJUNTOR</t>
  </si>
  <si>
    <t>Utilizado em transformadores, indica o defeito no equipamento.</t>
  </si>
  <si>
    <t>Utilizado em LTs, Barras e DJs, indica defeito no disjuntor</t>
  </si>
  <si>
    <t>null@REARMAR___NORMAL@ATUADO___Custom_S_TS_SA</t>
  </si>
  <si>
    <t>61 - DESEQUILIBRIO E1</t>
  </si>
  <si>
    <t>61 - DESEQUILIBRIO E2</t>
  </si>
  <si>
    <t>81 - TRIP SOBRE FREQUENCIA E1</t>
  </si>
  <si>
    <t>81 - TRIP SOBRE FREQUENCIA E2</t>
  </si>
  <si>
    <t>81 - TRIP SUB/SOBRE FREQUENCIA E3</t>
  </si>
  <si>
    <t>81 - TRIP SUB/SOBRE FREQUENCIA E4</t>
  </si>
  <si>
    <t>AJUSTE PARA 81 E1</t>
  </si>
  <si>
    <t>AJUSTE PARA 81 E2</t>
  </si>
  <si>
    <t>AJUSTE PARA 81 E3</t>
  </si>
  <si>
    <t>AJUSTE PARA 81 E4</t>
  </si>
  <si>
    <t>AJUSTE PARA 81 E5</t>
  </si>
  <si>
    <t>PROTECAO DE BARRA FASE E1</t>
  </si>
  <si>
    <t>PROTECAO DE BARRA FASE E2</t>
  </si>
  <si>
    <t>TRIP SGF E2</t>
  </si>
  <si>
    <t>59 - BLOQUEIO CDC SOBRETENSAO</t>
  </si>
  <si>
    <t>PROPRIEDADE DO COMANDO</t>
  </si>
  <si>
    <t>FALHA NEUTRO RESSONANTE</t>
  </si>
  <si>
    <t>Os relés de disparo (ANSI-94) também conhecidos como relés de disparo livre foram especialmente concebidos para superar os requisitos de todo tipo de circuitos de proteção e controle, como os que operam disjuntores de alta tensão, contatores e outros equipamentos de interrupção primária em usinas de geração de energia, subestações de transmissão e distribuição ou indústria pesada.</t>
  </si>
  <si>
    <t>RETORNO DE TENSAO DA PCH</t>
  </si>
  <si>
    <t>VCA MOTOR DO FILTRO DO OLEO</t>
  </si>
  <si>
    <t>OPERACAO DO NEUTRO RESSONANTE</t>
  </si>
  <si>
    <t>MANUAL@AUTOMATICO___MANUAL@AUTOMATICO___Custom_S_TC_SS</t>
  </si>
  <si>
    <t>null@null___NORMAL@RECEBIDO___Custom_S_TS_SA</t>
  </si>
  <si>
    <t>null@null___NORMAL@TRANSMITIDO___Custom_S_TS_SA</t>
  </si>
  <si>
    <t>TRIP TRANSMITIDO</t>
  </si>
  <si>
    <t>null@null___NORMAL@ATUADO___RecloserLockout_S_TS_SA</t>
  </si>
  <si>
    <t>GRUPO DE AJUSTE RELIGADOR</t>
  </si>
  <si>
    <t>Utilizado em religadores (troca de ajustes)</t>
  </si>
  <si>
    <t>Utilizado para grupo de ajustes de disjuntores de subtransmissão.</t>
  </si>
  <si>
    <t>2087T</t>
  </si>
  <si>
    <t>20 87 - TRIP VALVULA OU DIFERENCIAL TRAFO</t>
  </si>
  <si>
    <t>20C 20T 63T - ALARME VALVULA OU BUCHHOLZ</t>
  </si>
  <si>
    <t>20C 20T 63T - TRIP VALVULA OU BUCHHOLZ</t>
  </si>
  <si>
    <t>20T 63T - TRIP VALVULA OU BUCHHOLZ  TRAFO</t>
  </si>
  <si>
    <t xml:space="preserve">25 - RELE 25 AUTOMATICO MANUAL </t>
  </si>
  <si>
    <t>Signal type</t>
  </si>
  <si>
    <t>Meas. type</t>
  </si>
  <si>
    <t>Element</t>
  </si>
  <si>
    <t>Notes</t>
  </si>
  <si>
    <t>(any)</t>
  </si>
  <si>
    <t>PowerSystemResource</t>
  </si>
  <si>
    <t>Custom signal types (none of the ADMS-recognized types). Additional enumerations can be used for project-specific purposes, as well as for different message mappings.</t>
  </si>
  <si>
    <t>Custom1... Custom100</t>
  </si>
  <si>
    <t>Switch</t>
  </si>
  <si>
    <r>
      <t xml:space="preserve">Switch or rack status  (1=Open, 2=Closed). </t>
    </r>
    <r>
      <rPr>
        <b/>
        <sz val="11"/>
        <color rgb="FF000000"/>
        <rFont val="Arial"/>
        <family val="2"/>
      </rPr>
      <t>Initial=Switch.normalValue</t>
    </r>
  </si>
  <si>
    <t>Read/Write</t>
  </si>
  <si>
    <t>PortableCell</t>
  </si>
  <si>
    <t>Local/Remote</t>
  </si>
  <si>
    <t>Status</t>
  </si>
  <si>
    <r>
      <t>A switch, tap changer or RTU is switched into local manual control, and cannot be remotely operated (however, its status can be read). (2=Closed=Local, 1=</t>
    </r>
    <r>
      <rPr>
        <b/>
        <sz val="11"/>
        <color rgb="FF000000"/>
        <rFont val="Arial"/>
        <family val="2"/>
      </rPr>
      <t>Open</t>
    </r>
    <r>
      <rPr>
        <sz val="11"/>
        <color rgb="FF000000"/>
        <rFont val="Arial"/>
        <family val="2"/>
      </rPr>
      <t>=Remote)</t>
    </r>
  </si>
  <si>
    <t>CompositeSwitch</t>
  </si>
  <si>
    <t>TapChanger</t>
  </si>
  <si>
    <t>RemoteUnit</t>
  </si>
  <si>
    <t>RegulatingControl</t>
  </si>
  <si>
    <t>OperationCount</t>
  </si>
  <si>
    <t>Discrete</t>
  </si>
  <si>
    <r>
      <t xml:space="preserve">Total count of switch or tap changer operations since last reset. </t>
    </r>
    <r>
      <rPr>
        <b/>
        <sz val="11"/>
        <color rgb="FF000000"/>
        <rFont val="Arial"/>
        <family val="2"/>
      </rPr>
      <t>Initial=0</t>
    </r>
  </si>
  <si>
    <t>TapPosition</t>
  </si>
  <si>
    <r>
      <t xml:space="preserve">Absolute tap position. </t>
    </r>
    <r>
      <rPr>
        <b/>
        <sz val="11"/>
        <color rgb="FF000000"/>
        <rFont val="Arial"/>
        <family val="2"/>
      </rPr>
      <t>Initial=TapChanger.neutralStep</t>
    </r>
  </si>
  <si>
    <t>PetersenCoil</t>
  </si>
  <si>
    <r>
      <t xml:space="preserve">Tap position increment: 1/Open=Lower, 2/Close=Raise. </t>
    </r>
    <r>
      <rPr>
        <b/>
        <sz val="11"/>
        <color rgb="FF000000"/>
        <rFont val="Arial"/>
        <family val="2"/>
      </rPr>
      <t>Initial=Error</t>
    </r>
    <r>
      <rPr>
        <sz val="11"/>
        <color rgb="FF000000"/>
        <rFont val="Arial"/>
        <family val="2"/>
      </rPr>
      <t>=0.</t>
    </r>
  </si>
  <si>
    <r>
      <t>Enabled operation of  Sectionalizer, RegulatingControl or RelayStage. (2=</t>
    </r>
    <r>
      <rPr>
        <b/>
        <sz val="11"/>
        <color rgb="FF000000"/>
        <rFont val="Arial"/>
        <family val="2"/>
      </rPr>
      <t>Closed</t>
    </r>
    <r>
      <rPr>
        <sz val="11"/>
        <color rgb="FF000000"/>
        <rFont val="Arial"/>
        <family val="2"/>
      </rPr>
      <t xml:space="preserve">=Auto, 1=Open=Manual). </t>
    </r>
  </si>
  <si>
    <t>ControlLimit</t>
  </si>
  <si>
    <t>ControlSettings</t>
  </si>
  <si>
    <t xml:space="preserve">ProtectionEquipment </t>
  </si>
  <si>
    <t>RelayStage</t>
  </si>
  <si>
    <t>RecloseStage</t>
  </si>
  <si>
    <t>DistanceRelayStage</t>
  </si>
  <si>
    <t>Sectionalizer</t>
  </si>
  <si>
    <t>InterlockingScheme</t>
  </si>
  <si>
    <t>RegulatingControlGroup</t>
  </si>
  <si>
    <t>ProtectionGroup</t>
  </si>
  <si>
    <t>LoadBonus</t>
  </si>
  <si>
    <r>
      <t>Load bonus activated (2=Closed=On, 1=</t>
    </r>
    <r>
      <rPr>
        <b/>
        <sz val="11"/>
        <color rgb="FF000000"/>
        <rFont val="Arial"/>
        <family val="2"/>
      </rPr>
      <t>Open</t>
    </r>
    <r>
      <rPr>
        <sz val="11"/>
        <color rgb="FF000000"/>
        <rFont val="Arial"/>
        <family val="2"/>
      </rPr>
      <t>=Off) on a voltage regulator's RegulatingControl. Applicable only when a ControlLimit of type LoadBonus exists.</t>
    </r>
  </si>
  <si>
    <r>
      <t xml:space="preserve">ProtectionEquipment </t>
    </r>
    <r>
      <rPr>
        <sz val="11"/>
        <color rgb="FF000000"/>
        <rFont val="Arial"/>
        <family val="2"/>
      </rPr>
      <t>(only reclosing)</t>
    </r>
  </si>
  <si>
    <r>
      <t>Enabled (2=</t>
    </r>
    <r>
      <rPr>
        <b/>
        <sz val="11"/>
        <color rgb="FF000000"/>
        <rFont val="Arial"/>
        <family val="2"/>
      </rPr>
      <t>Closed</t>
    </r>
    <r>
      <rPr>
        <sz val="11"/>
        <color rgb="FF000000"/>
        <rFont val="Arial"/>
        <family val="2"/>
      </rPr>
      <t xml:space="preserve">) reclosing operation of a  ProtectionEquipment which models a reclosing relay. </t>
    </r>
  </si>
  <si>
    <t>Breaker</t>
  </si>
  <si>
    <t>(only reclosing)</t>
  </si>
  <si>
    <t>ProtectionEquipment</t>
  </si>
  <si>
    <r>
      <t>Recloser locked out. (1=</t>
    </r>
    <r>
      <rPr>
        <b/>
        <sz val="11"/>
        <color rgb="FF000000"/>
        <rFont val="Arial"/>
        <family val="2"/>
      </rPr>
      <t>Open</t>
    </r>
    <r>
      <rPr>
        <sz val="11"/>
        <color rgb="FF000000"/>
        <rFont val="Arial"/>
        <family val="2"/>
      </rPr>
      <t xml:space="preserve">=Not locked, 2=Closed=Locked) </t>
    </r>
  </si>
  <si>
    <t>ControlActiveSetting</t>
  </si>
  <si>
    <r>
      <t xml:space="preserve">1-based index of active relay settings, control settings, or regulating control within a group. </t>
    </r>
    <r>
      <rPr>
        <b/>
        <sz val="11"/>
        <color rgb="FF000000"/>
        <rFont val="Arial"/>
        <family val="2"/>
      </rPr>
      <t xml:space="preserve">Initial=1, </t>
    </r>
    <r>
      <rPr>
        <sz val="11"/>
        <color rgb="FF000000"/>
        <rFont val="Arial"/>
        <family val="2"/>
      </rPr>
      <t xml:space="preserve">except for RegulatingControl where </t>
    </r>
    <r>
      <rPr>
        <b/>
        <sz val="11"/>
        <color rgb="FF000000"/>
        <rFont val="Arial"/>
        <family val="2"/>
      </rPr>
      <t xml:space="preserve">Initial=0 </t>
    </r>
    <r>
      <rPr>
        <sz val="11"/>
        <color rgb="FF000000"/>
        <rFont val="Arial"/>
        <family val="2"/>
      </rPr>
      <t>(=ControlSettingType.Normal).</t>
    </r>
  </si>
  <si>
    <t>Refresh</t>
  </si>
  <si>
    <t>Refreshes the value of a regulator setting (write-only). Introduced for closed loop control.</t>
  </si>
  <si>
    <t>Read/Write; Manual only</t>
  </si>
  <si>
    <t>VoltageIndex1</t>
  </si>
  <si>
    <t>PowerTransformer</t>
  </si>
  <si>
    <r>
      <t xml:space="preserve">For dual-voltage transformers: 1-based index of the selected voltage  at the primary side (1) or secondary side (2). </t>
    </r>
    <r>
      <rPr>
        <b/>
        <sz val="11"/>
        <color rgb="FF000000"/>
        <rFont val="Arial"/>
        <family val="2"/>
      </rPr>
      <t>Initial=1</t>
    </r>
  </si>
  <si>
    <t>VoltageIndex2</t>
  </si>
  <si>
    <t>LoadFlowEnabled</t>
  </si>
  <si>
    <t>Substation</t>
  </si>
  <si>
    <r>
      <t>Specifies if state estimation is enabled for all sources within the substation or transmission network (</t>
    </r>
    <r>
      <rPr>
        <b/>
        <sz val="11"/>
        <color rgb="FF000000"/>
        <rFont val="Arial"/>
        <family val="2"/>
      </rPr>
      <t>2</t>
    </r>
    <r>
      <rPr>
        <sz val="11"/>
        <color rgb="FF000000"/>
        <rFont val="Arial"/>
        <family val="2"/>
      </rPr>
      <t>), load flow only (1), or none (0). If absent, State Estimation is enabled.</t>
    </r>
  </si>
  <si>
    <t>TransmissionNetwork</t>
  </si>
  <si>
    <t>TemporaryFault</t>
  </si>
  <si>
    <r>
      <t xml:space="preserve">A temporary fault current flow had been detected (2=Closed) by a fault recorder or fault indicator, but the condition was reset. </t>
    </r>
    <r>
      <rPr>
        <b/>
        <sz val="11"/>
        <color rgb="FF000000"/>
        <rFont val="Arial"/>
        <family val="2"/>
      </rPr>
      <t>Initial=Open</t>
    </r>
  </si>
  <si>
    <t>FaultIndicator</t>
  </si>
  <si>
    <t>ACLineSegment</t>
  </si>
  <si>
    <t>CurrentTransformer</t>
  </si>
  <si>
    <t>FaultStatus</t>
  </si>
  <si>
    <r>
      <t xml:space="preserve">A permanent fault current flow has been detected (2=Closed) by a fault recorder or fault indicator. Attribute </t>
    </r>
    <r>
      <rPr>
        <i/>
        <sz val="11"/>
        <color rgb="FF000000"/>
        <rFont val="Arial"/>
        <family val="2"/>
      </rPr>
      <t>phases</t>
    </r>
    <r>
      <rPr>
        <b/>
        <sz val="11"/>
        <color rgb="FF000000"/>
        <rFont val="Arial"/>
        <family val="2"/>
      </rPr>
      <t xml:space="preserve"> </t>
    </r>
    <r>
      <rPr>
        <sz val="11"/>
        <color rgb="FF000000"/>
        <rFont val="Arial"/>
        <family val="2"/>
      </rPr>
      <t xml:space="preserve">describes the measured phases. </t>
    </r>
    <r>
      <rPr>
        <b/>
        <sz val="11"/>
        <color rgb="FF000000"/>
        <rFont val="Arial"/>
        <family val="2"/>
      </rPr>
      <t>Initial=Open</t>
    </r>
  </si>
  <si>
    <t>FanStatus</t>
  </si>
  <si>
    <r>
      <t>Status of transformer's cooling fan. (2=</t>
    </r>
    <r>
      <rPr>
        <b/>
        <sz val="11"/>
        <color rgb="FF000000"/>
        <rFont val="Arial"/>
        <family val="2"/>
      </rPr>
      <t>Closed</t>
    </r>
    <r>
      <rPr>
        <sz val="11"/>
        <color rgb="FF000000"/>
        <rFont val="Arial"/>
        <family val="2"/>
      </rPr>
      <t xml:space="preserve">=On) </t>
    </r>
  </si>
  <si>
    <t>OilPumpStatus</t>
  </si>
  <si>
    <t>Transformer</t>
  </si>
  <si>
    <r>
      <t>Status of transformer's cooling oil pump. (2=</t>
    </r>
    <r>
      <rPr>
        <b/>
        <sz val="11"/>
        <color rgb="FF000000"/>
        <rFont val="Arial"/>
        <family val="2"/>
      </rPr>
      <t>Closed</t>
    </r>
    <r>
      <rPr>
        <sz val="11"/>
        <color rgb="FF000000"/>
        <rFont val="Arial"/>
        <family val="2"/>
      </rPr>
      <t xml:space="preserve">=On) </t>
    </r>
  </si>
  <si>
    <t>Breaker (with reclosing relay)</t>
  </si>
  <si>
    <r>
      <t>Hot line tag (both automatic and manual reclosing disabled) 2=Closed=tag placed (reclosing disabled), 1=</t>
    </r>
    <r>
      <rPr>
        <b/>
        <sz val="11"/>
        <color rgb="FF000000"/>
        <rFont val="Arial"/>
        <family val="2"/>
      </rPr>
      <t>Open</t>
    </r>
    <r>
      <rPr>
        <sz val="11"/>
        <color rgb="FF000000"/>
        <rFont val="Arial"/>
        <family val="2"/>
      </rPr>
      <t>=tag off</t>
    </r>
  </si>
  <si>
    <t>MaxOpCount</t>
  </si>
  <si>
    <r>
      <t xml:space="preserve">Maximum user-specified allowed daily count of switch or tap changer operations. If the signal is absent or has value of </t>
    </r>
    <r>
      <rPr>
        <b/>
        <sz val="11"/>
        <color rgb="FF000000"/>
        <rFont val="Arial"/>
        <family val="2"/>
      </rPr>
      <t>zero</t>
    </r>
    <r>
      <rPr>
        <sz val="11"/>
        <color rgb="FF000000"/>
        <rFont val="Arial"/>
        <family val="2"/>
      </rPr>
      <t>, VVO uses value specified in the profile.</t>
    </r>
  </si>
  <si>
    <t>Read/Write, Manual only</t>
  </si>
  <si>
    <t>HourlyOpCount</t>
  </si>
  <si>
    <r>
      <t xml:space="preserve">Hourly count (since x:00 min) of switch or tap changer operations. </t>
    </r>
    <r>
      <rPr>
        <b/>
        <sz val="11"/>
        <color rgb="FF000000"/>
        <rFont val="Arial"/>
        <family val="2"/>
      </rPr>
      <t>Initial=0</t>
    </r>
  </si>
  <si>
    <t>DailyOpCount</t>
  </si>
  <si>
    <r>
      <t xml:space="preserve">Daily count (since midnight) of switch or tap changer operations. </t>
    </r>
    <r>
      <rPr>
        <b/>
        <sz val="11"/>
        <color rgb="FF000000"/>
        <rFont val="Arial"/>
        <family val="2"/>
      </rPr>
      <t>Initial=0</t>
    </r>
  </si>
  <si>
    <t>MonthlyOpCount</t>
  </si>
  <si>
    <r>
      <t xml:space="preserve">Monthly count (since 1st) of switch or tap changer operations. </t>
    </r>
    <r>
      <rPr>
        <b/>
        <sz val="11"/>
        <color rgb="FF000000"/>
        <rFont val="Arial"/>
        <family val="2"/>
      </rPr>
      <t>Initial=0</t>
    </r>
  </si>
  <si>
    <t>UnderFrequencyAlarm</t>
  </si>
  <si>
    <r>
      <t>An underfrequency alarm is raised for the substation. (1=</t>
    </r>
    <r>
      <rPr>
        <b/>
        <sz val="11"/>
        <color rgb="FF000000"/>
        <rFont val="Arial"/>
        <family val="2"/>
      </rPr>
      <t>Open</t>
    </r>
    <r>
      <rPr>
        <sz val="11"/>
        <color rgb="FF000000"/>
        <rFont val="Arial"/>
        <family val="2"/>
      </rPr>
      <t>=Alarm off 2=Closed=Alarm on)</t>
    </r>
  </si>
  <si>
    <t>Read, Remote only</t>
  </si>
  <si>
    <r>
      <t>ProtectingEquipment (</t>
    </r>
    <r>
      <rPr>
        <i/>
        <sz val="11"/>
        <color rgb="FF000000"/>
        <rFont val="Arial"/>
        <family val="2"/>
      </rPr>
      <t>Underfrequency</t>
    </r>
    <r>
      <rPr>
        <sz val="11"/>
        <color rgb="FF000000"/>
        <rFont val="Arial"/>
        <family val="2"/>
      </rPr>
      <t xml:space="preserve"> only)</t>
    </r>
  </si>
  <si>
    <t>Forward</t>
  </si>
  <si>
    <t>ProtectedSwitch</t>
  </si>
  <si>
    <r>
      <t>For directable devices, specifies that the current or power flows in "forward" (2=</t>
    </r>
    <r>
      <rPr>
        <b/>
        <sz val="11"/>
        <color rgb="FF000000"/>
        <rFont val="Arial"/>
        <family val="2"/>
      </rPr>
      <t>Closed</t>
    </r>
    <r>
      <rPr>
        <sz val="11"/>
        <color rgb="FF000000"/>
        <rFont val="Arial"/>
        <family val="2"/>
      </rPr>
      <t>) (usually, downstream) or 1=Open=reverse direction.</t>
    </r>
  </si>
  <si>
    <r>
      <t xml:space="preserve">Indicates that a particular relay or protection recorded a fault (2=Closed=trip) and caused the breaker to trip. </t>
    </r>
    <r>
      <rPr>
        <b/>
        <sz val="11"/>
        <color rgb="FF000000"/>
        <rFont val="Arial"/>
        <family val="2"/>
      </rPr>
      <t>Initial=Open</t>
    </r>
  </si>
  <si>
    <t>ProtectingEquipment</t>
  </si>
  <si>
    <t>ReverseMode</t>
  </si>
  <si>
    <r>
      <t>Voltage regulators only: Indicates how the regulator behaves in case of reverse power flow (ReverseOperation enum) (Initial=</t>
    </r>
    <r>
      <rPr>
        <b/>
        <sz val="11"/>
        <color rgb="FF000000"/>
        <rFont val="Arial"/>
        <family val="2"/>
      </rPr>
      <t>Block</t>
    </r>
    <r>
      <rPr>
        <sz val="11"/>
        <color rgb="FF000000"/>
        <rFont val="Arial"/>
        <family val="2"/>
      </rPr>
      <t>=0)</t>
    </r>
  </si>
  <si>
    <t>SourceStatus</t>
  </si>
  <si>
    <t>EnergySource</t>
  </si>
  <si>
    <r>
      <t>Energization status of an energy source (1=Open=Passive, 2=</t>
    </r>
    <r>
      <rPr>
        <b/>
        <sz val="11"/>
        <color rgb="FF000000"/>
        <rFont val="Arial"/>
        <family val="2"/>
      </rPr>
      <t>Closed</t>
    </r>
    <r>
      <rPr>
        <sz val="11"/>
        <color rgb="FF000000"/>
        <rFont val="Arial"/>
        <family val="2"/>
      </rPr>
      <t>=Active) (type=Status)</t>
    </r>
  </si>
  <si>
    <t>Interconnection</t>
  </si>
  <si>
    <t>GroupStatus</t>
  </si>
  <si>
    <t>DERGroup</t>
  </si>
  <si>
    <r>
      <t>Energization status of a DERGroup (1=Open=Disonnected, 2=</t>
    </r>
    <r>
      <rPr>
        <b/>
        <sz val="11"/>
        <color rgb="FF000000"/>
        <rFont val="Arial"/>
        <family val="2"/>
      </rPr>
      <t>Closed</t>
    </r>
    <r>
      <rPr>
        <sz val="11"/>
        <color rgb="FF000000"/>
        <rFont val="Arial"/>
        <family val="2"/>
      </rPr>
      <t>=Connected). If generators within the group have mixed status, it does not affect the group status. (type=Status)</t>
    </r>
  </si>
  <si>
    <r>
      <t>Voltage regulators only: when 1=Open . indicates that the regulator is not in slave (parallel) operation in respect to the RegulatingControlGroup it belongs to. When the signal is 2=</t>
    </r>
    <r>
      <rPr>
        <b/>
        <sz val="11"/>
        <color rgb="FF000000"/>
        <rFont val="Arial"/>
        <family val="2"/>
      </rPr>
      <t>Closed</t>
    </r>
    <r>
      <rPr>
        <sz val="11"/>
        <color rgb="FF000000"/>
        <rFont val="Arial"/>
        <family val="2"/>
      </rPr>
      <t xml:space="preserve"> or absent, the regulator acts in slave mode.</t>
    </r>
  </si>
  <si>
    <t>PowerOn</t>
  </si>
  <si>
    <r>
      <t>Indicates presence (</t>
    </r>
    <r>
      <rPr>
        <b/>
        <sz val="11"/>
        <color rgb="FF000000"/>
        <rFont val="Arial"/>
        <family val="2"/>
      </rPr>
      <t>Closed</t>
    </r>
    <r>
      <rPr>
        <sz val="11"/>
        <color rgb="FF000000"/>
        <rFont val="Arial"/>
        <family val="2"/>
      </rPr>
      <t>=2) or absence (Open=1) of voltage at the sensor location.</t>
    </r>
  </si>
  <si>
    <t>PowerTransformer2W</t>
  </si>
  <si>
    <t xml:space="preserve">CurrentTransformer </t>
  </si>
  <si>
    <t>ServiceDeliveryPoint</t>
  </si>
  <si>
    <t>ServiceLocation</t>
  </si>
  <si>
    <t>Manageable</t>
  </si>
  <si>
    <t>EnergyConsumer</t>
  </si>
  <si>
    <r>
      <t>Specifies that the customer (Yes=</t>
    </r>
    <r>
      <rPr>
        <b/>
        <sz val="11"/>
        <color rgb="FF000000"/>
        <rFont val="Arial"/>
        <family val="2"/>
      </rPr>
      <t>Closed</t>
    </r>
    <r>
      <rPr>
        <sz val="11"/>
        <color rgb="FF000000"/>
        <rFont val="Arial"/>
        <family val="2"/>
      </rPr>
      <t>=2) may be disconnected by the utility.</t>
    </r>
  </si>
  <si>
    <t>Malfunctioning</t>
  </si>
  <si>
    <t>Indicates an alarm/failure (Closed=2) of a piece of equipment that renders it unsuitable for normal operation. (Motor failure, Buchholz relay operation etc.)</t>
  </si>
  <si>
    <t>Capacitor</t>
  </si>
  <si>
    <t>WeightingFactor</t>
  </si>
  <si>
    <t xml:space="preserve">Specifies preferred priority of the Capacitor for operation by Var control algorithm. Capacitors with greatest weight are operated first. </t>
  </si>
  <si>
    <t>CapacitorBank</t>
  </si>
  <si>
    <t>MatchingString</t>
  </si>
  <si>
    <t>DMS Matching template</t>
  </si>
  <si>
    <t xml:space="preserve"> signalType</t>
  </si>
  <si>
    <t>measurementType</t>
  </si>
  <si>
    <t>phaseCode &amp; sideMeasured</t>
  </si>
  <si>
    <t>Description</t>
  </si>
  <si>
    <t>PhaseCode</t>
  </si>
  <si>
    <t>Error Report</t>
  </si>
  <si>
    <t>Protocols</t>
  </si>
  <si>
    <t>Unique device</t>
  </si>
  <si>
    <t>Unique identifier</t>
  </si>
  <si>
    <t>Choice of Unique device</t>
  </si>
  <si>
    <t>Choice of Unique identifier</t>
  </si>
  <si>
    <t>ICCP Point Role</t>
  </si>
  <si>
    <t>ICCP INPUT Point Type</t>
  </si>
  <si>
    <t>ICCP OUTPUT Point Type</t>
  </si>
  <si>
    <t>ICCP Point Scope</t>
  </si>
  <si>
    <t>Delete</t>
  </si>
  <si>
    <t>Invert In/Out bits</t>
  </si>
  <si>
    <t>Point type</t>
  </si>
  <si>
    <t>Point category</t>
  </si>
  <si>
    <t>SWSABC</t>
  </si>
  <si>
    <t>ABC</t>
  </si>
  <si>
    <t>Switch or rack status</t>
  </si>
  <si>
    <t>A discrete signal describing switch status -- open/close/error/transit.</t>
  </si>
  <si>
    <t>Phases ABC, side measured : None (No winding is applicable)</t>
  </si>
  <si>
    <t>Sheet name</t>
  </si>
  <si>
    <t>No of errors</t>
  </si>
  <si>
    <t>DNP_V3.0</t>
  </si>
  <si>
    <t>Name</t>
  </si>
  <si>
    <t>client</t>
  </si>
  <si>
    <t xml:space="preserve">DV_Real </t>
  </si>
  <si>
    <t xml:space="preserve">DEV_Real </t>
  </si>
  <si>
    <t>yes</t>
  </si>
  <si>
    <t>telemetered</t>
  </si>
  <si>
    <t>analog</t>
  </si>
  <si>
    <t>SWSA</t>
  </si>
  <si>
    <t>A</t>
  </si>
  <si>
    <t>A switch, tap changer or RTU is switched into local manual control, and cannot be remotely operated (however, its status can be read).</t>
  </si>
  <si>
    <t xml:space="preserve"> A discrete signal with on/off (true/false) value.</t>
  </si>
  <si>
    <t>Phases A, side measured : None (No winding is applicable)</t>
  </si>
  <si>
    <t>IEC 104</t>
  </si>
  <si>
    <t>Feeder</t>
  </si>
  <si>
    <t>Alias</t>
  </si>
  <si>
    <t>server</t>
  </si>
  <si>
    <t xml:space="preserve">DV_State </t>
  </si>
  <si>
    <t xml:space="preserve">DEV_Command </t>
  </si>
  <si>
    <t>VCC</t>
  </si>
  <si>
    <t>DELETE</t>
  </si>
  <si>
    <t>no</t>
  </si>
  <si>
    <t>calculated</t>
  </si>
  <si>
    <t>status</t>
  </si>
  <si>
    <t>SWSB</t>
  </si>
  <si>
    <t>B</t>
  </si>
  <si>
    <t>Total count of switch or tap changer operations since last reset.</t>
  </si>
  <si>
    <t>A discrete signal with a range of integer values</t>
  </si>
  <si>
    <t>Phases B, side measured : None (No winding is applicable)</t>
  </si>
  <si>
    <t>ICCP</t>
  </si>
  <si>
    <t>Feeder Object</t>
  </si>
  <si>
    <t>client/server</t>
  </si>
  <si>
    <t xml:space="preserve">DV_Discrete </t>
  </si>
  <si>
    <t xml:space="preserve">DEV_Discrete </t>
  </si>
  <si>
    <t>manual entry</t>
  </si>
  <si>
    <t>SWSC</t>
  </si>
  <si>
    <t>C</t>
  </si>
  <si>
    <t>Fault current flow is detected (2=Closed) by a fault recorder or fault indicator.</t>
  </si>
  <si>
    <t>Voltage</t>
  </si>
  <si>
    <t>Phases C, side measured : None (No winding is applicable)</t>
  </si>
  <si>
    <t>Bank</t>
  </si>
  <si>
    <t>none</t>
  </si>
  <si>
    <t xml:space="preserve">DV_StateSupp </t>
  </si>
  <si>
    <t>remote param</t>
  </si>
  <si>
    <t>LOCREMABC</t>
  </si>
  <si>
    <t>Maximal allowed daily count of switch or tap changer operations. If zero, VVO uses value specified in the profile.</t>
  </si>
  <si>
    <t>VoltageAngle</t>
  </si>
  <si>
    <t>Voltage angle. Typically, this is not a physical measurement but a pseudo-measurement imported from e.g. EMS estimator.</t>
  </si>
  <si>
    <t>AB</t>
  </si>
  <si>
    <t>Phases AB, side measured : None (No winding is applicable)</t>
  </si>
  <si>
    <t>Bay</t>
  </si>
  <si>
    <t xml:space="preserve">DV_RealQuality </t>
  </si>
  <si>
    <t>LOCREMA</t>
  </si>
  <si>
    <t>Hourly count (since x:00 min) of switch or tap changer operations. Initial=0</t>
  </si>
  <si>
    <t>Frequency</t>
  </si>
  <si>
    <t>BC</t>
  </si>
  <si>
    <t>Phases BC, side measured : None (No winding is applicable)</t>
  </si>
  <si>
    <t xml:space="preserve">DV_StateQuality </t>
  </si>
  <si>
    <t>LOCREMB</t>
  </si>
  <si>
    <t>Daily count (since midnight) of switch or tap changer operations. Initial=0</t>
  </si>
  <si>
    <t>RelativeVoltage</t>
  </si>
  <si>
    <t>Voltage expressed as relative value of base voltage. Default unit is %, other applicable units are p.u and base 120</t>
  </si>
  <si>
    <t>AC</t>
  </si>
  <si>
    <t>Phases AC, side measured : None (No winding is applicable)</t>
  </si>
  <si>
    <t xml:space="preserve">DV_DiscreteQuality </t>
  </si>
  <si>
    <t>LOCREMC</t>
  </si>
  <si>
    <t>Monthly count (since 1st) of switch or tap changer operations. Initial=0</t>
  </si>
  <si>
    <t>Current</t>
  </si>
  <si>
    <t>ABCPrimary</t>
  </si>
  <si>
    <t>Phases ABC, side measured : Primary  (first terminal)</t>
  </si>
  <si>
    <t xml:space="preserve">DV_StateSuppQuality </t>
  </si>
  <si>
    <t>OPCNTABC</t>
  </si>
  <si>
    <t xml:space="preserve">Indicates presence or absence of voltage at the sensor location.
</t>
  </si>
  <si>
    <t>ActivePower</t>
  </si>
  <si>
    <t>Active power</t>
  </si>
  <si>
    <t>ABPrimary</t>
  </si>
  <si>
    <t>Phases AB, side measured : Primary  (first terminal)</t>
  </si>
  <si>
    <t xml:space="preserve">DV_RealQualityTimeTag </t>
  </si>
  <si>
    <t>OPCNTA</t>
  </si>
  <si>
    <t>For directable devices, specifies that the current or power flows in "forward" (usually, downstream) direction.</t>
  </si>
  <si>
    <t>ApparentPower</t>
  </si>
  <si>
    <t xml:space="preserve">Apparent power </t>
  </si>
  <si>
    <t>BCPrimary</t>
  </si>
  <si>
    <t>Phases BC, side measured : Primary  (first terminal)</t>
  </si>
  <si>
    <t xml:space="preserve">DV_StateQualityTimeTag </t>
  </si>
  <si>
    <t>OPCNTB</t>
  </si>
  <si>
    <t>For reclosers, specifies that both automatic and manual reclosing are disabled</t>
  </si>
  <si>
    <t>CosPhi</t>
  </si>
  <si>
    <t>Power factor (cos(phi))</t>
  </si>
  <si>
    <t>ACPrimary</t>
  </si>
  <si>
    <t>Phases AC, side measured : Primary  (first terminal)</t>
  </si>
  <si>
    <t xml:space="preserve">DV_DiscreteQualityTimeTag </t>
  </si>
  <si>
    <t>OPCNTC</t>
  </si>
  <si>
    <t>DiscreteSignalType.Custom</t>
  </si>
  <si>
    <t>A custom type (none of the DMS recognized types)</t>
  </si>
  <si>
    <t>ActiveEnergy</t>
  </si>
  <si>
    <t>Active energy</t>
  </si>
  <si>
    <t>APrimary</t>
  </si>
  <si>
    <t>Phases A, side measured : Primary  (first terminal)</t>
  </si>
  <si>
    <t xml:space="preserve">DV_StateSuppQualityTimeTag </t>
  </si>
  <si>
    <t>FLTSTABC</t>
  </si>
  <si>
    <t>MeasuredValue</t>
  </si>
  <si>
    <t>An analog measured value.</t>
  </si>
  <si>
    <t>ReactiveEnergy</t>
  </si>
  <si>
    <t>Reactive energy</t>
  </si>
  <si>
    <t>BPrimary</t>
  </si>
  <si>
    <t>Phases B, side measured : Primary  (first terminal)</t>
  </si>
  <si>
    <t xml:space="preserve">DV_RealExtended </t>
  </si>
  <si>
    <t>FLTSTA</t>
  </si>
  <si>
    <t>FaultRecorder</t>
  </si>
  <si>
    <t>Recorded value of fault current or voltage</t>
  </si>
  <si>
    <t>CurrentAngle</t>
  </si>
  <si>
    <t>Current angle provided from fault recorder or IEDs. Default unit is degree.</t>
  </si>
  <si>
    <t>CPrimary</t>
  </si>
  <si>
    <t>Phases C, side measured : Primary  (first terminal)</t>
  </si>
  <si>
    <t xml:space="preserve">DV_StateExtended </t>
  </si>
  <si>
    <t>FLTSTB</t>
  </si>
  <si>
    <t>AnalogSignalType.Custom</t>
  </si>
  <si>
    <t>Temperature</t>
  </si>
  <si>
    <t>Temperature [°C] of an element (for equipment) or of air (for a weather region)</t>
  </si>
  <si>
    <t>ABCSecondary</t>
  </si>
  <si>
    <t>Phases ABC, side measured : Secondary  (second terminal)</t>
  </si>
  <si>
    <t xml:space="preserve">DV_DiscreteExtended </t>
  </si>
  <si>
    <t>FLTSTC</t>
  </si>
  <si>
    <t>Enabled operation of  Sectionalizer, RegulatingControl or RelayStage</t>
  </si>
  <si>
    <t>Unitless</t>
  </si>
  <si>
    <t>An analog quantity which is unitless, or not otherwise in the list of supported types</t>
  </si>
  <si>
    <t>ABSecondary</t>
  </si>
  <si>
    <t>Phases AB, side measured : Secondary  (second terminal)</t>
  </si>
  <si>
    <t xml:space="preserve">DV_StateSuppExtended </t>
  </si>
  <si>
    <t>MAXOPCNTABC</t>
  </si>
  <si>
    <t>Absolute tap position</t>
  </si>
  <si>
    <t>ReactivePower</t>
  </si>
  <si>
    <t>Reactive power</t>
  </si>
  <si>
    <t>BCSecondary</t>
  </si>
  <si>
    <t>Phases BC, side measured : Secondary  (second terminal)</t>
  </si>
  <si>
    <t xml:space="preserve">DV_RealQualityTimeTagExtended </t>
  </si>
  <si>
    <t>MAXOPCNTA</t>
  </si>
  <si>
    <t>Tap raise/lower: Tap position increment (commanding only)</t>
  </si>
  <si>
    <t>Time</t>
  </si>
  <si>
    <t>Time period</t>
  </si>
  <si>
    <t>ACSecondary</t>
  </si>
  <si>
    <t>Phases AC, side measured : Secondary  (second terminal)</t>
  </si>
  <si>
    <t xml:space="preserve">DV_StateQualityTimeTagExtended </t>
  </si>
  <si>
    <t>MAXOPCNTB</t>
  </si>
  <si>
    <t>PhaseShift</t>
  </si>
  <si>
    <t>Measured or set phase angle on a phase-shifting tap changer</t>
  </si>
  <si>
    <t>Humidity</t>
  </si>
  <si>
    <t>Relative humidity [%]</t>
  </si>
  <si>
    <t>ASecondary</t>
  </si>
  <si>
    <t>Phases A, side measured : Secondary  (second terminal)</t>
  </si>
  <si>
    <t xml:space="preserve">DV_DiscreteQualityTimeTagExtended </t>
  </si>
  <si>
    <t>MAXOPCNTC</t>
  </si>
  <si>
    <t xml:space="preserve">Voltage regulators only: Indicates how the regulator behaves in case of reverse power flow </t>
  </si>
  <si>
    <t>WindSpeed</t>
  </si>
  <si>
    <t>Wind speed [km/h]</t>
  </si>
  <si>
    <t>BSecondary</t>
  </si>
  <si>
    <t>Phases B, side measured : Secondary  (second terminal)</t>
  </si>
  <si>
    <t xml:space="preserve">DV_StateSuppQualityTimeTagExtended </t>
  </si>
  <si>
    <t>HOUROPCNTABC</t>
  </si>
  <si>
    <t>A voltage regulator is in parallel (slave) operation with another regulator</t>
  </si>
  <si>
    <t>FeelsLike</t>
  </si>
  <si>
    <t>Feels like: Equivalent temperature [°C]</t>
  </si>
  <si>
    <t>CSecondary</t>
  </si>
  <si>
    <t>Phases C, side measured : Secondary  (second terminal)</t>
  </si>
  <si>
    <t>HOUROPCNTA</t>
  </si>
  <si>
    <t>Active setting of a relay stage or regulating control.</t>
  </si>
  <si>
    <t>SunshineMinutes</t>
  </si>
  <si>
    <t xml:space="preserve">Sunshine minutes per hour </t>
  </si>
  <si>
    <t>ABCTertiary</t>
  </si>
  <si>
    <t>Phases ABC, side measured : Tertiary  (applicable on three winding transformer only)</t>
  </si>
  <si>
    <t>HOUROPCNTB</t>
  </si>
  <si>
    <t>ControlDelay</t>
  </si>
  <si>
    <t>Initial delay of a regulating control or relay stage</t>
  </si>
  <si>
    <t>SkyCover</t>
  </si>
  <si>
    <t>Sky cover [%]</t>
  </si>
  <si>
    <t>ATertiary</t>
  </si>
  <si>
    <t>Phases A, side measured : Tertiary  (applicable on three winding transformer only)</t>
  </si>
  <si>
    <t>HOUROPCNTC</t>
  </si>
  <si>
    <t>ControlLimitHigh</t>
  </si>
  <si>
    <t xml:space="preserve">High value of a ControlLimit </t>
  </si>
  <si>
    <t>Length</t>
  </si>
  <si>
    <t>Physical length</t>
  </si>
  <si>
    <t>BTertiary</t>
  </si>
  <si>
    <t>Phases B, side measured : Tertiary  (applicable on three winding transformer only)</t>
  </si>
  <si>
    <t>DAILYPCNTABC</t>
  </si>
  <si>
    <t>ControlLimitLow</t>
  </si>
  <si>
    <t xml:space="preserve">Low value of a ControlLimit </t>
  </si>
  <si>
    <t>CrossSection</t>
  </si>
  <si>
    <t>CTertiary</t>
  </si>
  <si>
    <t>Phases C, side measured : Tertiary  (applicable on three winding transformer only)</t>
  </si>
  <si>
    <t>DAILYOPCNTA</t>
  </si>
  <si>
    <t>ControlSetValue</t>
  </si>
  <si>
    <t xml:space="preserve">Set point (target) of a RegulatingControl or RelayStage. 
</t>
  </si>
  <si>
    <t>Impedance</t>
  </si>
  <si>
    <t>Impedance, resistance or reactance [Ω]</t>
  </si>
  <si>
    <t>Neutral</t>
  </si>
  <si>
    <t>DAILYOPCNTB</t>
  </si>
  <si>
    <t>ControlBandwidth</t>
  </si>
  <si>
    <t xml:space="preserve"> Bandwidth of a regulating control. The type must be the same as in the corresponding ControlSetValue signal </t>
  </si>
  <si>
    <t>Admittance</t>
  </si>
  <si>
    <t>Admittance, conductance or susceptance [S]</t>
  </si>
  <si>
    <t>NPrimary</t>
  </si>
  <si>
    <t>Neutral, side measured : Primary  (first terminal)</t>
  </si>
  <si>
    <t>DAILYOPCNTC</t>
  </si>
  <si>
    <t>ControlSubDelay</t>
  </si>
  <si>
    <t>Subsequent delay of  a regulating control</t>
  </si>
  <si>
    <t>ImpedancePerLength</t>
  </si>
  <si>
    <t>Impedance, resistance or reactance per unit length [Ω/km]</t>
  </si>
  <si>
    <t>NSecondary</t>
  </si>
  <si>
    <t>Neutral, side measured : Secondary  (second terminal)</t>
  </si>
  <si>
    <t>MONTOPCNTABC</t>
  </si>
  <si>
    <t>ControlSlopeReal</t>
  </si>
  <si>
    <t>Real compensation</t>
  </si>
  <si>
    <t>AdmittancePerLength</t>
  </si>
  <si>
    <t>Admittance, conductance or susceptance per unit length [S/km]</t>
  </si>
  <si>
    <t>Ntertiary</t>
  </si>
  <si>
    <t>Neutral, side measured : Tertiary  (applicable on three winding transformer only)</t>
  </si>
  <si>
    <t>MONTOPCNTA</t>
  </si>
  <si>
    <t>ControlSlopeImag</t>
  </si>
  <si>
    <t>Imaginary compensation</t>
  </si>
  <si>
    <t>Percent</t>
  </si>
  <si>
    <t>A percentage value</t>
  </si>
  <si>
    <t>MONTOPCNTB</t>
  </si>
  <si>
    <t xml:space="preserve">Indicates that a particular relay recorded a fault and caused the breaker to trip </t>
  </si>
  <si>
    <t>Money</t>
  </si>
  <si>
    <t>Money unit. The unit symbol is taken from system locale information.</t>
  </si>
  <si>
    <t>MONTOPCNTC</t>
  </si>
  <si>
    <t>Enabled reclosing operation on a ProtectionEquipment</t>
  </si>
  <si>
    <t>Insolation</t>
  </si>
  <si>
    <t xml:space="preserve"> Insolation</t>
  </si>
  <si>
    <t>PWRONABC</t>
  </si>
  <si>
    <t>Recloser locked out</t>
  </si>
  <si>
    <t>RotationSpeed</t>
  </si>
  <si>
    <t>Speed of a rotational machine</t>
  </si>
  <si>
    <t>PWRONA</t>
  </si>
  <si>
    <t>RecloseDelay</t>
  </si>
  <si>
    <t>Reclosing delay of a reclosing relay stage</t>
  </si>
  <si>
    <t>Mass</t>
  </si>
  <si>
    <t>PWRONB</t>
  </si>
  <si>
    <t>An underfrequency alarm was issued for the substation.</t>
  </si>
  <si>
    <t>FailureRate</t>
  </si>
  <si>
    <t xml:space="preserve">Annual number of faults </t>
  </si>
  <si>
    <t>PWRONC</t>
  </si>
  <si>
    <t>Status of transformer's cooling fan</t>
  </si>
  <si>
    <t>SoilTemperature</t>
  </si>
  <si>
    <t>Soil temperature [°C] at 1m depth. Used for default weather on WeatherRegion.</t>
  </si>
  <si>
    <t>FRWRDABC</t>
  </si>
  <si>
    <t>Status of transformer's cooling oil pump</t>
  </si>
  <si>
    <t>OilTemperature</t>
  </si>
  <si>
    <t>Oil temperature [°C] of a PowerTransformer.</t>
  </si>
  <si>
    <t>FRWRDA</t>
  </si>
  <si>
    <t>Energization status of an EnergySource or Interconnection</t>
  </si>
  <si>
    <t>HotSpotTemperature</t>
  </si>
  <si>
    <t>Temperature [°C] of a hotspot on a PowerTransformer winding.</t>
  </si>
  <si>
    <t>FRWRDB</t>
  </si>
  <si>
    <t>FaultCurrentSub</t>
  </si>
  <si>
    <t>Value of subtransient fault current at source, calculated by an external (EMS) system.</t>
  </si>
  <si>
    <t>AbsoluteDateTime</t>
  </si>
  <si>
    <t>Date and time expressed in absolute terms. Internally stored as Windows filetime (number of 100-nanosecond since midnight, January 1, 1601 UTC)</t>
  </si>
  <si>
    <t>FRWRDC</t>
  </si>
  <si>
    <t>FaultAngleSub</t>
  </si>
  <si>
    <t>Angle of subtransient fault current at source, calculated by an external (EMS) system.</t>
  </si>
  <si>
    <t>LatLong</t>
  </si>
  <si>
    <t>A pair of latitude/longitude coordinates expressed in degrees</t>
  </si>
  <si>
    <t>HLTAGABC</t>
  </si>
  <si>
    <t>FaultCurrentTrans</t>
  </si>
  <si>
    <t>HLTAGA</t>
  </si>
  <si>
    <t>FaultAngleTrans</t>
  </si>
  <si>
    <t>HLTAGB</t>
  </si>
  <si>
    <t>BellwetherMeter</t>
  </si>
  <si>
    <t xml:space="preserve">A meter remotely accessed through AMI, used for average measurement on consumers (ServicePoint). </t>
  </si>
  <si>
    <t>HLTAGC</t>
  </si>
  <si>
    <t>WeatherData</t>
  </si>
  <si>
    <t>Weather measurement. Must be associated with a WeatherRegion</t>
  </si>
  <si>
    <t>CUSTDISABC</t>
  </si>
  <si>
    <t>CUSTDISA</t>
  </si>
  <si>
    <t>CUSTDISB</t>
  </si>
  <si>
    <t>CUSTDISC</t>
  </si>
  <si>
    <t>VOLTABC</t>
  </si>
  <si>
    <t>VOLTAB</t>
  </si>
  <si>
    <t>VOLTBC</t>
  </si>
  <si>
    <t>VOLTAC</t>
  </si>
  <si>
    <t>VOLTA</t>
  </si>
  <si>
    <t>VOLTB</t>
  </si>
  <si>
    <t>VOLTC</t>
  </si>
  <si>
    <t>VOLTANGABC</t>
  </si>
  <si>
    <t>VOLTANGAB</t>
  </si>
  <si>
    <t>VOLTANGBC</t>
  </si>
  <si>
    <t>VOLTANGAC</t>
  </si>
  <si>
    <t>VOLTANGA</t>
  </si>
  <si>
    <t>VOLTANGB</t>
  </si>
  <si>
    <t>VOLTANGC</t>
  </si>
  <si>
    <t>FREQ</t>
  </si>
  <si>
    <t>RELVOLTABC</t>
  </si>
  <si>
    <t>RELVOLTAB</t>
  </si>
  <si>
    <t>RELVOLTAC</t>
  </si>
  <si>
    <t>RELVOLTBC</t>
  </si>
  <si>
    <t>RELVOLTA</t>
  </si>
  <si>
    <t>RELVOLTB</t>
  </si>
  <si>
    <t>RELVOLTC</t>
  </si>
  <si>
    <t>AMPABC</t>
  </si>
  <si>
    <t>AMPA</t>
  </si>
  <si>
    <t>AMPB</t>
  </si>
  <si>
    <t>AMPC</t>
  </si>
  <si>
    <t>AMPN</t>
  </si>
  <si>
    <t>MWABC</t>
  </si>
  <si>
    <t>MWA</t>
  </si>
  <si>
    <t>MWB</t>
  </si>
  <si>
    <t>MWC</t>
  </si>
  <si>
    <t>MVARABC</t>
  </si>
  <si>
    <t>MVARA</t>
  </si>
  <si>
    <t>MVARB</t>
  </si>
  <si>
    <t>MVARC</t>
  </si>
  <si>
    <t>MVAABC</t>
  </si>
  <si>
    <t>COSPHIABC</t>
  </si>
  <si>
    <t>COSPHIA</t>
  </si>
  <si>
    <t>COSPHIB</t>
  </si>
  <si>
    <t>COSPHIC</t>
  </si>
  <si>
    <t>MWHABC</t>
  </si>
  <si>
    <t>MWHA</t>
  </si>
  <si>
    <t>MWHB</t>
  </si>
  <si>
    <t>MWHC</t>
  </si>
  <si>
    <t>MVARHABC</t>
  </si>
  <si>
    <t>MVARHA</t>
  </si>
  <si>
    <t>MVARHB</t>
  </si>
  <si>
    <t>MVARHC</t>
  </si>
  <si>
    <t>FLTRCDRVOLTABC</t>
  </si>
  <si>
    <t>FLTRCDRVOLTA</t>
  </si>
  <si>
    <t>FLTRCDRVOLTB</t>
  </si>
  <si>
    <t>FLTRCDRVOLTC</t>
  </si>
  <si>
    <t>FLTRCDRAMPABC</t>
  </si>
  <si>
    <t>FLTRCDRAMPA</t>
  </si>
  <si>
    <t>FLTRCDRAMPB</t>
  </si>
  <si>
    <t>FLTRCDRAMPC</t>
  </si>
  <si>
    <t>FLTRCDRVOLTANGABC</t>
  </si>
  <si>
    <t>FLTRCDRVOLTANGA</t>
  </si>
  <si>
    <t>FLTRCDRVOLTANGB</t>
  </si>
  <si>
    <t>FLTRCDRVOLTANGC</t>
  </si>
  <si>
    <t>FLTRCDRAMPANGABC</t>
  </si>
  <si>
    <t>FLTRCDRAMPANGA</t>
  </si>
  <si>
    <t>FLTRCDRAMPANGB</t>
  </si>
  <si>
    <t>FLTRCDRAMPANGC</t>
  </si>
  <si>
    <t>TMPABC</t>
  </si>
  <si>
    <t>TMPA</t>
  </si>
  <si>
    <t>TMPB</t>
  </si>
  <si>
    <t>TMPC</t>
  </si>
  <si>
    <t>CUSTANLM1ABC</t>
  </si>
  <si>
    <t>CUSTANLM1A</t>
  </si>
  <si>
    <t>CUSTANLM1B</t>
  </si>
  <si>
    <t>CUSTANLM1C</t>
  </si>
  <si>
    <t>CUSTANLM2ABC</t>
  </si>
  <si>
    <t>CUSTANLM2A</t>
  </si>
  <si>
    <t>CUSTANLM2B</t>
  </si>
  <si>
    <t>CUSTANLM2C</t>
  </si>
  <si>
    <t>CUSTANLM3ABC</t>
  </si>
  <si>
    <t>CUSTANLM3A</t>
  </si>
  <si>
    <t>CUSTANLM3B</t>
  </si>
  <si>
    <t>CUSTANLM3C</t>
  </si>
  <si>
    <t>CUSTANLM3N</t>
  </si>
  <si>
    <t>CUSTANLM4ABC</t>
  </si>
  <si>
    <t>CUSTANLM4A</t>
  </si>
  <si>
    <t>CUSTANLM4B</t>
  </si>
  <si>
    <t>CUSTANLM4C</t>
  </si>
  <si>
    <t>CUSTANLM5ABC</t>
  </si>
  <si>
    <t>CUSTANLM5A</t>
  </si>
  <si>
    <t>CUSTANLM5B</t>
  </si>
  <si>
    <t>CUSTANLM5C</t>
  </si>
  <si>
    <t>CUSTANLM6ABC</t>
  </si>
  <si>
    <t>CUSTANLM6A</t>
  </si>
  <si>
    <t>CUSTANLM6B</t>
  </si>
  <si>
    <t>CUSTANLM6C</t>
  </si>
  <si>
    <t>CUSTANLM7ABC</t>
  </si>
  <si>
    <t>CUSTANLM7A</t>
  </si>
  <si>
    <t>CUSTANLM7B</t>
  </si>
  <si>
    <t>CUSTANLM7C</t>
  </si>
  <si>
    <t>CUSTANLM8ABC</t>
  </si>
  <si>
    <t>CUSTANLM8A</t>
  </si>
  <si>
    <t>CUSTANLM8B</t>
  </si>
  <si>
    <t>CUSTANLM8C</t>
  </si>
  <si>
    <t>CUSTANLM9ABC</t>
  </si>
  <si>
    <t>CUSTANLM9A</t>
  </si>
  <si>
    <t>CUSTANLM9B</t>
  </si>
  <si>
    <t>CUSTANLM9C</t>
  </si>
  <si>
    <t>CUSTANLM10ABC</t>
  </si>
  <si>
    <t>CUSTANLM10A</t>
  </si>
  <si>
    <t>CUSTANLM10B</t>
  </si>
  <si>
    <t>CUSTANLM10C</t>
  </si>
  <si>
    <t>CUSTANLM11ABC</t>
  </si>
  <si>
    <t>CUSTANLM11A</t>
  </si>
  <si>
    <t>CUSTANLM11B</t>
  </si>
  <si>
    <t>CUSTANLM11C</t>
  </si>
  <si>
    <t>CUSTANLM12ABC</t>
  </si>
  <si>
    <t>CUSTANLM12A</t>
  </si>
  <si>
    <t>CUSTANLM12B</t>
  </si>
  <si>
    <t>CUSTANLM12C</t>
  </si>
  <si>
    <t>CUSTANLM13ABC</t>
  </si>
  <si>
    <t>CUSTANLM13A</t>
  </si>
  <si>
    <t>CUSTANLM13B</t>
  </si>
  <si>
    <t>CUSTANLM13C</t>
  </si>
  <si>
    <t>CUSTANLM14ABC</t>
  </si>
  <si>
    <t>CUSTANLM14A</t>
  </si>
  <si>
    <t>CUSTANLM14B</t>
  </si>
  <si>
    <t>CUSTANLM14C</t>
  </si>
  <si>
    <t>CUSTANLM15ABC</t>
  </si>
  <si>
    <t>CUSTANLM15A</t>
  </si>
  <si>
    <t>CUSTANLM15B</t>
  </si>
  <si>
    <t>CUSTANLM15C</t>
  </si>
  <si>
    <t>CUSTANLM16ABC</t>
  </si>
  <si>
    <t>CUSTANLM16A</t>
  </si>
  <si>
    <t>CUSTANLM16B</t>
  </si>
  <si>
    <t>CUSTANLM16C</t>
  </si>
  <si>
    <t>CUSTANLM17ABC</t>
  </si>
  <si>
    <t>CUSTANLM17A</t>
  </si>
  <si>
    <t>CUSTANLM17B</t>
  </si>
  <si>
    <t>CUSTANLM17C</t>
  </si>
  <si>
    <t>CUSTANLM18ABC</t>
  </si>
  <si>
    <t>CUSTANLM18A</t>
  </si>
  <si>
    <t>CUSTANLM18B</t>
  </si>
  <si>
    <t>CUSTANLM18C</t>
  </si>
  <si>
    <t>CUSTANLM19ABC</t>
  </si>
  <si>
    <t>CUSTANLM19A</t>
  </si>
  <si>
    <t>CUSTANLM19B</t>
  </si>
  <si>
    <t>CUSTANLM19C</t>
  </si>
  <si>
    <t>CUSTANLM20ABC</t>
  </si>
  <si>
    <t>CUSTANLM20A</t>
  </si>
  <si>
    <t>CUSTANLM20B</t>
  </si>
  <si>
    <t>CUSTANLM20C</t>
  </si>
  <si>
    <t>CUSTANLM21ABC</t>
  </si>
  <si>
    <t>CUSTANLM21A</t>
  </si>
  <si>
    <t>CUSTANLM21B</t>
  </si>
  <si>
    <t>CUSTANLM21C</t>
  </si>
  <si>
    <t>CUSTANLM22ABC</t>
  </si>
  <si>
    <t>CUSTANLM22A</t>
  </si>
  <si>
    <t>CUSTANLM22B</t>
  </si>
  <si>
    <t>CUSTANLM22C</t>
  </si>
  <si>
    <t>CUSTANLM23ABC</t>
  </si>
  <si>
    <t>CUSTANLM23A</t>
  </si>
  <si>
    <t>CUSTANLM23B</t>
  </si>
  <si>
    <t>CUSTANLM23C</t>
  </si>
  <si>
    <t>CUSTANLM24ABC</t>
  </si>
  <si>
    <t>CUSTANLM24A</t>
  </si>
  <si>
    <t>CUSTANLM24B</t>
  </si>
  <si>
    <t>CUSTANLM24C</t>
  </si>
  <si>
    <t>CUSTANLM25ABC</t>
  </si>
  <si>
    <t>CUSTANLM25A</t>
  </si>
  <si>
    <t>CUSTANLM25B</t>
  </si>
  <si>
    <t>CUSTANLM25C</t>
  </si>
  <si>
    <t>CUSTANLM26ABC</t>
  </si>
  <si>
    <t>CUSTANLM26A</t>
  </si>
  <si>
    <t>CUSTANLM26B</t>
  </si>
  <si>
    <t>CUSTANLM26C</t>
  </si>
  <si>
    <t>CUSTANLM27ABC</t>
  </si>
  <si>
    <t>CUSTANLM27A</t>
  </si>
  <si>
    <t>CUSTANLM27B</t>
  </si>
  <si>
    <t>CUSTANLM27C</t>
  </si>
  <si>
    <t>CUSTANLM28ABC</t>
  </si>
  <si>
    <t>CUSTANLM28A</t>
  </si>
  <si>
    <t>CUSTANLM28B</t>
  </si>
  <si>
    <t>CUSTANLM28C</t>
  </si>
  <si>
    <t>CUSTANLM29ABC</t>
  </si>
  <si>
    <t>CUSTANLM29A</t>
  </si>
  <si>
    <t>CUSTANLM29B</t>
  </si>
  <si>
    <t>CUSTANLM29C</t>
  </si>
  <si>
    <t>CUSTANLM30ABC</t>
  </si>
  <si>
    <t>CUSTANLM30A</t>
  </si>
  <si>
    <t>CUSTANLM30B</t>
  </si>
  <si>
    <t>CUSTANLM30C</t>
  </si>
  <si>
    <t>CUSTANLM31ABC</t>
  </si>
  <si>
    <t>CUSTANLM31A</t>
  </si>
  <si>
    <t>CUSTANLM31B</t>
  </si>
  <si>
    <t>CUSTANLM31C</t>
  </si>
  <si>
    <t>CUSTANLM32ABC</t>
  </si>
  <si>
    <t>CUSTANLM32A</t>
  </si>
  <si>
    <t>CUSTANLM32B</t>
  </si>
  <si>
    <t>CUSTANLM32C</t>
  </si>
  <si>
    <t>CUSTANLM33ABC</t>
  </si>
  <si>
    <t>CUSTANLM33A</t>
  </si>
  <si>
    <t>CUSTANLM33B</t>
  </si>
  <si>
    <t>CUSTANLM33C</t>
  </si>
  <si>
    <t>CUSTANLM34ABC</t>
  </si>
  <si>
    <t>CUSTANLM34A</t>
  </si>
  <si>
    <t>CUSTANLM34B</t>
  </si>
  <si>
    <t>CUSTANLM34C</t>
  </si>
  <si>
    <t>CUSTANLM35ABC</t>
  </si>
  <si>
    <t>CUSTANLM35A</t>
  </si>
  <si>
    <t>CUSTANLM35B</t>
  </si>
  <si>
    <t>CUSTANLM35C</t>
  </si>
  <si>
    <t>CUSTANLM36ABC</t>
  </si>
  <si>
    <t>CUSTANLM36A</t>
  </si>
  <si>
    <t>CUSTANLM36B</t>
  </si>
  <si>
    <t>CUSTANLM36C</t>
  </si>
  <si>
    <t>VOLTABCPRIM</t>
  </si>
  <si>
    <t>VOLTABPRIM</t>
  </si>
  <si>
    <t>VOLTBCPRIM</t>
  </si>
  <si>
    <t>VOLTACPRIM</t>
  </si>
  <si>
    <t>VOLTAPRIM</t>
  </si>
  <si>
    <t>VOLTBPRIM</t>
  </si>
  <si>
    <t>VOLTCPRIM</t>
  </si>
  <si>
    <t>VOLTANGABCPRIM</t>
  </si>
  <si>
    <t>VOLTANGABPRIM</t>
  </si>
  <si>
    <t>VOLTANGBCPRIM</t>
  </si>
  <si>
    <t>VOLTANGACPRIM</t>
  </si>
  <si>
    <t>VOLTANGAPRIM</t>
  </si>
  <si>
    <t>VOLTANGBPRIM</t>
  </si>
  <si>
    <t>VOLTANGCPRIM</t>
  </si>
  <si>
    <t>FREQPRIM</t>
  </si>
  <si>
    <t>RELVOLTABCPRIM</t>
  </si>
  <si>
    <t>RELVOLTABPRIM</t>
  </si>
  <si>
    <t>RELVOLTACPRIM</t>
  </si>
  <si>
    <t>RELVOLTBCPRIM</t>
  </si>
  <si>
    <t>RELVOLTAPRIM</t>
  </si>
  <si>
    <t>RELVOLTBPRIM</t>
  </si>
  <si>
    <t>RELVOLTCPRIM</t>
  </si>
  <si>
    <t>AMPABCPRIM</t>
  </si>
  <si>
    <t>AMPAPRIM</t>
  </si>
  <si>
    <t>AMPBPRIM</t>
  </si>
  <si>
    <t>AMPCPRIM</t>
  </si>
  <si>
    <t>AMPNPRIM</t>
  </si>
  <si>
    <t>MWABCPRIM</t>
  </si>
  <si>
    <t>MWAPRIM</t>
  </si>
  <si>
    <t>MWBPRIM</t>
  </si>
  <si>
    <t>MWCPRIM</t>
  </si>
  <si>
    <t>MVARABCPRIM</t>
  </si>
  <si>
    <t>MVARAPRIM</t>
  </si>
  <si>
    <t>MVARBPRIM</t>
  </si>
  <si>
    <t>MVARCPRIM</t>
  </si>
  <si>
    <t>MVAABCPRIM</t>
  </si>
  <si>
    <t>COSPHIABCPRIM</t>
  </si>
  <si>
    <t>COSPHIAPRIM</t>
  </si>
  <si>
    <t>COSPHIBPRIM</t>
  </si>
  <si>
    <t>COSPHICPRIM</t>
  </si>
  <si>
    <t>MWHABCPRIM</t>
  </si>
  <si>
    <t>MWHAPRIM</t>
  </si>
  <si>
    <t>MWHBPRIM</t>
  </si>
  <si>
    <t>MWHCPRIM</t>
  </si>
  <si>
    <t>MVARHABCPRIM</t>
  </si>
  <si>
    <t>MVARHAPRIM</t>
  </si>
  <si>
    <t>MVARHBPRIM</t>
  </si>
  <si>
    <t>MVARHCPRIM</t>
  </si>
  <si>
    <t>FLTRCDRVOLTABCPRIM</t>
  </si>
  <si>
    <t>FLTRCDRVOLTAPRIM</t>
  </si>
  <si>
    <t>FLTRCDRVOLTBPRIM</t>
  </si>
  <si>
    <t>FLTRCDRVOLTCPRIM</t>
  </si>
  <si>
    <t>FLTRCDRAMPABCPRIM</t>
  </si>
  <si>
    <t>FLTRCDRAMPAPRIM</t>
  </si>
  <si>
    <t>FLTRCDRAMPBPRIM</t>
  </si>
  <si>
    <t>FLTRCDRAMPCPRIM</t>
  </si>
  <si>
    <t>FLTRCDRVOLTANGABCPRIM</t>
  </si>
  <si>
    <t>FLTRCDRVOLTANGAPRIM</t>
  </si>
  <si>
    <t>FLTRCDRVOLTANGBPRIM</t>
  </si>
  <si>
    <t>FLTRCDRVOLTANGCPRIM</t>
  </si>
  <si>
    <t>FLTRCDRAMPANGABCPRIM</t>
  </si>
  <si>
    <t>FLTRCDRAMPANGAPRIM</t>
  </si>
  <si>
    <t>FLTRCDRAMPANGBPRIM</t>
  </si>
  <si>
    <t>FLTRCDRAMPANGCPRIM</t>
  </si>
  <si>
    <t>TMPABCPRIM</t>
  </si>
  <si>
    <t>TMPAPRIM</t>
  </si>
  <si>
    <t>TMPBPRIM</t>
  </si>
  <si>
    <t>TMPCPRIM</t>
  </si>
  <si>
    <t>CUSTANLM1ABCPRIM</t>
  </si>
  <si>
    <t>CUSTANLM1APRIM</t>
  </si>
  <si>
    <t>CUSTANLM1BPRIM</t>
  </si>
  <si>
    <t>CUSTANLM1CPRIM</t>
  </si>
  <si>
    <t>CUSTANLM2ABCPRIM</t>
  </si>
  <si>
    <t>CUSTANLM2APRIM</t>
  </si>
  <si>
    <t>CUSTANLM2BPRIM</t>
  </si>
  <si>
    <t>CUSTANLM2CPRIM</t>
  </si>
  <si>
    <t>CUSTANLM3ABCPRIM</t>
  </si>
  <si>
    <t>CUSTANLM3APRIM</t>
  </si>
  <si>
    <t>CUSTANLM3BPRIM</t>
  </si>
  <si>
    <t>CUSTANLM3CPRIM</t>
  </si>
  <si>
    <t>CUSTANLM3NPRIM</t>
  </si>
  <si>
    <t>CUSTANLM4ABCPRIM</t>
  </si>
  <si>
    <t>CUSTANLM4APRIM</t>
  </si>
  <si>
    <t>CUSTANLM4BPRIM</t>
  </si>
  <si>
    <t>CUSTANLM4CPRIM</t>
  </si>
  <si>
    <t>CUSTANLM5ABCPRIM</t>
  </si>
  <si>
    <t>CUSTANLM5APRIM</t>
  </si>
  <si>
    <t>CUSTANLM5BPRIM</t>
  </si>
  <si>
    <t>CUSTANLM5CPRIM</t>
  </si>
  <si>
    <t>CUSTANLM6ABCPRIM</t>
  </si>
  <si>
    <t>CUSTANLM6APRIM</t>
  </si>
  <si>
    <t>CUSTANLM6BPRIM</t>
  </si>
  <si>
    <t>CUSTANLM6CPRIM</t>
  </si>
  <si>
    <t>CUSTANLM7ABCPRIM</t>
  </si>
  <si>
    <t>CUSTANLM7APRIM</t>
  </si>
  <si>
    <t>CUSTANLM7BPRIM</t>
  </si>
  <si>
    <t>CUSTANLM7CPRIM</t>
  </si>
  <si>
    <t>CUSTANLM8ABCPRIM</t>
  </si>
  <si>
    <t>CUSTANLM8APRIM</t>
  </si>
  <si>
    <t>CUSTANLM8BPRIM</t>
  </si>
  <si>
    <t>CUSTANLM8CPRIM</t>
  </si>
  <si>
    <t>CUSTANLM9ABCPRIM</t>
  </si>
  <si>
    <t>CUSTANLM9APRIM</t>
  </si>
  <si>
    <t>CUSTANLM9BPRIM</t>
  </si>
  <si>
    <t>CUSTANLM9CPRIM</t>
  </si>
  <si>
    <t>CUSTANLM10ABCPRIM</t>
  </si>
  <si>
    <t>CUSTANLM10APRIM</t>
  </si>
  <si>
    <t>CUSTANLM10BPRIM</t>
  </si>
  <si>
    <t>CUSTANLM10CPRIM</t>
  </si>
  <si>
    <t>CUSTANLM11ABCPRIM</t>
  </si>
  <si>
    <t>CUSTANLM11APRIM</t>
  </si>
  <si>
    <t>CUSTANLM11BPRIM</t>
  </si>
  <si>
    <t>CUSTANLM11CPRIM</t>
  </si>
  <si>
    <t>CUSTANLM12ABCPRIM</t>
  </si>
  <si>
    <t>CUSTANLM12APRIM</t>
  </si>
  <si>
    <t>CUSTANLM12BPRIM</t>
  </si>
  <si>
    <t>CUSTANLM12CPRIM</t>
  </si>
  <si>
    <t>CUSTANLM13ABCPRIM</t>
  </si>
  <si>
    <t>CUSTANLM13APRIM</t>
  </si>
  <si>
    <t>CUSTANLM13BPRIM</t>
  </si>
  <si>
    <t>CUSTANLM13CPRIM</t>
  </si>
  <si>
    <t>CUSTANLM14ABCPRIM</t>
  </si>
  <si>
    <t>CUSTANLM14APRIM</t>
  </si>
  <si>
    <t>CUSTANLM14BPRIM</t>
  </si>
  <si>
    <t>CUSTANLM14CPRIM</t>
  </si>
  <si>
    <t>CUSTANLM15ABCPRIM</t>
  </si>
  <si>
    <t>CUSTANLM15APRIM</t>
  </si>
  <si>
    <t>CUSTANLM15BPRIM</t>
  </si>
  <si>
    <t>CUSTANLM15CPRIM</t>
  </si>
  <si>
    <t>CUSTANLM16ABCPRIM</t>
  </si>
  <si>
    <t>CUSTANLM16APRIM</t>
  </si>
  <si>
    <t>CUSTANLM16BPRIM</t>
  </si>
  <si>
    <t>CUSTANLM16CPRIM</t>
  </si>
  <si>
    <t>CUSTANLM17ABCPRIM</t>
  </si>
  <si>
    <t>CUSTANLM17APRIM</t>
  </si>
  <si>
    <t>CUSTANLM17BPRIM</t>
  </si>
  <si>
    <t>CUSTANLM17CPRIM</t>
  </si>
  <si>
    <t>CUSTANLM18ABCPRIM</t>
  </si>
  <si>
    <t>CUSTANLM18APRIM</t>
  </si>
  <si>
    <t>CUSTANLM18BPRIM</t>
  </si>
  <si>
    <t>CUSTANLM18CPRIM</t>
  </si>
  <si>
    <t>CUSTANLM19ABCPRIM</t>
  </si>
  <si>
    <t>CUSTANLM19APRIM</t>
  </si>
  <si>
    <t>CUSTANLM19BPRIM</t>
  </si>
  <si>
    <t>CUSTANLM19CPRIM</t>
  </si>
  <si>
    <t>CUSTANLM20ABCPRIM</t>
  </si>
  <si>
    <t>CUSTANLM20APRIM</t>
  </si>
  <si>
    <t>CUSTANLM20BPRIM</t>
  </si>
  <si>
    <t>CUSTANLM20CPRIM</t>
  </si>
  <si>
    <t>CUSTANLM21ABCPRIM</t>
  </si>
  <si>
    <t>CUSTANLM21APRIM</t>
  </si>
  <si>
    <t>CUSTANLM21BPRIM</t>
  </si>
  <si>
    <t>CUSTANLM21CPRIM</t>
  </si>
  <si>
    <t>CUSTANLM22ABCPRIM</t>
  </si>
  <si>
    <t>CUSTANLM22APRIM</t>
  </si>
  <si>
    <t>CUSTANLM22BPRIM</t>
  </si>
  <si>
    <t>CUSTANLM22CPRIM</t>
  </si>
  <si>
    <t>CUSTANLM23ABCPRIM</t>
  </si>
  <si>
    <t>CUSTANLM23APRIM</t>
  </si>
  <si>
    <t>CUSTANLM23BPRIM</t>
  </si>
  <si>
    <t>CUSTANLM23CPRIM</t>
  </si>
  <si>
    <t>CUSTANLM24ABCPRIM</t>
  </si>
  <si>
    <t>CUSTANLM24APRIM</t>
  </si>
  <si>
    <t>CUSTANLM24BPRIM</t>
  </si>
  <si>
    <t>CUSTANLM24CPRIM</t>
  </si>
  <si>
    <t>CUSTANLM25ABCPRIM</t>
  </si>
  <si>
    <t>CUSTANLM25APRIM</t>
  </si>
  <si>
    <t>CUSTANLM25BPRIM</t>
  </si>
  <si>
    <t>CUSTANLM25CPRIM</t>
  </si>
  <si>
    <t>CUSTANLM26ABCPRIM</t>
  </si>
  <si>
    <t>CUSTANLM26APRIM</t>
  </si>
  <si>
    <t>CUSTANLM26BPRIM</t>
  </si>
  <si>
    <t>CUSTANLM26CPRIM</t>
  </si>
  <si>
    <t>CUSTANLM27ABCPRIM</t>
  </si>
  <si>
    <t>CUSTANLM27APRIM</t>
  </si>
  <si>
    <t>CUSTANLM27BPRIM</t>
  </si>
  <si>
    <t>CUSTANLM27CPRIM</t>
  </si>
  <si>
    <t>CUSTANLM28ABCPRIM</t>
  </si>
  <si>
    <t>CUSTANLM28APRIM</t>
  </si>
  <si>
    <t>CUSTANLM28BPRIM</t>
  </si>
  <si>
    <t>CUSTANLM28CPRIM</t>
  </si>
  <si>
    <t>CUSTANLM29ABCPRIM</t>
  </si>
  <si>
    <t>CUSTANLM29APRIM</t>
  </si>
  <si>
    <t>CUSTANLM29BPRIM</t>
  </si>
  <si>
    <t>CUSTANLM29CPRIM</t>
  </si>
  <si>
    <t>CUSTANLM30ABCPRIM</t>
  </si>
  <si>
    <t>CUSTANLM30APRIM</t>
  </si>
  <si>
    <t>CUSTANLM30BPRIM</t>
  </si>
  <si>
    <t>CUSTANLM30CPRIM</t>
  </si>
  <si>
    <t>CUSTANLM31ABCPRIM</t>
  </si>
  <si>
    <t>CUSTANLM31APRIM</t>
  </si>
  <si>
    <t>CUSTANLM31BPRIM</t>
  </si>
  <si>
    <t>CUSTANLM31CPRIM</t>
  </si>
  <si>
    <t>CUSTANLM32ABCPRIM</t>
  </si>
  <si>
    <t>CUSTANLM32APRIM</t>
  </si>
  <si>
    <t>CUSTANLM32BPRIM</t>
  </si>
  <si>
    <t>CUSTANLM32CPRIM</t>
  </si>
  <si>
    <t>CUSTANLM33ABCPRIM</t>
  </si>
  <si>
    <t>CUSTANLM33APRIM</t>
  </si>
  <si>
    <t>CUSTANLM33BPRIM</t>
  </si>
  <si>
    <t>CUSTANLM33CPRIM</t>
  </si>
  <si>
    <t>CUSTANLM34ABCPRIM</t>
  </si>
  <si>
    <t>CUSTANLM34APRIM</t>
  </si>
  <si>
    <t>CUSTANLM34BPRIM</t>
  </si>
  <si>
    <t>CUSTANLM34CPRIM</t>
  </si>
  <si>
    <t>CUSTANLM35ABCPRIM</t>
  </si>
  <si>
    <t>CUSTANLM35APRIM</t>
  </si>
  <si>
    <t>CUSTANLM35BPRIM</t>
  </si>
  <si>
    <t>CUSTANLM35CPRIM</t>
  </si>
  <si>
    <t>CUSTANLM36ABCPRIM</t>
  </si>
  <si>
    <t>CUSTANLM36APRIM</t>
  </si>
  <si>
    <t>CUSTANLM36BPRIM</t>
  </si>
  <si>
    <t>CUSTANLM36CPRIM</t>
  </si>
  <si>
    <t>VOLTABCSEC</t>
  </si>
  <si>
    <t>VOLTABSEC</t>
  </si>
  <si>
    <t>VOLTBCSEC</t>
  </si>
  <si>
    <t>VOLTACSEC</t>
  </si>
  <si>
    <t>VOLTASEC</t>
  </si>
  <si>
    <t>VOLTBSEC</t>
  </si>
  <si>
    <t>VOLTCSEC</t>
  </si>
  <si>
    <t>VOLTANGABCSEC</t>
  </si>
  <si>
    <t>VOLTANGABSEC</t>
  </si>
  <si>
    <t>VOLTANGBCSEC</t>
  </si>
  <si>
    <t>VOLTANGACSEC</t>
  </si>
  <si>
    <t>VOLTANGASEC</t>
  </si>
  <si>
    <t>VOLTANGBSEC</t>
  </si>
  <si>
    <t>VOLTANGCSEC</t>
  </si>
  <si>
    <t>FREQSEC</t>
  </si>
  <si>
    <t>RELVOLTABCSEC</t>
  </si>
  <si>
    <t>RELVOLTABSEC</t>
  </si>
  <si>
    <t>RELVOLTACSEC</t>
  </si>
  <si>
    <t>RELVOLTBCSEC</t>
  </si>
  <si>
    <t>RELVOLTASEC</t>
  </si>
  <si>
    <t>RELVOLTBSEC</t>
  </si>
  <si>
    <t>RELVOLTCSEC</t>
  </si>
  <si>
    <t>AMPABCSEC</t>
  </si>
  <si>
    <t>AMPASEC</t>
  </si>
  <si>
    <t>AMPBSEC</t>
  </si>
  <si>
    <t>AMPCSEC</t>
  </si>
  <si>
    <t>AMPNSEC</t>
  </si>
  <si>
    <t>MWABCSEC</t>
  </si>
  <si>
    <t>MWASEC</t>
  </si>
  <si>
    <t>MWBSEC</t>
  </si>
  <si>
    <t>MWCSEC</t>
  </si>
  <si>
    <t>MVARABCSEC</t>
  </si>
  <si>
    <t>MVARASEC</t>
  </si>
  <si>
    <t>MVARBSEC</t>
  </si>
  <si>
    <t>MVARCSEC</t>
  </si>
  <si>
    <t>MVAABCSEC</t>
  </si>
  <si>
    <t>COSPHIABCSEC</t>
  </si>
  <si>
    <t>COSPHIASEC</t>
  </si>
  <si>
    <t>COSPHIBSEC</t>
  </si>
  <si>
    <t>COSPHICSEC</t>
  </si>
  <si>
    <t>MWHABCSEC</t>
  </si>
  <si>
    <t>MWHASEC</t>
  </si>
  <si>
    <t>MWHBSEC</t>
  </si>
  <si>
    <t>MWHCSEC</t>
  </si>
  <si>
    <t>MVARHABCSEC</t>
  </si>
  <si>
    <t>MVARHASEC</t>
  </si>
  <si>
    <t>MVARHBSEC</t>
  </si>
  <si>
    <t>MVARHCSEC</t>
  </si>
  <si>
    <t>FLTRCDRVOLTABCSEC</t>
  </si>
  <si>
    <t>FLTRCDRVOLTASEC</t>
  </si>
  <si>
    <t>FLTRCDRVOLTBSEC</t>
  </si>
  <si>
    <t>FLTRCDRVOLTCSEC</t>
  </si>
  <si>
    <t>FLTRCDRAMPABCSEC</t>
  </si>
  <si>
    <t>FLTRCDRAMPASEC</t>
  </si>
  <si>
    <t>FLTRCDRAMPBSEC</t>
  </si>
  <si>
    <t>FLTRCDRAMPCSEC</t>
  </si>
  <si>
    <t>FLTRCDRVOLTANGABCSEC</t>
  </si>
  <si>
    <t>FLTRCDRVOLTANGASEC</t>
  </si>
  <si>
    <t>FLTRCDRVOLTANGBSEC</t>
  </si>
  <si>
    <t>FLTRCDRVOLTANGCSEC</t>
  </si>
  <si>
    <t>FLTRCDRAMPANGABCSEC</t>
  </si>
  <si>
    <t>FLTRCDRAMPANGASEC</t>
  </si>
  <si>
    <t>FLTRCDRAMPANGBSEC</t>
  </si>
  <si>
    <t>FLTRCDRAMPANGCSEC</t>
  </si>
  <si>
    <t>TMPABCSEC</t>
  </si>
  <si>
    <t>TMPASEC</t>
  </si>
  <si>
    <t>TMPBSEC</t>
  </si>
  <si>
    <t>TMPCSEC</t>
  </si>
  <si>
    <t>CUSTANLM1ABCSEC</t>
  </si>
  <si>
    <t>CUSTANLM1ASEC</t>
  </si>
  <si>
    <t>CUSTANLM1BSEC</t>
  </si>
  <si>
    <t>CUSTANLM1CSEC</t>
  </si>
  <si>
    <t>CUSTANLM2ABCSEC</t>
  </si>
  <si>
    <t>CUSTANLM2ASEC</t>
  </si>
  <si>
    <t>CUSTANLM2BSEC</t>
  </si>
  <si>
    <t>CUSTANLM2CSEC</t>
  </si>
  <si>
    <t>CUSTANLM3ABCSEC</t>
  </si>
  <si>
    <t>CUSTANLM3ASEC</t>
  </si>
  <si>
    <t>CUSTANLM3BSEC</t>
  </si>
  <si>
    <t>CUSTANLM3CSEC</t>
  </si>
  <si>
    <t>CUSTANLM3NSEC</t>
  </si>
  <si>
    <t>CUSTANLM4ABCSEC</t>
  </si>
  <si>
    <t>CUSTANLM4ASEC</t>
  </si>
  <si>
    <t>CUSTANLM4BSEC</t>
  </si>
  <si>
    <t>CUSTANLM4CSEC</t>
  </si>
  <si>
    <t>CUSTANLM5ABCSEC</t>
  </si>
  <si>
    <t>CUSTANLM5ASEC</t>
  </si>
  <si>
    <t>CUSTANLM5BSEC</t>
  </si>
  <si>
    <t>CUSTANLM5CSEC</t>
  </si>
  <si>
    <t>CUSTANLM6ABCSEC</t>
  </si>
  <si>
    <t>CUSTANLM6ASEC</t>
  </si>
  <si>
    <t>CUSTANLM6BSEC</t>
  </si>
  <si>
    <t>CUSTANLM6CSEC</t>
  </si>
  <si>
    <t>CUSTANLM7ABCSEC</t>
  </si>
  <si>
    <t>CUSTANLM7ASEC</t>
  </si>
  <si>
    <t>CUSTANLM7BSEC</t>
  </si>
  <si>
    <t>CUSTANLM7CSEC</t>
  </si>
  <si>
    <t>CUSTANLM8ABCSEC</t>
  </si>
  <si>
    <t>CUSTANLM8ASEC</t>
  </si>
  <si>
    <t>CUSTANLM8BSEC</t>
  </si>
  <si>
    <t>CUSTANLM8CSEC</t>
  </si>
  <si>
    <t>CUSTANLM9ABCSEC</t>
  </si>
  <si>
    <t>CUSTANLM9ASEC</t>
  </si>
  <si>
    <t>CUSTANLM9BSEC</t>
  </si>
  <si>
    <t>CUSTANLM9CSEC</t>
  </si>
  <si>
    <t>CUSTANLM10ABCSEC</t>
  </si>
  <si>
    <t>CUSTANLM10ASEC</t>
  </si>
  <si>
    <t>CUSTANLM10BSEC</t>
  </si>
  <si>
    <t>CUSTANLM10CSEC</t>
  </si>
  <si>
    <t>CUSTANLM11ABCSEC</t>
  </si>
  <si>
    <t>CUSTANLM11ASEC</t>
  </si>
  <si>
    <t>CUSTANLM11BSEC</t>
  </si>
  <si>
    <t>CUSTANLM11CSEC</t>
  </si>
  <si>
    <t>CUSTANLM12ABCSEC</t>
  </si>
  <si>
    <t>CUSTANLM12ASEC</t>
  </si>
  <si>
    <t>CUSTANLM12BSEC</t>
  </si>
  <si>
    <t>CUSTANLM12CSEC</t>
  </si>
  <si>
    <t>CUSTANLM13ABCSEC</t>
  </si>
  <si>
    <t>CUSTANLM13ASEC</t>
  </si>
  <si>
    <t>CUSTANLM13BSEC</t>
  </si>
  <si>
    <t>CUSTANLM13CSEC</t>
  </si>
  <si>
    <t>CUSTANLM14ABCSEC</t>
  </si>
  <si>
    <t>CUSTANLM14ASEC</t>
  </si>
  <si>
    <t>CUSTANLM14BSEC</t>
  </si>
  <si>
    <t>CUSTANLM14CSEC</t>
  </si>
  <si>
    <t>CUSTANLM15ABCSEC</t>
  </si>
  <si>
    <t>CUSTANLM15ASEC</t>
  </si>
  <si>
    <t>CUSTANLM15BSEC</t>
  </si>
  <si>
    <t>CUSTANLM15CSEC</t>
  </si>
  <si>
    <t>CUSTANLM16ABCSEC</t>
  </si>
  <si>
    <t>CUSTANLM16ASEC</t>
  </si>
  <si>
    <t>CUSTANLM16BSEC</t>
  </si>
  <si>
    <t>CUSTANLM16CSEC</t>
  </si>
  <si>
    <t>CUSTANLM17ABCSEC</t>
  </si>
  <si>
    <t>CUSTANLM17ASEC</t>
  </si>
  <si>
    <t>CUSTANLM17BSEC</t>
  </si>
  <si>
    <t>CUSTANLM17CSEC</t>
  </si>
  <si>
    <t>CUSTANLM18ABCSEC</t>
  </si>
  <si>
    <t>CUSTANLM18ASEC</t>
  </si>
  <si>
    <t>CUSTANLM18BSEC</t>
  </si>
  <si>
    <t>CUSTANLM18CSEC</t>
  </si>
  <si>
    <t>CUSTANLM19ABCSEC</t>
  </si>
  <si>
    <t>CUSTANLM19ASEC</t>
  </si>
  <si>
    <t>CUSTANLM19BSEC</t>
  </si>
  <si>
    <t>CUSTANLM19CSEC</t>
  </si>
  <si>
    <t>CUSTANLM20ABCSEC</t>
  </si>
  <si>
    <t>CUSTANLM20ASEC</t>
  </si>
  <si>
    <t>CUSTANLM20BSEC</t>
  </si>
  <si>
    <t>CUSTANLM20CSEC</t>
  </si>
  <si>
    <t>CUSTANLM21ABCSEC</t>
  </si>
  <si>
    <t>CUSTANLM21ASEC</t>
  </si>
  <si>
    <t>CUSTANLM21BSEC</t>
  </si>
  <si>
    <t>CUSTANLM21CSEC</t>
  </si>
  <si>
    <t>CUSTANLM22ABCSEC</t>
  </si>
  <si>
    <t>CUSTANLM22ASEC</t>
  </si>
  <si>
    <t>CUSTANLM22BSEC</t>
  </si>
  <si>
    <t>CUSTANLM22CSEC</t>
  </si>
  <si>
    <t>CUSTANLM23ABCSEC</t>
  </si>
  <si>
    <t>CUSTANLM23ASEC</t>
  </si>
  <si>
    <t>CUSTANLM23BSEC</t>
  </si>
  <si>
    <t>CUSTANLM23CSEC</t>
  </si>
  <si>
    <t>CUSTANLM24ABCSEC</t>
  </si>
  <si>
    <t>CUSTANLM24ASEC</t>
  </si>
  <si>
    <t>CUSTANLM24BSEC</t>
  </si>
  <si>
    <t>CUSTANLM24CSEC</t>
  </si>
  <si>
    <t>CUSTANLM25ABCSEC</t>
  </si>
  <si>
    <t>CUSTANLM25ASEC</t>
  </si>
  <si>
    <t>CUSTANLM25BSEC</t>
  </si>
  <si>
    <t>CUSTANLM25CSEC</t>
  </si>
  <si>
    <t>CUSTANLM26ABCSEC</t>
  </si>
  <si>
    <t>CUSTANLM26ASEC</t>
  </si>
  <si>
    <t>CUSTANLM26BSEC</t>
  </si>
  <si>
    <t>CUSTANLM26CSEC</t>
  </si>
  <si>
    <t>CUSTANLM27ABCSEC</t>
  </si>
  <si>
    <t>CUSTANLM27ASEC</t>
  </si>
  <si>
    <t>CUSTANLM27BSEC</t>
  </si>
  <si>
    <t>CUSTANLM27CSEC</t>
  </si>
  <si>
    <t>CUSTANLM28ABCSEC</t>
  </si>
  <si>
    <t>CUSTANLM28ASEC</t>
  </si>
  <si>
    <t>CUSTANLM28BSEC</t>
  </si>
  <si>
    <t>CUSTANLM28CSEC</t>
  </si>
  <si>
    <t>CUSTANLM29ABCSEC</t>
  </si>
  <si>
    <t>CUSTANLM29ASEC</t>
  </si>
  <si>
    <t>CUSTANLM29BSEC</t>
  </si>
  <si>
    <t>CUSTANLM29CSEC</t>
  </si>
  <si>
    <t>CUSTANLM30ABCSEC</t>
  </si>
  <si>
    <t>CUSTANLM30ASEC</t>
  </si>
  <si>
    <t>CUSTANLM30BSEC</t>
  </si>
  <si>
    <t>CUSTANLM30CSEC</t>
  </si>
  <si>
    <t>CUSTANLM31ABCSEC</t>
  </si>
  <si>
    <t>CUSTANLM31ASEC</t>
  </si>
  <si>
    <t>CUSTANLM31BSEC</t>
  </si>
  <si>
    <t>CUSTANLM31CSEC</t>
  </si>
  <si>
    <t>CUSTANLM32ABCSEC</t>
  </si>
  <si>
    <t>CUSTANLM32ASEC</t>
  </si>
  <si>
    <t>CUSTANLM32BSEC</t>
  </si>
  <si>
    <t>CUSTANLM32CSEC</t>
  </si>
  <si>
    <t>CUSTANLM33ABCSEC</t>
  </si>
  <si>
    <t>CUSTANLM33ASEC</t>
  </si>
  <si>
    <t>CUSTANLM33BSEC</t>
  </si>
  <si>
    <t>CUSTANLM33CSEC</t>
  </si>
  <si>
    <t>CUSTANLM34ABCSEC</t>
  </si>
  <si>
    <t>CUSTANLM34ASEC</t>
  </si>
  <si>
    <t>CUSTANLM34BSEC</t>
  </si>
  <si>
    <t>CUSTANLM34CSEC</t>
  </si>
  <si>
    <t>CUSTANLM35ABCSEC</t>
  </si>
  <si>
    <t>CUSTANLM35ASEC</t>
  </si>
  <si>
    <t>CUSTANLM35BSEC</t>
  </si>
  <si>
    <t>CUSTANLM35CSEC</t>
  </si>
  <si>
    <t>CUSTANLM36ABCSEC</t>
  </si>
  <si>
    <t>CUSTANLM36ASEC</t>
  </si>
  <si>
    <t>CUSTANLM36BSEC</t>
  </si>
  <si>
    <t>CUSTANLM36CSEC</t>
  </si>
  <si>
    <t/>
  </si>
  <si>
    <t>ENBLABC</t>
  </si>
  <si>
    <t>ENBLA</t>
  </si>
  <si>
    <t>ENBLB</t>
  </si>
  <si>
    <t>ENBLC</t>
  </si>
  <si>
    <t>TCHPOSABC</t>
  </si>
  <si>
    <t>TCHPOSA</t>
  </si>
  <si>
    <t>TCHPOSB</t>
  </si>
  <si>
    <t>TCHPOSC</t>
  </si>
  <si>
    <t>TCHINCABC</t>
  </si>
  <si>
    <t>TCHINCA</t>
  </si>
  <si>
    <t>TCHINCB</t>
  </si>
  <si>
    <t>TCHINCC</t>
  </si>
  <si>
    <t>PHSHIFTABC</t>
  </si>
  <si>
    <t>REVMODEABC</t>
  </si>
  <si>
    <t>REVMODEA</t>
  </si>
  <si>
    <t>REVMODEB</t>
  </si>
  <si>
    <t>REVMODEC</t>
  </si>
  <si>
    <t>PARALLELABC</t>
  </si>
  <si>
    <t>PARALLELA</t>
  </si>
  <si>
    <t>PARALLELB</t>
  </si>
  <si>
    <t>PARALLELC</t>
  </si>
  <si>
    <t>LBONUSABC</t>
  </si>
  <si>
    <t>LBONUSA</t>
  </si>
  <si>
    <t>LBONUSB</t>
  </si>
  <si>
    <t>LBONUSC</t>
  </si>
  <si>
    <t>CTRLACTSETTABC</t>
  </si>
  <si>
    <t>CTRLACTSETTA</t>
  </si>
  <si>
    <t>CTRLACTSETTB</t>
  </si>
  <si>
    <t>CTRLACTSETTC</t>
  </si>
  <si>
    <t>CTRLDLYABC</t>
  </si>
  <si>
    <t>CTRLDLYA</t>
  </si>
  <si>
    <t>CTRLDLYB</t>
  </si>
  <si>
    <t>CTRLDLYC</t>
  </si>
  <si>
    <t>CTRLLMTHGHVOLTABC</t>
  </si>
  <si>
    <t>CTRLLMTHGHVOLTA</t>
  </si>
  <si>
    <t>CTRLLMTHGHVOLTB</t>
  </si>
  <si>
    <t>CTRLLMTHGHVOLTC</t>
  </si>
  <si>
    <t>CTRLLMTHGHRELVOLTABC</t>
  </si>
  <si>
    <t>CTRLLMTHGHRELVOLTA</t>
  </si>
  <si>
    <t>CTRLLMTHGHRELVOLTB</t>
  </si>
  <si>
    <t>CTRLLMTHGHRELVOLTC</t>
  </si>
  <si>
    <t>CTRLLMTHGHAMPABC</t>
  </si>
  <si>
    <t>CTRLLMTHGHAMPA</t>
  </si>
  <si>
    <t>CTRLLMTHGHAMPB</t>
  </si>
  <si>
    <t>CTRLLMTHGHAMPC</t>
  </si>
  <si>
    <t>CTRLLMTHGHMWABC</t>
  </si>
  <si>
    <t>CTRLLMTHGHMWA</t>
  </si>
  <si>
    <t>CTRLLMTHGHMWB</t>
  </si>
  <si>
    <t>CTRLLMTHGHMWC</t>
  </si>
  <si>
    <t>CTRLLMTHGHMVAABC</t>
  </si>
  <si>
    <t>CTRLLMTHGHMVAA</t>
  </si>
  <si>
    <t>CTRLLMTHGHMVAB</t>
  </si>
  <si>
    <t>CTRLLMTHGHMWAC</t>
  </si>
  <si>
    <t>CTRLLMTHGHCOSPHIABC</t>
  </si>
  <si>
    <t>CTRLLMTHGHCOSPHIA</t>
  </si>
  <si>
    <t>CTRLLMTHGHCOSPHIB</t>
  </si>
  <si>
    <t>CTRLLMTHGHCOSPHIC</t>
  </si>
  <si>
    <t>CTRLLMTHGHTEMPABC</t>
  </si>
  <si>
    <t>CTRLLMTHGHTEMPA</t>
  </si>
  <si>
    <t>CTRLLMTHGHTEMPB</t>
  </si>
  <si>
    <t>CTRLLMTHGHTEMPC</t>
  </si>
  <si>
    <t>CTRLLMTLOWVOLTABC</t>
  </si>
  <si>
    <t>CTRLLMTLOWVOLTA</t>
  </si>
  <si>
    <t>CTRLLMTLOWVOLTB</t>
  </si>
  <si>
    <t>CTRLLMTLOWVOLTC</t>
  </si>
  <si>
    <t>CTRLLMTLOWRELVOLTABC</t>
  </si>
  <si>
    <t>CTRLLMTLOWRELVOLTA</t>
  </si>
  <si>
    <t>CTRLLMTLOWRELVOLTB</t>
  </si>
  <si>
    <t>CTRLLMTLOWRELVOLTC</t>
  </si>
  <si>
    <t>CTRLLMTLOWAMPABC</t>
  </si>
  <si>
    <t>CTRLLMTLOWAMPA</t>
  </si>
  <si>
    <t>CTRLLMTLOWAMPB</t>
  </si>
  <si>
    <t>CTRLLMTLOWAMPC</t>
  </si>
  <si>
    <t>CTRLLMTLOWMWABC</t>
  </si>
  <si>
    <t>CTRLLMTLOWMWA</t>
  </si>
  <si>
    <t>CTRLLMTLOWMWB</t>
  </si>
  <si>
    <t>CTRLLMTLOWMWC</t>
  </si>
  <si>
    <t>CTRLLMTLOWMVAABC</t>
  </si>
  <si>
    <t>CTRLLMTLOWMVAA</t>
  </si>
  <si>
    <t>CTRLLMTLOWMVAB</t>
  </si>
  <si>
    <t>CTRLLMTLOWMWAC</t>
  </si>
  <si>
    <t>CTRLLMTLOWCOSPHIABC</t>
  </si>
  <si>
    <t>CTRLLMTLOWCOSPHIA</t>
  </si>
  <si>
    <t>CTRLLMTLOWCOSPHIB</t>
  </si>
  <si>
    <t>CTRLLMTLOWCOSPHIC</t>
  </si>
  <si>
    <t>CTRLLMTLOWTEMPABC</t>
  </si>
  <si>
    <t>CTRLLMTLOWTEMPA</t>
  </si>
  <si>
    <t>CTRLLMTLOWTEMPB</t>
  </si>
  <si>
    <t>CTRLLMTLOWTEMPC</t>
  </si>
  <si>
    <t>CTRLSETVALVOLTABC</t>
  </si>
  <si>
    <t>CTRLSETVALVOLTA</t>
  </si>
  <si>
    <t>CTRLSETVALVOLTB</t>
  </si>
  <si>
    <t>CTRLSETVALVOLTC</t>
  </si>
  <si>
    <t>CTRLSETVALRELVOLTABC</t>
  </si>
  <si>
    <t>CTRLSETVALRELVOLTA</t>
  </si>
  <si>
    <t>CTRLSETVALRELVOLTB</t>
  </si>
  <si>
    <t>CTRLSETVALRELVOLTC</t>
  </si>
  <si>
    <t>CTRLSETVALAMPABC</t>
  </si>
  <si>
    <t>CTRLSETVALAMPA</t>
  </si>
  <si>
    <t>CTRLSETVALAMPB</t>
  </si>
  <si>
    <t>CTRLSETVALAMPC</t>
  </si>
  <si>
    <t>CTRLSETVALMWABC</t>
  </si>
  <si>
    <t>CTRLSETVALMWA</t>
  </si>
  <si>
    <t>CTRLSETVALMWB</t>
  </si>
  <si>
    <t>CTRLSETVALMWC</t>
  </si>
  <si>
    <t>CTRLSETVALMVARABC</t>
  </si>
  <si>
    <t>CTRLSETVALMVARA</t>
  </si>
  <si>
    <t>CTRLSETVALMVARB</t>
  </si>
  <si>
    <t>CTRLSETVALMVARC</t>
  </si>
  <si>
    <t>CTRLSETVALCOSPHIABC</t>
  </si>
  <si>
    <t>CTRLSETVALCOSPHIA</t>
  </si>
  <si>
    <t>CTRLSETVALCOSPHIB</t>
  </si>
  <si>
    <t>CTRLSETVALCOSPHIC</t>
  </si>
  <si>
    <t>CTRLSETVALIMPABC</t>
  </si>
  <si>
    <t>CTRLSETVALIMPA</t>
  </si>
  <si>
    <t>CTRLSETVALIMPB</t>
  </si>
  <si>
    <t>CTRLSETVALIMPC</t>
  </si>
  <si>
    <t>CTRLSETVALPCNTABC</t>
  </si>
  <si>
    <t>CTRLBDTHVOLTABC</t>
  </si>
  <si>
    <t>CTRLBDTHVOLTA</t>
  </si>
  <si>
    <t>CTRLBDTHVOLTB</t>
  </si>
  <si>
    <t>CTRLBDTHVOLTC</t>
  </si>
  <si>
    <t>CTRLBDTHRELVOLTABC</t>
  </si>
  <si>
    <t>CTRLBDTHRELVOLTA</t>
  </si>
  <si>
    <t>CTRLBDTHRELVOLTB</t>
  </si>
  <si>
    <t>CTRLBDTHRELVOLTC</t>
  </si>
  <si>
    <t>CTRLBDTHAMPABC</t>
  </si>
  <si>
    <t>CTRLBDTHAMPA</t>
  </si>
  <si>
    <t>CTRLBDTHAMPB</t>
  </si>
  <si>
    <t>CTRLBDTHAMPC</t>
  </si>
  <si>
    <t>CTRLBDTHMWABC</t>
  </si>
  <si>
    <t>CTRLBDTHMWA</t>
  </si>
  <si>
    <t>CTRLBDTHMWB</t>
  </si>
  <si>
    <t>CTRLBDTHMWC</t>
  </si>
  <si>
    <t>CTRLBDTHMVARABC</t>
  </si>
  <si>
    <t>CTRLBDTHMVARA</t>
  </si>
  <si>
    <t>CTRLBDTHMVARB</t>
  </si>
  <si>
    <t>CTRLBDTHMVARC</t>
  </si>
  <si>
    <t>CTRLBDTHCOSPHIABC</t>
  </si>
  <si>
    <t>CTRLBDTHCOSPHIA</t>
  </si>
  <si>
    <t>CTRLBDTHCOSPHIB</t>
  </si>
  <si>
    <t>CTRLBDTHCOSPHIC</t>
  </si>
  <si>
    <t>CTRLSUBDLYABC</t>
  </si>
  <si>
    <t>CTRLSUBDLYA</t>
  </si>
  <si>
    <t>CTRLSUBDLYB</t>
  </si>
  <si>
    <t>CTRLSUBDLYC</t>
  </si>
  <si>
    <t>CTRLSLPREUNTLSABC</t>
  </si>
  <si>
    <t>CTRLSLPREUNTLSA</t>
  </si>
  <si>
    <t>CTRLSLPREUNTLSB</t>
  </si>
  <si>
    <t>CTRLSLPREUNTLSC</t>
  </si>
  <si>
    <t>CTRLSLPREIMPABC</t>
  </si>
  <si>
    <t>CTRLSLPREIMPA</t>
  </si>
  <si>
    <t>CTRLSLPREIMPB</t>
  </si>
  <si>
    <t>CTRLSLPREIMPC</t>
  </si>
  <si>
    <t>CTRLSLPREPCNTABC</t>
  </si>
  <si>
    <t>CTRLSLPREPCNTA</t>
  </si>
  <si>
    <t>CTRLSLPREPCNTB</t>
  </si>
  <si>
    <t>CTRLSLPREPCNTC</t>
  </si>
  <si>
    <t>CTRLSLPRERELVOLTABC</t>
  </si>
  <si>
    <t>CTRLSLPRERELVOLTA</t>
  </si>
  <si>
    <t>CTRLSLPRERELVOLTB</t>
  </si>
  <si>
    <t>CTRLSLPRERELVOLTC</t>
  </si>
  <si>
    <t>CTRLSLPIMUNTLSABC</t>
  </si>
  <si>
    <t>CTRLSLPIMUNTLSA</t>
  </si>
  <si>
    <t>CTRLSLPIMUNTLSB</t>
  </si>
  <si>
    <t>CTRLSLPIMUNTLSC</t>
  </si>
  <si>
    <t>CTRLSLPIMIMPABC</t>
  </si>
  <si>
    <t>CTRLSLPIMIMPA</t>
  </si>
  <si>
    <t>CTRLSLPIMIMPB</t>
  </si>
  <si>
    <t>CTRLSLPIMIMPC</t>
  </si>
  <si>
    <t>CTRLSLPIMRELVOLTABC</t>
  </si>
  <si>
    <t>CTRLSLPIMRELVOLTA</t>
  </si>
  <si>
    <t>CTRLSLPIMRELVOLTB</t>
  </si>
  <si>
    <t>CTRLSLPIMRELVOLTC</t>
  </si>
  <si>
    <t>RELTRIPABC</t>
  </si>
  <si>
    <t>RELTRIPA</t>
  </si>
  <si>
    <t>RELTRIPB</t>
  </si>
  <si>
    <t>RELTRIPC</t>
  </si>
  <si>
    <t>RELTRIPN</t>
  </si>
  <si>
    <t>RECLENBLABC</t>
  </si>
  <si>
    <t>RECLENBLA</t>
  </si>
  <si>
    <t>RECLENBLB</t>
  </si>
  <si>
    <t>RECLENBLC</t>
  </si>
  <si>
    <t>RECLLCKTABC</t>
  </si>
  <si>
    <t>RECLLCKTA</t>
  </si>
  <si>
    <t>RECLLCKTB</t>
  </si>
  <si>
    <t>RECLLCKTC</t>
  </si>
  <si>
    <t>RECLDLYABC</t>
  </si>
  <si>
    <t>RECLDLYA</t>
  </si>
  <si>
    <t>RECLDLYB</t>
  </si>
  <si>
    <t>RECLDLYC</t>
  </si>
  <si>
    <t>UNFREQ</t>
  </si>
  <si>
    <t>FANSTABC</t>
  </si>
  <si>
    <t>FANSTA</t>
  </si>
  <si>
    <t>FANSTB</t>
  </si>
  <si>
    <t>FANSTC</t>
  </si>
  <si>
    <t>OILPUMPSTABC</t>
  </si>
  <si>
    <t>OILPUMPSTA</t>
  </si>
  <si>
    <t>OILPUMPSTB</t>
  </si>
  <si>
    <t>OILPUMPSTC</t>
  </si>
  <si>
    <t>OILTMP</t>
  </si>
  <si>
    <t>HOTSPOTTMP</t>
  </si>
  <si>
    <t>OILTMPPRIM</t>
  </si>
  <si>
    <t>HOTSPOTTMPPRIM</t>
  </si>
  <si>
    <t>OILTMPSEC</t>
  </si>
  <si>
    <t>HOTSPOTTMPSEC</t>
  </si>
  <si>
    <t>AMPABCTERT</t>
  </si>
  <si>
    <t>AMPATERT</t>
  </si>
  <si>
    <t>AMPBTERT</t>
  </si>
  <si>
    <t>AMPCTERT</t>
  </si>
  <si>
    <t>AMPNTERT</t>
  </si>
  <si>
    <t>NTertiary</t>
  </si>
  <si>
    <t>MWABCTERT</t>
  </si>
  <si>
    <t>MWATERT</t>
  </si>
  <si>
    <t>MWBTERT</t>
  </si>
  <si>
    <t>MWCTERT</t>
  </si>
  <si>
    <t>MVARABCTERT</t>
  </si>
  <si>
    <t>MVARATERT</t>
  </si>
  <si>
    <t>MVARBTERT</t>
  </si>
  <si>
    <t>MVARCTERT</t>
  </si>
  <si>
    <t>MVAABCTERT</t>
  </si>
  <si>
    <t>COSPHIABCTERT</t>
  </si>
  <si>
    <t>COSPHIATERT</t>
  </si>
  <si>
    <t>COSPHIBTERT</t>
  </si>
  <si>
    <t>COSPHICTERT</t>
  </si>
  <si>
    <t>MWHABCTERT</t>
  </si>
  <si>
    <t>MWHATERT</t>
  </si>
  <si>
    <t>MWHBTERT</t>
  </si>
  <si>
    <t>MWHCTERT</t>
  </si>
  <si>
    <t>MVARHABCTERT</t>
  </si>
  <si>
    <t>MVARHATERT</t>
  </si>
  <si>
    <t>MVARHBTERT</t>
  </si>
  <si>
    <t>MVARHCTERT</t>
  </si>
  <si>
    <t>OILTMPTERT</t>
  </si>
  <si>
    <t>HOTSPOTTMPTERT</t>
  </si>
  <si>
    <t>TMPABCTERT</t>
  </si>
  <si>
    <t>TMPATERT</t>
  </si>
  <si>
    <t>TMPBTERT</t>
  </si>
  <si>
    <t>TMPCTERT</t>
  </si>
  <si>
    <t>CUSTANLM1ABCTERT</t>
  </si>
  <si>
    <t>CUSTANLM1ATERT</t>
  </si>
  <si>
    <t>CUSTANLM1BTERT</t>
  </si>
  <si>
    <t>CUSTANLM1CTERT</t>
  </si>
  <si>
    <t>CUSTANLM2ABCTERT</t>
  </si>
  <si>
    <t>CUSTANLM2ATERT</t>
  </si>
  <si>
    <t>CUSTANLM2BTERT</t>
  </si>
  <si>
    <t>CUSTANLM2CTERT</t>
  </si>
  <si>
    <t>CUSTANLM3ABCTERT</t>
  </si>
  <si>
    <t>CUSTANLM3ATERT</t>
  </si>
  <si>
    <t>CUSTANLM3BTERT</t>
  </si>
  <si>
    <t>CUSTANLM3CTERT</t>
  </si>
  <si>
    <t>CUSTANLM3NTERT</t>
  </si>
  <si>
    <t>CUSTANLM4ABCTERT</t>
  </si>
  <si>
    <t>CUSTANLM4ATERT</t>
  </si>
  <si>
    <t>CUSTANLM4BTERT</t>
  </si>
  <si>
    <t>CUSTANLM4CTERT</t>
  </si>
  <si>
    <t>CUSTANLM5ABCTERT</t>
  </si>
  <si>
    <t>CUSTANLM5ATERT</t>
  </si>
  <si>
    <t>CUSTANLM5BTERT</t>
  </si>
  <si>
    <t>CUSTANLM5CTERT</t>
  </si>
  <si>
    <t>CUSTANLM6ABCTERT</t>
  </si>
  <si>
    <t>CUSTANLM6ATERT</t>
  </si>
  <si>
    <t>CUSTANLM6BTERT</t>
  </si>
  <si>
    <t>CUSTANLM6CTERT</t>
  </si>
  <si>
    <t>CUSTANLM7ABCTERT</t>
  </si>
  <si>
    <t>CUSTANLM7ATERT</t>
  </si>
  <si>
    <t>CUSTANLM7BTERT</t>
  </si>
  <si>
    <t>CUSTANLM7CTERT</t>
  </si>
  <si>
    <t>CUSTANLM8ABCTERT</t>
  </si>
  <si>
    <t>CUSTANLM8ATERT</t>
  </si>
  <si>
    <t>CUSTANLM8BTERT</t>
  </si>
  <si>
    <t>CUSTANLM8CTERT</t>
  </si>
  <si>
    <t>CUSTANLM9ABCTERT</t>
  </si>
  <si>
    <t>CUSTANLM9ATERT</t>
  </si>
  <si>
    <t>CUSTANLM9BTERT</t>
  </si>
  <si>
    <t>CUSTANLM9CTERT</t>
  </si>
  <si>
    <t>CUSTANLM10ABCTERT</t>
  </si>
  <si>
    <t>CUSTANLM10ATERT</t>
  </si>
  <si>
    <t>CUSTANLM10BTERT</t>
  </si>
  <si>
    <t>CUSTANLM10CTERT</t>
  </si>
  <si>
    <t>CUSTANLM11ABCTERT</t>
  </si>
  <si>
    <t>CUSTANLM11ATERT</t>
  </si>
  <si>
    <t>CUSTANLM11BTERT</t>
  </si>
  <si>
    <t>CUSTANLM11CTERT</t>
  </si>
  <si>
    <t>CUSTANLM12ABCTERT</t>
  </si>
  <si>
    <t>CUSTANLM12ATERT</t>
  </si>
  <si>
    <t>CUSTANLM12BTERT</t>
  </si>
  <si>
    <t>CUSTANLM12CTERT</t>
  </si>
  <si>
    <t>CUSTANLM13ABCTERT</t>
  </si>
  <si>
    <t>CUSTANLM13ATERT</t>
  </si>
  <si>
    <t>CUSTANLM13BTERT</t>
  </si>
  <si>
    <t>CUSTANLM13CTERT</t>
  </si>
  <si>
    <t>CUSTANLM14ABCTERT</t>
  </si>
  <si>
    <t>CUSTANLM14ATERT</t>
  </si>
  <si>
    <t>CUSTANLM14BTERT</t>
  </si>
  <si>
    <t>CUSTANLM14CTERT</t>
  </si>
  <si>
    <t>CUSTANLM15ABCTERT</t>
  </si>
  <si>
    <t>CUSTANLM15ATERT</t>
  </si>
  <si>
    <t>CUSTANLM15BTERT</t>
  </si>
  <si>
    <t>CUSTANLM15CTERT</t>
  </si>
  <si>
    <t>CUSTANLM16ABCTERT</t>
  </si>
  <si>
    <t>CUSTANLM16ATERT</t>
  </si>
  <si>
    <t>CUSTANLM16BTERT</t>
  </si>
  <si>
    <t>CUSTANLM16CTERT</t>
  </si>
  <si>
    <t>CUSTANLM17ABCTERT</t>
  </si>
  <si>
    <t>CUSTANLM17ATERT</t>
  </si>
  <si>
    <t>CUSTANLM17BTERT</t>
  </si>
  <si>
    <t>CUSTANLM17CTERT</t>
  </si>
  <si>
    <t>CUSTANLM18ABCTERT</t>
  </si>
  <si>
    <t>CUSTANLM18ATERT</t>
  </si>
  <si>
    <t>CUSTANLM18BTERT</t>
  </si>
  <si>
    <t>CUSTANLM18CTERT</t>
  </si>
  <si>
    <t>CUSTANLM19ABCTERT</t>
  </si>
  <si>
    <t>CUSTANLM19ATERT</t>
  </si>
  <si>
    <t>CUSTANLM19BTERT</t>
  </si>
  <si>
    <t>CUSTANLM19CTERT</t>
  </si>
  <si>
    <t>CUSTANLM20ABCTERT</t>
  </si>
  <si>
    <t>CUSTANLM20ATERT</t>
  </si>
  <si>
    <t>CUSTANLM20BTERT</t>
  </si>
  <si>
    <t>CUSTANLM20CTERT</t>
  </si>
  <si>
    <t>CUSTANLM21ABCTERT</t>
  </si>
  <si>
    <t>CUSTANLM21ATERT</t>
  </si>
  <si>
    <t>CUSTANLM21BTERT</t>
  </si>
  <si>
    <t>CUSTANLM21CTERT</t>
  </si>
  <si>
    <t>CUSTANLM22ABCTERT</t>
  </si>
  <si>
    <t>CUSTANLM22ATERT</t>
  </si>
  <si>
    <t>CUSTANLM22BTERT</t>
  </si>
  <si>
    <t>CUSTANLM22CTERT</t>
  </si>
  <si>
    <t>CUSTANLM23ABCTERT</t>
  </si>
  <si>
    <t>CUSTANLM23ATERT</t>
  </si>
  <si>
    <t>CUSTANLM23BTERT</t>
  </si>
  <si>
    <t>CUSTANLM23CTERT</t>
  </si>
  <si>
    <t>CUSTANLM24ABCTERT</t>
  </si>
  <si>
    <t>CUSTANLM24ATERT</t>
  </si>
  <si>
    <t>CUSTANLM24BTERT</t>
  </si>
  <si>
    <t>CUSTANLM24CTERT</t>
  </si>
  <si>
    <t>CUSTANLM25ABCTERT</t>
  </si>
  <si>
    <t>CUSTANLM25ATERT</t>
  </si>
  <si>
    <t>CUSTANLM25BTERT</t>
  </si>
  <si>
    <t>CUSTANLM25CTERT</t>
  </si>
  <si>
    <t>CUSTANLM26ABCTERT</t>
  </si>
  <si>
    <t>CUSTANLM26ATERT</t>
  </si>
  <si>
    <t>CUSTANLM26BTERT</t>
  </si>
  <si>
    <t>CUSTANLM26CTERT</t>
  </si>
  <si>
    <t>CUSTANLM27ABCTERT</t>
  </si>
  <si>
    <t>CUSTANLM27ATERT</t>
  </si>
  <si>
    <t>CUSTANLM27BTERT</t>
  </si>
  <si>
    <t>CUSTANLM27CTERT</t>
  </si>
  <si>
    <t>CUSTANLM28ABCTERT</t>
  </si>
  <si>
    <t>CUSTANLM28ATERT</t>
  </si>
  <si>
    <t>CUSTANLM28BTERT</t>
  </si>
  <si>
    <t>CUSTANLM28CTERT</t>
  </si>
  <si>
    <t>CUSTANLM29ABCTERT</t>
  </si>
  <si>
    <t>CUSTANLM29ATERT</t>
  </si>
  <si>
    <t>CUSTANLM29BTERT</t>
  </si>
  <si>
    <t>CUSTANLM29CTERT</t>
  </si>
  <si>
    <t>CUSTANLM30ABCTERT</t>
  </si>
  <si>
    <t>CUSTANLM30ATERT</t>
  </si>
  <si>
    <t>CUSTANLM30BTERT</t>
  </si>
  <si>
    <t>CUSTANLM30CTERT</t>
  </si>
  <si>
    <t>CUSTANLM31ABCTERT</t>
  </si>
  <si>
    <t>CUSTANLM31ATERT</t>
  </si>
  <si>
    <t>CUSTANLM31BTERT</t>
  </si>
  <si>
    <t>CUSTANLM31CTERT</t>
  </si>
  <si>
    <t>CUSTANLM32ABCTERT</t>
  </si>
  <si>
    <t>CUSTANLM32ATERT</t>
  </si>
  <si>
    <t>CUSTANLM32BTERT</t>
  </si>
  <si>
    <t>CUSTANLM32CTERT</t>
  </si>
  <si>
    <t>CUSTANLM33ABCTERT</t>
  </si>
  <si>
    <t>CUSTANLM33ATERT</t>
  </si>
  <si>
    <t>CUSTANLM33BTERT</t>
  </si>
  <si>
    <t>CUSTANLM33CTERT</t>
  </si>
  <si>
    <t>CUSTANLM34ABCTERT</t>
  </si>
  <si>
    <t>CUSTANLM34ATERT</t>
  </si>
  <si>
    <t>CUSTANLM34BTERT</t>
  </si>
  <si>
    <t>CUSTANLM34CTERT</t>
  </si>
  <si>
    <t>CUSTANLM35ABCTERT</t>
  </si>
  <si>
    <t>CUSTANLM35ATERT</t>
  </si>
  <si>
    <t>CUSTANLM35BTERT</t>
  </si>
  <si>
    <t>CUSTANLM35CTERT</t>
  </si>
  <si>
    <t>CUSTANLM36ABCTERT</t>
  </si>
  <si>
    <t>CUSTANLM36ATERT</t>
  </si>
  <si>
    <t>CUSTANLM36BTERT</t>
  </si>
  <si>
    <t>CUSTANLM36CTERT</t>
  </si>
  <si>
    <t>SOURCESTABC</t>
  </si>
  <si>
    <t>SOURCESTA</t>
  </si>
  <si>
    <t>SOURCESTB</t>
  </si>
  <si>
    <t>SOURCESTC</t>
  </si>
  <si>
    <t>FLTAMPSUB</t>
  </si>
  <si>
    <t>FLTANGSUB</t>
  </si>
  <si>
    <t>FLTAMPTRANS</t>
  </si>
  <si>
    <t>FLTANGTRANS</t>
  </si>
  <si>
    <t>BLWTRAMPABC</t>
  </si>
  <si>
    <t>BLWTRAMPA</t>
  </si>
  <si>
    <t>BLWTRAMPB</t>
  </si>
  <si>
    <t>BLWTRAMPC</t>
  </si>
  <si>
    <t>BLWTRMWABC</t>
  </si>
  <si>
    <t>BLWTRMWA</t>
  </si>
  <si>
    <t>BLWTRMWB</t>
  </si>
  <si>
    <t>BLWTRMWC</t>
  </si>
  <si>
    <t>BLWTRMVARABC</t>
  </si>
  <si>
    <t>BLWTRMVARA</t>
  </si>
  <si>
    <t>BLWTRMVARB</t>
  </si>
  <si>
    <t>BLWTRMVARC</t>
  </si>
  <si>
    <t>BLWTRMVAABC</t>
  </si>
  <si>
    <t>BLWTRMVAA</t>
  </si>
  <si>
    <t>BLWTRMVAB</t>
  </si>
  <si>
    <t>BLWTRMVAC</t>
  </si>
  <si>
    <t>BLWTRCOSPHIABC</t>
  </si>
  <si>
    <t>BLWTRCOSPHIA</t>
  </si>
  <si>
    <t>BLWTRCOSPHIB</t>
  </si>
  <si>
    <t>BLWTRCOSPHIC</t>
  </si>
  <si>
    <t>BLWTRMWHABC</t>
  </si>
  <si>
    <t>BLWTRMWHA</t>
  </si>
  <si>
    <t>BLWTRMWHB</t>
  </si>
  <si>
    <t>BLWTRMWHC</t>
  </si>
  <si>
    <t>BLWTRMVARHABC</t>
  </si>
  <si>
    <t>BLWTRMVARHA</t>
  </si>
  <si>
    <t>BLWTRMVARHB</t>
  </si>
  <si>
    <t>BLWTRMVARHC</t>
  </si>
  <si>
    <t>BLWTRVOLTABC</t>
  </si>
  <si>
    <t>BLWTRVOLTAB</t>
  </si>
  <si>
    <t>BLWTRVOLTBC</t>
  </si>
  <si>
    <t>BLWTRVOLTAC</t>
  </si>
  <si>
    <t>BLWTRVOLTA</t>
  </si>
  <si>
    <t>BLWTRVOLTB</t>
  </si>
  <si>
    <t>BLWTRVOLTC</t>
  </si>
  <si>
    <t>BLWTRVOLTANGABC</t>
  </si>
  <si>
    <t>BLWTRVOLTANGAB</t>
  </si>
  <si>
    <t>BLWTRVOLTANGBC</t>
  </si>
  <si>
    <t>BLWTRVOLTANGAC</t>
  </si>
  <si>
    <t>BLWTRVOLTANGA</t>
  </si>
  <si>
    <t>BLWTRVOLTANGB</t>
  </si>
  <si>
    <t>BLWTRVOLTANGC</t>
  </si>
  <si>
    <t>BLWTRFREQ</t>
  </si>
  <si>
    <t>BLWTRRELVOLTABC</t>
  </si>
  <si>
    <t>BLWTRRELVOLTAB</t>
  </si>
  <si>
    <t>BLWTRRELVOLTBC</t>
  </si>
  <si>
    <t>BLWTRRELVOLTAC</t>
  </si>
  <si>
    <t>BLWTRRELVOLTA</t>
  </si>
  <si>
    <t>BLWTRRELVOLTB</t>
  </si>
  <si>
    <t>BLWTRRELVOLTC</t>
  </si>
  <si>
    <t>BLWTRTMP</t>
  </si>
  <si>
    <t>BLWTROILTMP</t>
  </si>
  <si>
    <t>BLWTRHOTSPOTTMP</t>
  </si>
  <si>
    <t>WTHRDATATEMP</t>
  </si>
  <si>
    <t>WTHRDATAHMDT</t>
  </si>
  <si>
    <t>WTHRDATAWNDSPD</t>
  </si>
  <si>
    <t>WTHRDATAFLSLK</t>
  </si>
  <si>
    <t>WTHRDATASUNMIN</t>
  </si>
  <si>
    <t>WTHRDATASKYCOV</t>
  </si>
  <si>
    <t>WTHRDATAINSL</t>
  </si>
  <si>
    <t>WTHRDATASLTEMP</t>
  </si>
  <si>
    <t>null@null___EXTRAIDO@INSERIDO___Custom_S_TS_SI</t>
  </si>
  <si>
    <t>FALHA COMUNICACAO RELE REGULADOR DE TENSAO</t>
  </si>
  <si>
    <t>FALHA COMUNICACAO MULTIMEDIDOR</t>
  </si>
  <si>
    <t>FALTA VCA COMUTADOR</t>
  </si>
  <si>
    <t>LIBERA MANOBRA</t>
  </si>
  <si>
    <t>Transit;BLOQUEADA;LIBERADA;Error</t>
  </si>
  <si>
    <t>0;1;2;3</t>
  </si>
  <si>
    <t>LIBM</t>
  </si>
  <si>
    <t>RELIGADOR@CHAVE___RELIGADOR@CHAVE___Custom___S_TC_SS</t>
  </si>
  <si>
    <t>MOD</t>
  </si>
  <si>
    <t>MODO DE OPERAÇÃO</t>
  </si>
  <si>
    <t>REF - Restricted Earth Fault</t>
  </si>
  <si>
    <t>20C</t>
  </si>
  <si>
    <t>20 - VALVULA COMUTADOR</t>
  </si>
  <si>
    <t>20T</t>
  </si>
  <si>
    <t>20 - VALVULA TRANSFORMADOR</t>
  </si>
  <si>
    <t>87TT</t>
  </si>
  <si>
    <t>87 - TRIP DIFERENCIAL TRIFASICO</t>
  </si>
  <si>
    <t>SF6I</t>
  </si>
  <si>
    <t xml:space="preserve">INIBIR TRIP POR BAIXA PRESSAO SF6 </t>
  </si>
  <si>
    <t>null@null___NORMAL@INIBIDO___Custom___INV_S_TS_SB</t>
  </si>
  <si>
    <t xml:space="preserve">63 - ALARME BUCHHOLZ CDC  </t>
  </si>
  <si>
    <t>63 - ALARME BUCHHOLZ</t>
  </si>
  <si>
    <t xml:space="preserve">63 - ALARME BUCHHOLZ TRAFO  </t>
  </si>
  <si>
    <t>63 - TRIP BUCHHOLZ CDC OU TRAFO</t>
  </si>
  <si>
    <t>63 - BUCHHOLZ CDC</t>
  </si>
  <si>
    <t xml:space="preserve">63 - BUCHHOLZ TRAFO  </t>
  </si>
  <si>
    <t>63CD</t>
  </si>
  <si>
    <t>63TD</t>
  </si>
  <si>
    <t>59 - ALARME SOBRETENSAO</t>
  </si>
  <si>
    <t>49 - ALARME TEMPERATURA ENROLAMENTO</t>
  </si>
  <si>
    <t>49 - TRIP TEMPERATURA ENROLAMENTO</t>
  </si>
  <si>
    <t>50 51 - SOBRECORRENTE BACKUP</t>
  </si>
  <si>
    <t>50 51 - SOBRECORRENTE FASE</t>
  </si>
  <si>
    <t>50 51 - SOBRECORRENTE FASE A</t>
  </si>
  <si>
    <t>50 51 - SOBRECORRENTE FASE B</t>
  </si>
  <si>
    <t>50 51 - SOBRECORRENTE FASE C</t>
  </si>
  <si>
    <t>50 51 - SOBRECORRENTE FASE NEUTRO</t>
  </si>
  <si>
    <t>50 51 - SOBRECORRENTE FASE NEUTRO 1</t>
  </si>
  <si>
    <t>50 51 - SOBRECORRENTE FASE NEUTRO 2</t>
  </si>
  <si>
    <t>50 51 - SOBRECORRENTE NEUTRO</t>
  </si>
  <si>
    <t>50 51 - SOBRECORRENTE NEUTRO BACKUP</t>
  </si>
  <si>
    <t>50 - SOBRECORRENTE INSTANTANEA E1</t>
  </si>
  <si>
    <t>50 - SOBRECORRENTE INSTANTANEA E2</t>
  </si>
  <si>
    <t>50 - SOBRECORRENTE INSTANTANEA FASE</t>
  </si>
  <si>
    <t>50 - SOBRECORRENTE INSTANTANEA FASE A</t>
  </si>
  <si>
    <t>50 - SOBRECORRENTE INSTANTANEA FASE B</t>
  </si>
  <si>
    <t>50 - SOBRECORRENTE INSTANTANEA FASE C</t>
  </si>
  <si>
    <t>50 - SOBRECORRENTE INSTANTANEA FASE C OU A</t>
  </si>
  <si>
    <t>50 - SOBRECORRENTE INSTANTANEA FASE E1</t>
  </si>
  <si>
    <t>50 - SOBRECORRENTE INSTANTANEA FASE E2</t>
  </si>
  <si>
    <t>50 - SOBRECORRENTE INSTANTANEA FASE E3</t>
  </si>
  <si>
    <t>50 - SOBRECORRENTE INSTANTANEA FASE NEUTRO</t>
  </si>
  <si>
    <t>50 - SOBRECORRENTE INSTANTANEA NEUTRO</t>
  </si>
  <si>
    <t>50 - SOBRECORRENTE INSTANTANEA NEUTRO E1</t>
  </si>
  <si>
    <t>50 - SOBRECORRENTE INSTANTANEA NEUTRO E2</t>
  </si>
  <si>
    <t>50 - SOBRECORRENTE INSTANTANEA NEUTRO E3</t>
  </si>
  <si>
    <t>51 - FUNCAO SOBRECORRENTE TEMPORIZADA NEUTRO</t>
  </si>
  <si>
    <t>51 - SOBRECORRENTE TEMPORIZADA FASE</t>
  </si>
  <si>
    <t>51 - SOBRECORRENTE TEMPORIZADA FASE A</t>
  </si>
  <si>
    <t>51 - SOBRECORRENTE TEMPORIZADA FASE B</t>
  </si>
  <si>
    <t>51 - SOBRECORRENTE TEMPORIZADA FASE C</t>
  </si>
  <si>
    <t>51 - SOBRECORRENTE TEMPORIZADA FASE C OU A</t>
  </si>
  <si>
    <t>51 - SOBRECORRENTE TEMPORIZADA FASE E1</t>
  </si>
  <si>
    <t>51 - SOBRECORRENTE TEMPORIZADA FASE E2</t>
  </si>
  <si>
    <t>51 - SOBRECORRENTE TEMPORIZADA FASE NEUTRO</t>
  </si>
  <si>
    <t>51 - SOBRECORRENTE TEMPORIZADA LOCAL</t>
  </si>
  <si>
    <t>51 - SOBRECORRENTE TEMPORIZADA NEUTRO E1</t>
  </si>
  <si>
    <t>51 - SOBRECORRENTE TEMPORIZADA NEUTRO E2</t>
  </si>
  <si>
    <t>51 - SOBRECORRENTE TEMPORIZADA POR TENSAO</t>
  </si>
  <si>
    <t>50 - FALHA DISJUNTOR</t>
  </si>
  <si>
    <t>79 - EXCLUIR RELIGAMENTO</t>
  </si>
  <si>
    <t>79 - INCLUIR RELIGAMENTO</t>
  </si>
  <si>
    <t>ALARME BAIXA PRESSAO SF6</t>
  </si>
  <si>
    <t>BLOQUEIO BAIXA PRESSAO SF6</t>
  </si>
  <si>
    <t>SENSOR PRESENCA INTERNO</t>
  </si>
  <si>
    <t>62 - FALHA DISJUNTOR BLOQUEIO ALIMENTADORES</t>
  </si>
  <si>
    <t>OPERACAO INDEVIDA SECCIONADORA</t>
  </si>
  <si>
    <t>BIHI</t>
  </si>
  <si>
    <t>BILO</t>
  </si>
  <si>
    <t>FP</t>
  </si>
  <si>
    <t>FUGA</t>
  </si>
  <si>
    <t>I2</t>
  </si>
  <si>
    <t>IA</t>
  </si>
  <si>
    <t>IACC</t>
  </si>
  <si>
    <t>IB</t>
  </si>
  <si>
    <t>IBCC</t>
  </si>
  <si>
    <t>IC</t>
  </si>
  <si>
    <t>ICCC</t>
  </si>
  <si>
    <t>IN</t>
  </si>
  <si>
    <t>IN61</t>
  </si>
  <si>
    <t>INCC</t>
  </si>
  <si>
    <t>IOUT</t>
  </si>
  <si>
    <t>KMDF</t>
  </si>
  <si>
    <t>OPER</t>
  </si>
  <si>
    <t>P</t>
  </si>
  <si>
    <t>PCVA</t>
  </si>
  <si>
    <t>Q</t>
  </si>
  <si>
    <t>RTC</t>
  </si>
  <si>
    <t>S</t>
  </si>
  <si>
    <t>TENR</t>
  </si>
  <si>
    <t>TOL2</t>
  </si>
  <si>
    <t>TOLE</t>
  </si>
  <si>
    <t>TPAM</t>
  </si>
  <si>
    <t>TPBT</t>
  </si>
  <si>
    <t>UMID</t>
  </si>
  <si>
    <t>V</t>
  </si>
  <si>
    <t>VA</t>
  </si>
  <si>
    <t>VA_B</t>
  </si>
  <si>
    <t>VABI</t>
  </si>
  <si>
    <t>VAB</t>
  </si>
  <si>
    <t>VA_L</t>
  </si>
  <si>
    <t>VABL</t>
  </si>
  <si>
    <t>VAUX</t>
  </si>
  <si>
    <t>VB</t>
  </si>
  <si>
    <t>VB_B</t>
  </si>
  <si>
    <t>VB_L</t>
  </si>
  <si>
    <t>VBAT</t>
  </si>
  <si>
    <t>VBC</t>
  </si>
  <si>
    <t>VBCI</t>
  </si>
  <si>
    <t>VC</t>
  </si>
  <si>
    <t>VC_B</t>
  </si>
  <si>
    <t>VC_L</t>
  </si>
  <si>
    <t>VCA</t>
  </si>
  <si>
    <t>VCAI</t>
  </si>
  <si>
    <t>VCC1</t>
  </si>
  <si>
    <t>VCC2</t>
  </si>
  <si>
    <t>VIN</t>
  </si>
  <si>
    <t>VOUT</t>
  </si>
  <si>
    <t>VREF</t>
  </si>
  <si>
    <t>ANG</t>
  </si>
  <si>
    <t>TENSAO DE REFERENCIA ALTA AUXILIAR</t>
  </si>
  <si>
    <t>TENSAO DE REFERENCIA BAIXA AUXILIAR</t>
  </si>
  <si>
    <t>FATOR DE POTENCIA</t>
  </si>
  <si>
    <t>FREQUENCIA</t>
  </si>
  <si>
    <t>FUGA A TERRA</t>
  </si>
  <si>
    <t>CORRENTE FASE A</t>
  </si>
  <si>
    <t>CORRENTE CURTO CIRCUITO FASE A</t>
  </si>
  <si>
    <t>CORRENTE FASE B</t>
  </si>
  <si>
    <t>CORRENTE CURTO CIRCUITO FASE B</t>
  </si>
  <si>
    <t>CORRENTE FASE C</t>
  </si>
  <si>
    <t>CORRENTE CURTO CIRCUITO FASE C</t>
  </si>
  <si>
    <t>CORRENTE NEUTRO</t>
  </si>
  <si>
    <t>CORRENTE CURTO CIRCUITO NEUTRO</t>
  </si>
  <si>
    <t>CORRENTE CARGA</t>
  </si>
  <si>
    <t>DISTANCIA DEFEITO</t>
  </si>
  <si>
    <t>CONTAGEM DE OPERACOES</t>
  </si>
  <si>
    <t>POTENCIA ATIVA</t>
  </si>
  <si>
    <t>POTENCIA REATIVA</t>
  </si>
  <si>
    <t>POTENCIA APARENTE</t>
  </si>
  <si>
    <t>TEMPERATURA ENROLAMENTO</t>
  </si>
  <si>
    <t>TEMPERATURA OLEO</t>
  </si>
  <si>
    <t>TEMPERATURA AMBIENTE</t>
  </si>
  <si>
    <t>TEMPERATURA BATERIAS</t>
  </si>
  <si>
    <t>UMIDADE</t>
  </si>
  <si>
    <t>TENSAO</t>
  </si>
  <si>
    <t>TENSAO FASE A</t>
  </si>
  <si>
    <t>TENSAO BARRA FASE A</t>
  </si>
  <si>
    <t>TENSAO LINHA FASE A</t>
  </si>
  <si>
    <t>TENSAO FASE B</t>
  </si>
  <si>
    <t>TENSAO BARRA FASE B</t>
  </si>
  <si>
    <t>TENSAO LINHA FASE B</t>
  </si>
  <si>
    <t>TENSAO BATERIAS</t>
  </si>
  <si>
    <t>TENSAO FASE C</t>
  </si>
  <si>
    <t>TENSAO BARRA FASE C</t>
  </si>
  <si>
    <t>TENSAO LINHA FASE C</t>
  </si>
  <si>
    <t>TENSAO CORRENTE ALTERNADA</t>
  </si>
  <si>
    <t>TENSAO CORRENTE CONTINUA</t>
  </si>
  <si>
    <t>TENSAO DE ENTRADA</t>
  </si>
  <si>
    <t>TENSAO DE SAIDA</t>
  </si>
  <si>
    <t>TENSAO DE REFERENCIA</t>
  </si>
  <si>
    <t>ANGULO</t>
  </si>
  <si>
    <t>TENSAO CORRENTE CONTINUA 1</t>
  </si>
  <si>
    <t>TENSAO CORRENTE CONTINUA 2</t>
  </si>
  <si>
    <t>TIPO DE MEDIÇÃO</t>
  </si>
  <si>
    <t>UNIDADE DE EXIBIÇÃO</t>
  </si>
  <si>
    <t>FASES</t>
  </si>
  <si>
    <t>LADO</t>
  </si>
  <si>
    <t>DIREÇÃO DO FLUXO</t>
  </si>
  <si>
    <t>Transit;DESABILITADO;HABILITADO;Error</t>
  </si>
  <si>
    <t>Severidade 5</t>
  </si>
  <si>
    <t>Transit;NORMAL;INIBIDO;Error</t>
  </si>
  <si>
    <t>Transit;DESATIVADO;ATIVADO;Error</t>
  </si>
  <si>
    <t>Transit;INCLUIDO;EXCLUIDO;Error</t>
  </si>
  <si>
    <t>Transit;PARALELO;INDIVIDUAL;Error</t>
  </si>
  <si>
    <t>Transit;NORMAL;FALHA;Error</t>
  </si>
  <si>
    <t>Transit;LIGADO;DESLIGADO;Error</t>
  </si>
  <si>
    <t>0;2;1;3</t>
  </si>
  <si>
    <t>Transit;NORMAL;ATUADO;Error</t>
  </si>
  <si>
    <t>Transit;REMOTO;LOCAL;Error</t>
  </si>
  <si>
    <t>Transit;CEEE;RGE;Error</t>
  </si>
  <si>
    <t>EA</t>
  </si>
  <si>
    <t>CAX; PMI</t>
  </si>
  <si>
    <t>VAI</t>
  </si>
  <si>
    <t>Confirmar o funcionamento. Função inibe o trip por SF6?</t>
  </si>
  <si>
    <t>PE</t>
  </si>
  <si>
    <t>Confirmar o funcionamento.</t>
  </si>
  <si>
    <t>Sinal</t>
  </si>
  <si>
    <t>Coordenada</t>
  </si>
  <si>
    <t>VNB_TR1_TR1_PARALELO</t>
  </si>
  <si>
    <t>508; 547</t>
  </si>
  <si>
    <t>ETB_AL11_52-13_SF6I; ETB_AL21_52-12_SF6I</t>
  </si>
  <si>
    <t>CLA_AL11_52-3_79_L; BGA_AL11_52-9_79_L</t>
  </si>
  <si>
    <t>34502; 34672</t>
  </si>
  <si>
    <t>ENA_TRF2_24-2_J124</t>
  </si>
  <si>
    <t>SSP_TR1_TR1_R90E; SNA_TR2AT_TR2AT_R90E; SGB_TR1AT_52-2_R90E; SFA_TR2AT_TR2AT_R90E; IQB_TR1_TR1_R90E</t>
  </si>
  <si>
    <t>170; 847; 664; 152; 652</t>
  </si>
  <si>
    <t>SMA; ALE</t>
  </si>
  <si>
    <t>GTA_TR3_TR3_90PI</t>
  </si>
  <si>
    <t>SLE</t>
  </si>
  <si>
    <t>ENA_TR1_TR1_FCMC;   VNB_TR2_TR2_FCMC</t>
  </si>
  <si>
    <t>103; 270</t>
  </si>
  <si>
    <t>Alterar o nome do sinal</t>
  </si>
  <si>
    <t>Automação</t>
  </si>
  <si>
    <t>PFU</t>
  </si>
  <si>
    <t>LT800_KECENG_89-2_MINC</t>
  </si>
  <si>
    <t xml:space="preserve">CAX  </t>
  </si>
  <si>
    <t>CXC_TR1_TR1_VF1I;       FEL_TR1_TR1_VF1I</t>
  </si>
  <si>
    <t>22224; 572</t>
  </si>
  <si>
    <t>CXC_TR1_TR1_VF2I;       FEL_TR1_TR1_VF2I</t>
  </si>
  <si>
    <t>22225; 573</t>
  </si>
  <si>
    <t>TCO_TR2_TR2_VF2L</t>
  </si>
  <si>
    <t>VAC_TR1_TR1_VF1L</t>
  </si>
  <si>
    <t>GMB_TR1_TR1_A_50CD; URI_TR1_TR1_50CD</t>
  </si>
  <si>
    <t>471; 227</t>
  </si>
  <si>
    <t>CAX; ALE</t>
  </si>
  <si>
    <t>SMA; PFU</t>
  </si>
  <si>
    <t>SMB_LTFXA_LTFXA_MTRF; THA_LTKSM_LTKSM_MTRF</t>
  </si>
  <si>
    <t>443; 316</t>
  </si>
  <si>
    <t>ERN</t>
  </si>
  <si>
    <t>Alterar o MM</t>
  </si>
  <si>
    <t xml:space="preserve">Name </t>
  </si>
  <si>
    <t>State (Message)</t>
  </si>
  <si>
    <t>Value</t>
  </si>
  <si>
    <t>SCADA Value</t>
  </si>
  <si>
    <t>Commanding message</t>
  </si>
  <si>
    <t>Color</t>
  </si>
  <si>
    <t>Abnormal Status</t>
  </si>
  <si>
    <t>Allow Manual Override</t>
  </si>
  <si>
    <t>Alarm Catalog</t>
  </si>
  <si>
    <t>Coluna1</t>
  </si>
  <si>
    <t>Severidade</t>
  </si>
  <si>
    <t>DI_null@null___NORMAL@ATUADO___RelayTrip___INV_S_TS_SEV1</t>
  </si>
  <si>
    <t>2;1;0;3</t>
  </si>
  <si>
    <t>;;;</t>
  </si>
  <si>
    <t>#FF000000;#FF00FF00;#FFFF0000;#FFA9A9A9</t>
  </si>
  <si>
    <t>Normal;Normal;Abnormal;Normal</t>
  </si>
  <si>
    <t>FALSE;TRUE;TRUE;FALSE</t>
  </si>
  <si>
    <t>Alarme de Estado em Ponto Telessinalizado SEV1</t>
  </si>
  <si>
    <t>DI_null@null___NORMAL@ATUADO___Custom_S_TS_SEV1</t>
  </si>
  <si>
    <t>2;0;1;3</t>
  </si>
  <si>
    <t>DI_null@null___NORMAL@ATUADO___RelayTrip_S_TS_SEV1</t>
  </si>
  <si>
    <t>DI_INCLUIR@EXCLUIR___INCLUIDO@EXCLUIDO___Custom___INV_S_TC</t>
  </si>
  <si>
    <t>;INCLUIR;EXCLUIR;</t>
  </si>
  <si>
    <t>#FF000000;#FFFF0000;#FF00FF00;#FFA9A9A9</t>
  </si>
  <si>
    <t>Abnormal;Auto;Auto;Abnormal</t>
  </si>
  <si>
    <t>Alarme de Estado em Ponto Telecontrolado</t>
  </si>
  <si>
    <t>DI_INCLUIR@EXCLUIR___INCLUIDO@EXCLUIDO___Custom___INV_S_TC_DS</t>
  </si>
  <si>
    <t>Alarme de Estado em Ponto Telecontrolado DS</t>
  </si>
  <si>
    <t>LIGAR@null___DESLIGADO@LIGADO___SwitchStatus_D_TC</t>
  </si>
  <si>
    <t>Error;DESLIGADO;LIGADO;Transit</t>
  </si>
  <si>
    <t>1;0;2;3</t>
  </si>
  <si>
    <t>;LIGAR;null;</t>
  </si>
  <si>
    <t>Abnormal;Abnormal;Normal;Normal</t>
  </si>
  <si>
    <t>DI_INCLUIR@EXCLUIR___INCLUIDO@EXCLUIDO___Custom___INV_S_TC_DS_AUTO</t>
  </si>
  <si>
    <t>Abnormal;Normal;Normal;Abnormal</t>
  </si>
  <si>
    <t>DI_INCLUIR@EXCLUIR___INCLUIDO@EXCLUIDO___Enabled___admsINV_S_TC_DS</t>
  </si>
  <si>
    <t>ABRIR@null___ABERTO@FECHADO___SwitchStatus_D_TC</t>
  </si>
  <si>
    <t>Error;ABERTO;FECHADO;Transit</t>
  </si>
  <si>
    <t>;ABRIR;null;</t>
  </si>
  <si>
    <t>DI_INCLUIR@EXCLUIR___INCLUIDO@EXCLUIDO___Enabled___admsINV_S_TC_DS_SGF_DESAB</t>
  </si>
  <si>
    <t>LIGAR@null___DESLIGADO@LIGADO___Custom_S_TC</t>
  </si>
  <si>
    <t>Normal;Normal;Normal;Normal</t>
  </si>
  <si>
    <t>DI_INCLUIR@EXCLUIR___INCLUIDO@EXCLUIDO___Enabled___admsINV_S_TC_DS_SGF_INC</t>
  </si>
  <si>
    <t>Abnormal;Normal;Abnormal;Abnormal</t>
  </si>
  <si>
    <t>null@REARMAR___NORMAL@ATUADO___Custom_S_TC</t>
  </si>
  <si>
    <t>;REARMAR;;</t>
  </si>
  <si>
    <t>DI_INCLUIR@EXCLUIR___INCLUIDO@EXCLUIDO___Enabled___INV___admsINV_S_TC_DS</t>
  </si>
  <si>
    <t>DI_INCLUIR@EXCLUIR___INCLUIDO@EXCLUIDO___Enabled___INV___admsINV_S_TC_DS_SGF_DESAB</t>
  </si>
  <si>
    <t>DESATIVA@ATIVA___DESATIVADO@ATIVADO___Custom_S_TC</t>
  </si>
  <si>
    <t>;DESATIVA;ATIVA;</t>
  </si>
  <si>
    <t>DESATIVA@null___DESATIVADO@ATIVADO___Custom_S_TC</t>
  </si>
  <si>
    <t>Error;DESATIVADO;ATIVADO;Transit</t>
  </si>
  <si>
    <t>;DESATIVA;null;</t>
  </si>
  <si>
    <t>DI_INCLUIR@EXCLUIR___INCLUIDO@EXCLUIDO___Enabled___INV___admsINV_S_TC_DS_SGF_INC</t>
  </si>
  <si>
    <t>null@null___NORMAL@ATUADO___Custom_S_TC</t>
  </si>
  <si>
    <t>Error;NORMAL;ATUADO;Transit</t>
  </si>
  <si>
    <t>;null;null;</t>
  </si>
  <si>
    <t>@null___DESATIVADO@ATIVADO___Custom_S_TC</t>
  </si>
  <si>
    <t>;;null;</t>
  </si>
  <si>
    <t>LIGAR@DESLIGAR___DESLIGADO@LIGADO___SwitchStatus_D_TC</t>
  </si>
  <si>
    <t>Transit;DESLIGADO;LIGADO;Error</t>
  </si>
  <si>
    <t>;LIGAR;DESLIGAR;</t>
  </si>
  <si>
    <t>ABRIR@FECHAR___ABERTO@FECHADO___SwitchStatus_D_TC</t>
  </si>
  <si>
    <t>Transit;ABERTO;FECHADO;Error</t>
  </si>
  <si>
    <t>;ABRIR;FECHAR;</t>
  </si>
  <si>
    <t>LIGAR@DESLIGAR___DESLIGADO@LIGADO___Custom_S_TC</t>
  </si>
  <si>
    <t>DI_INCLUIR@EXCLUIR___INCLUIDO@EXCLUIDO___Enabled___INV___admsINV_S_TS_DS</t>
  </si>
  <si>
    <t>Alarme de Estado em Ponto Telessinalizado DS</t>
  </si>
  <si>
    <t>DIMINUIR@AUMENTAR___null@null___TapIncrement_S_TC</t>
  </si>
  <si>
    <t>Transit;;;Error</t>
  </si>
  <si>
    <t>;DIMINUIR;AUMENTAR;</t>
  </si>
  <si>
    <t>RELIGADOR@null___NORMAL DESATIVAD@NORMAL ATIVADO___Custom___admsINV_S_TC</t>
  </si>
  <si>
    <t>Error;NORMAL DESATIVAD;NORMAL ATIVADO;Transit</t>
  </si>
  <si>
    <t>;RELIGADOR;;</t>
  </si>
  <si>
    <t>LIGAR@DESLIGAR___DESLIGADO@LIGADO___SwitchStatus___INV_S_TC</t>
  </si>
  <si>
    <t>@null___REMOTO@LOCAL___Custom___INV_S_TC</t>
  </si>
  <si>
    <t>Error;REMOTO;LOCAL;Transit</t>
  </si>
  <si>
    <t>1;2;0;3</t>
  </si>
  <si>
    <t>LIGAR@DESLIGAR___DESLIGADO@LIGADO___SwitchStatus_S_TC</t>
  </si>
  <si>
    <t>ABRIR@FECHAR___ABERTO@FECHADO___SwitchStatus_S_TC_ELETROSUL</t>
  </si>
  <si>
    <t>Transit;ABERTO;FECHADO;Erro</t>
  </si>
  <si>
    <t>1;0;3;2</t>
  </si>
  <si>
    <t>TRUE;TRUE;TRUE;TRUE</t>
  </si>
  <si>
    <t>DESATIVA@ATIVA___DESATIVADO@ATIVADO___Custom___INV_S_TC</t>
  </si>
  <si>
    <t>@null___REMOTO@LOCAL___Custom_S_TC</t>
  </si>
  <si>
    <t>MESTRE@INDIVIDUAL@COMANDO___MESTRE@INDIVIDUAL@COMANDO___Custom___admsINV_D_TC</t>
  </si>
  <si>
    <t>MESTRE;COMANDADO;INDIVIDUAL;</t>
  </si>
  <si>
    <t>MESTRE;;INDIVIDUAL;</t>
  </si>
  <si>
    <t>#FF00FF00;#FF00FF00;#FF00FF00;#FF000000</t>
  </si>
  <si>
    <t>Normal;Normal;Normal;Abnormal</t>
  </si>
  <si>
    <t>TRUE;TRUE;TRUE;FALSE</t>
  </si>
  <si>
    <t>Alarme de Estado em Ponto Telecontrolado SS</t>
  </si>
  <si>
    <t>null@ATIV_DES___DESATIVADO@ATIVADO___Custom_S_TC</t>
  </si>
  <si>
    <t>;null;ATIV_DES;</t>
  </si>
  <si>
    <t>DIMINUIR@AUMENTAR___@___TapIncrement_S_TC</t>
  </si>
  <si>
    <t>Transit;null;null;Error</t>
  </si>
  <si>
    <t>null@MESTRE___DESATIVADO@ATIVADO___CustomCR_S_TC</t>
  </si>
  <si>
    <t>;;INDIVIDUAL;</t>
  </si>
  <si>
    <t>null@INDIVIDUAL___DESATIVADO@ATIVADO___Custom_S_TC</t>
  </si>
  <si>
    <t>CMD_COS@null___REMOTO@LOCAL___Custom___INV_D_TC_SS</t>
  </si>
  <si>
    <t>;CMD_COS;;</t>
  </si>
  <si>
    <t>Abnormal;Normal;Abnormal;Normal</t>
  </si>
  <si>
    <t>LIGAR@DESLIGAR___DESLIGADO@LIGADO___Custom___INV_S_TC</t>
  </si>
  <si>
    <t>RELIGAD@ALTERNATIVO___@___Custom_S_TC</t>
  </si>
  <si>
    <t>Error;null;null;Transit</t>
  </si>
  <si>
    <t>;RELIGAD;ALTERNATIVO;</t>
  </si>
  <si>
    <t>null@null___DESATIVADO@ATIVADO___Custom_S_TC</t>
  </si>
  <si>
    <t>null@null___DESATIVADO@ATIVADO___Custom___INV_S_TC</t>
  </si>
  <si>
    <t>RELIGADOR@null___NORMAL DESATIVAD@NORMAL ATIVADO___Custom___INV___admsINV_S_TC</t>
  </si>
  <si>
    <t>RELIGADOR@ALTERNATIVO___NORMAL@ALTERNATIVO___Custom_S_TC</t>
  </si>
  <si>
    <t>Error;NORMAL;ALTERNATIVO;Transit</t>
  </si>
  <si>
    <t>;RELIGADOR;ALTERNATIVO;</t>
  </si>
  <si>
    <t>CMD_RGE@null___CEEE@RGE___Custom___INV___admsINV_S_TC</t>
  </si>
  <si>
    <t>Error;CEEE;RGE;Transit</t>
  </si>
  <si>
    <t>;CMD_RGE;;</t>
  </si>
  <si>
    <t>MESTRE;INDIVIDUAL;COMANDADO;</t>
  </si>
  <si>
    <t>MESTRE;INDIVIDUAL;COMANDO;</t>
  </si>
  <si>
    <t>null@MESTRE___null@MESTRE___Custom_S_TC_scd</t>
  </si>
  <si>
    <t>Error;;MESTRE;Transit</t>
  </si>
  <si>
    <t>;;MESTRE;</t>
  </si>
  <si>
    <t>null@INDIVIDUAL___null@INDIVIDUAL___Custom_S_TC</t>
  </si>
  <si>
    <t>Error;INATIVO;COMANDADO;Transit</t>
  </si>
  <si>
    <t>null@COMANDADO___MESTRE@COMANDADO___Custom_S_TC</t>
  </si>
  <si>
    <t>Error;MESTRE;COMANDADO;Transit</t>
  </si>
  <si>
    <t>CMD_COS@null___REMOTO@LOCAL___Custom___INV_D_TS_SS</t>
  </si>
  <si>
    <t>Abnormal;Normal;Normal;Normal</t>
  </si>
  <si>
    <t>Alarme de Estado em Ponto Telessinalizado SS</t>
  </si>
  <si>
    <t>DI_INCLUIR@EXCLUIR___INCLUIDO@EXCLUIDO___Enabled___INV___admsINV_S_TS_DS_SGF_DESAB</t>
  </si>
  <si>
    <t>REARMAR@BLOQUEAR___NORMAL@ATUADO___Custom_S_TC</t>
  </si>
  <si>
    <t>;REARMAR;BLOQUEAR;</t>
  </si>
  <si>
    <t>RELIGADOR@ALTERNATIVO@CHAVE___RELIGADOR@ALTERNATIVO@CHAVE___Custom_S_TC</t>
  </si>
  <si>
    <t>RELIGADOR;ALTERNATIVO;CHAVE;</t>
  </si>
  <si>
    <t>DI_INCLUIR@EXCLUIR___INCLUIDO@EXCLUIDO___Enabled___INV___admsINV_S_TS_DS_SGF_INC</t>
  </si>
  <si>
    <t>RELIGAD@ALTERNATIVO___null@null___Custom_D_TC</t>
  </si>
  <si>
    <t>RELIGAD@ALTERNATIVO___null@null___Custom_S_TC</t>
  </si>
  <si>
    <t>RELIGAD@ALTERNATIVO___@___Custom_D_TC</t>
  </si>
  <si>
    <t>Error;;;Transit</t>
  </si>
  <si>
    <t>MANUAL@AUTOMATICO___AUTOMATICO@MANUAL___Custom___INV_S_TC</t>
  </si>
  <si>
    <t>Error;AUTOMATICO;MANUAL;Transit</t>
  </si>
  <si>
    <t>;MANUAL;AUTOMATICO;</t>
  </si>
  <si>
    <t>G2@G1___GRUPO 1@GRUPO 2___Custom_S_TC</t>
  </si>
  <si>
    <t>Error;GRUPO 1;GRUPO 2;Transit</t>
  </si>
  <si>
    <t>;G2;G1;</t>
  </si>
  <si>
    <t>MANUAL@AUTOMATICO___AUTOMATICO@MANUAL___Custom_D_TC</t>
  </si>
  <si>
    <t>ABRIR@FECHAR___ABERTO@FECHADO___SwitchStatus___INV_S_TC</t>
  </si>
  <si>
    <t>DI_DESLIGAR@LIGAR___DESLIGADO@LIGADO___SwitchStatus___SINV_D_TC_E2</t>
  </si>
  <si>
    <t>;DESLIGAR;LIGAR;</t>
  </si>
  <si>
    <t>Alarme de Estado em Ponto Telecontrolado E2</t>
  </si>
  <si>
    <t>null@null___DESLIGADO@LIGADO___Custom_S_TS_SE</t>
  </si>
  <si>
    <t>Alarme de Estado em Ponto Telessinalizado SE</t>
  </si>
  <si>
    <t>DI_DESLIGAR@LIGAR___DESLIGADO@LIGADO___SwitchStatus___INV_D_TC_E2</t>
  </si>
  <si>
    <t>ABRIR@FECHAR___ABERTO@FECHADO___SwitchStatus_D_TC_SE</t>
  </si>
  <si>
    <t>Alarme de Estado em Ponto Telecontrolado SE</t>
  </si>
  <si>
    <t>null@INDIVIDUAL___COMANDADO@INDIVIDUAL___Custom_S_TC</t>
  </si>
  <si>
    <t>MESTRE@INDIVIDUAL@COMANDO___MESTRE@INDIVIDUAL@COMANDO___Custom_S_TC</t>
  </si>
  <si>
    <t>MESTRE@INDIVIDUAL@COMANDO___MESTRE@INDIVIDUAL@COMANDO___Parallel___admsINV_D_TC_SS</t>
  </si>
  <si>
    <t>#FFFF0000;#FF00FF00;#FF00FF00;#FF000000</t>
  </si>
  <si>
    <t>Normal;Abnormal;Abnormal;Abnormal</t>
  </si>
  <si>
    <t>DI_INCLUIR@EXCLUIR___INCLUIDO@EXCLUIDO___Enabled___INV_S_TC</t>
  </si>
  <si>
    <t>RELIGADOR@null___NORMAL DESATIVAD@NORMAL ATIVADO___Custom_S_TC</t>
  </si>
  <si>
    <t>DESLIGAR@LIGAR___DESLIGADO@LIGADO___SwitchStatus___INV_S_TC</t>
  </si>
  <si>
    <t>RELIGADOR@ALTERNATIVO___@___Custom_S_TC</t>
  </si>
  <si>
    <t>CMD_COS@null___REMOTO@LOCAL___Custom___INV_S_TC</t>
  </si>
  <si>
    <t>DESLIGAR@LIGAR___DESLIGADO@LIGADO___SwitchStatus___INV_D_TC</t>
  </si>
  <si>
    <t>Normal;Abnormal;Abnormal;Normal</t>
  </si>
  <si>
    <t>DESLIGAR@LIGAR___DESLIGADO@LIGADO___SwitchStatus_D_TC</t>
  </si>
  <si>
    <t>CMD_COS@null___REMOTO@LOCAL___Custom___INV_S_TC_SS</t>
  </si>
  <si>
    <t>DESLIGAR@LIGAR___DESLIGADO@LIGADO___Custom_S_TC</t>
  </si>
  <si>
    <t>ATIVAR@DESATIVAR___ATIVADO@DESATIVADO___Custom___INV_S_TC_SS</t>
  </si>
  <si>
    <t>Transit;ATIVADO;DESATIVADO;Error</t>
  </si>
  <si>
    <t>;ATIVAR;DESATIVAR;</t>
  </si>
  <si>
    <t>DESLIGAR@LIGAR___DESLIGADO@LIGADO___Custom_D_TC</t>
  </si>
  <si>
    <t>DESLIGAR@LIGAR___DESLIGADO@LIGADO___SwitchStatus_S_TC</t>
  </si>
  <si>
    <t>DI_INCLUIR@EXCLUIR___INCLUIDO@EXCLUIDO___Enabled___INV_S_TC_DS</t>
  </si>
  <si>
    <t>DESATIVAR@ATIVAR___DESATIVADO@ATIVADO___Custom_S_TC</t>
  </si>
  <si>
    <t>;DESATIVAR;ATIVAR;</t>
  </si>
  <si>
    <t>DESLIGAR@LIGAR___DESLIGADO@LIGADO___Custom___INV_S_TC</t>
  </si>
  <si>
    <t>G1@G2___GRUPO 1@GRUPO 2___Custom_S_TC</t>
  </si>
  <si>
    <t>Transit;GRUPO 1;GRUPO 2;Error</t>
  </si>
  <si>
    <t>;G1;G2;</t>
  </si>
  <si>
    <t>null@RELIGADOR___NORMAL DESATIVAD@NORMAL ATIVADO___Custom_S_TC</t>
  </si>
  <si>
    <t>Transit;NORMAL DESATIVAD;NORMAL ATIVADO;Error</t>
  </si>
  <si>
    <t>;;RELIGADOR;</t>
  </si>
  <si>
    <t>null@null@null___ALTERNATIVO@NORMAL@CHAVE___Custom_D_TS_SS</t>
  </si>
  <si>
    <t>ALTERNATIVO;NORMAL;CHAVE;</t>
  </si>
  <si>
    <t>TROCA@null___NORMAL@ALTERNATIVO___Custom_S_TC</t>
  </si>
  <si>
    <t>Transit;NORMAL;ALTERNATIVO;Error</t>
  </si>
  <si>
    <t>;TROCA;;</t>
  </si>
  <si>
    <t>null@RELIGADOR___NORMAL DESATIVAD@NORMAL ATIVADO___Custom___INV_S_TC</t>
  </si>
  <si>
    <t>RELIGADOR@ALTERNATIVO___null@null___Custom_S_TC</t>
  </si>
  <si>
    <t>DESATIVAR@ATIVAR___DESATIVADO@ATIVADO___Custom___INV_S_TC</t>
  </si>
  <si>
    <t>CMD_RGE@null___CEEE@RGE___Custom___INV_S_TC</t>
  </si>
  <si>
    <t>DI_INCLUIR@EXCLUIR___INCLUIDO@EXCLUIDO___Enabled___INV_S_TS_DS</t>
  </si>
  <si>
    <t>DI_INCLUIR@EXCLUIR___INCLUIDO@EXCLUIDO___Enabled_S_TC</t>
  </si>
  <si>
    <t>DI_DESLIGAR@LIGAR___DESLIGADO@LIGADO___SwitchStatus_S_TC</t>
  </si>
  <si>
    <t>DI_DESBLOQUEAR@null___NORMAL@BLOQUEADA___Enabled___INV_S_TC</t>
  </si>
  <si>
    <t>Transit;NORMAL;BLOQUEADA;Error</t>
  </si>
  <si>
    <t>;DESBLOQUEAR;;</t>
  </si>
  <si>
    <t>DI_ATIVAR@null___ATIVADO@DESATIVADO___Custom_S_TC</t>
  </si>
  <si>
    <t>;ATIVAR;;</t>
  </si>
  <si>
    <t>DI_DESBLOQUEAR@BLOQUEAR___NORMAL@BLOQUEADA___Enabled___INV_S_TC</t>
  </si>
  <si>
    <t>;DESBLOQUEAR;BLOQUEAR;</t>
  </si>
  <si>
    <t>DI_INCLUIR@EXCLUIR___INCLUIDO@EXCLUIDO___Enabled_S_TC_DS</t>
  </si>
  <si>
    <t>DI_INCLUIR@EXCLUIR___INCLUIDO@EXCLUIDO___ReclosingEnabled___admsINV_S_TC_DS</t>
  </si>
  <si>
    <t>DI_RESETAR@null___null@null___Custom_S_TC</t>
  </si>
  <si>
    <t>;RESETAR;;</t>
  </si>
  <si>
    <t>DI_INCLUIR@EXCLUIR___INCLUIDO@EXCLUIDO___ReclosingEnabled___admsINV_S_TC_DS_MANOBRA</t>
  </si>
  <si>
    <t>FALSE;TRUE;TRUE;TRUE</t>
  </si>
  <si>
    <t>DESLIGAR@LIGAR___DESLIGADO@LIGADO___SwitchStatus_S_TC_SE</t>
  </si>
  <si>
    <t>DESLIGAR@LIGAR___DESLIGADO@LIGADO___SwitchStatus_S_TS_SE</t>
  </si>
  <si>
    <t>Abnormal;Auto;Normal;Abnormal</t>
  </si>
  <si>
    <t>DESLIGAR@LIGAR___DESLIGADO@LIGADO___SwitchStatus___INV_D_TC_SE</t>
  </si>
  <si>
    <t>DESLIGAR@LIGAR___DESLIGADO@LIGADO___SwitchStatus___INV_S_TC_SE</t>
  </si>
  <si>
    <t>DI_DESLIGAR@LIGAR___DESLIGADO@LIGADO___SwitchStatus_D_TC_E2</t>
  </si>
  <si>
    <t>DI_DESLIGAR@LIGAR___DESLIGADO@LIGADO___Custom_D_TC_E2</t>
  </si>
  <si>
    <t>Normal;Auto;Auto;Abnormal</t>
  </si>
  <si>
    <t>DI_DESLIGAR@LIGAR___DESLIGADO@LIGADO___SwitchStatus_S_TC_E2</t>
  </si>
  <si>
    <t>ABRIR@FECHAR___ABERTO@FECHADO___SwitchStatus_D_TS_SE</t>
  </si>
  <si>
    <t>null@null___NORMAL@FALTA___Custom___INV_S_TS_SE</t>
  </si>
  <si>
    <t>Transit;NORMAL;FALTA;Error</t>
  </si>
  <si>
    <t>DESLIGAR@LIGAR___DESLIGADO@LIGADO___SwitchStatus___INV_D_TS_SE</t>
  </si>
  <si>
    <t>DESLIGAR@LIGAR___DESLIGADO@LIGADO___SwitchStatus_S_TS_ST</t>
  </si>
  <si>
    <t>Alarme de Estado em Ponto Telessinalizado ST</t>
  </si>
  <si>
    <t>DESLIGAR@LIGAR___DESLIGADO@LIGADO___Custom___INV_S_TS_SE</t>
  </si>
  <si>
    <t>null@null___NORMAL@ATUADO___Custom_S_TS_SE</t>
  </si>
  <si>
    <t>DESLIGAR@LIGAR___DESLIGADO@LIGADO___SwitchStatus___INV_S_TS_SE</t>
  </si>
  <si>
    <t>null@null___NORMAL@ATUADO___Custom___INV_S_TS_SE</t>
  </si>
  <si>
    <t>ABRIR@FECHAR___ABERTO@FECHADO___SwitchStatus_S_TS_SE</t>
  </si>
  <si>
    <t>null@null___POSICAO 1@POSICAO 2___Custom_S_TS_SE</t>
  </si>
  <si>
    <t>Transit;POSICAO 1;POSICAO 2;Error</t>
  </si>
  <si>
    <t>null@null___DESLIGADO@LIGADO___SwitchStatus_S_TC_SE</t>
  </si>
  <si>
    <t>null@LIGAR___null@LIGADO___SwitchStatus_S_TC_SE</t>
  </si>
  <si>
    <t>Transit;LIGAR;;</t>
  </si>
  <si>
    <t>;LIGAR;;</t>
  </si>
  <si>
    <t>#FF000000;#FF000000;#00000000;#00000000</t>
  </si>
  <si>
    <t>Abnormal;Auto;Normal;Normal</t>
  </si>
  <si>
    <t>DESLIGAR@null___null@DESLIGADO___SwitchStatus_S_TC_SE</t>
  </si>
  <si>
    <t>Transit;DESLIGAR;;</t>
  </si>
  <si>
    <t>;DESLIGAR;;</t>
  </si>
  <si>
    <t>null@COMANDADO___DESATIVADO@ATIVADO___CustomCR_S_TC</t>
  </si>
  <si>
    <t>null@INDIVIDUAL___DESATIVADO@ATIVADO___CustomCR_S_TC</t>
  </si>
  <si>
    <t>DESLIGAR@LIGAR___DESLIGADO@LIGADO___SwitchStatus_D_TC_SE_USO_BC</t>
  </si>
  <si>
    <t>DESLIGAR@LIGAR___DESLIGADO@LIGADO___SwitchStatus_S_TS_ST__ICCP_CPFLT</t>
  </si>
  <si>
    <t>null@INDIVIDUAL___DESATIVADO@ATIVADO___CustomCR_S_TC_vnb</t>
  </si>
  <si>
    <t>;INDIVIDUAL;MESTRE;</t>
  </si>
  <si>
    <t>null@MESTRE___DESATIVADO@ATIVADO___CustomCR_S_TC_VNB</t>
  </si>
  <si>
    <t>;PARALELO;INDIVIDUAL;</t>
  </si>
  <si>
    <t>null@REARMAR___NORMAL@ATUADO___Custom_S_TS_SI</t>
  </si>
  <si>
    <t>Alarme de Estado em Ponto Telessinalizado SI</t>
  </si>
  <si>
    <t>null@REARMAR___NORMAL@ATUADO___Custom_S_TC_SI</t>
  </si>
  <si>
    <t>Alarme de Estado em Ponto Telecontrolado SI</t>
  </si>
  <si>
    <t>null@null___NORMAL@DEFEITO___Custom___INV_S_TS_SI</t>
  </si>
  <si>
    <t>Transit;NORMAL;DEFEITO;Error</t>
  </si>
  <si>
    <t>null@null___NORMAL@DEFEITO___Custom_S_TS_SI</t>
  </si>
  <si>
    <t>null@null___NORMAL@ATUADO___Custom___INV_S_TS_SI</t>
  </si>
  <si>
    <t>DI_null@null___NORMAL@DEFEITO___Malfunctioning___INV_S_TS_SI</t>
  </si>
  <si>
    <t>null@null___LIGADO@DESLIGADO___Custom_S_TS_SI</t>
  </si>
  <si>
    <t>null@null___CARGA@DESCARGA___Custom_S_TS_SI</t>
  </si>
  <si>
    <t>Transit;CARGA;DESCARGA;Error</t>
  </si>
  <si>
    <t>null@null___NORMAL@DEFEITO___Custom_D_TS_SI</t>
  </si>
  <si>
    <t>Invalido;NORMAL;DEFEITO;Error</t>
  </si>
  <si>
    <t>null@REARMAR___NORMAL@ATUADO___Custom___INV_S_TS_SI</t>
  </si>
  <si>
    <t>null@null___ABERTO@FECHADO___SwitchStatus_S_TS</t>
  </si>
  <si>
    <t>Alarme de Estado em Ponto Telessinalizado</t>
  </si>
  <si>
    <t>CMD_COS@null___REMOTO@LOCAL___Custom___INV_S_TS_SS</t>
  </si>
  <si>
    <t>null@null___NORMAL@ATUADO___RelayTrip_S_TS</t>
  </si>
  <si>
    <t>null@null___NORMAL@ATUADO___Custom_S_TS</t>
  </si>
  <si>
    <t>null@null___NORMAL@FALTA___Custom_S_TS</t>
  </si>
  <si>
    <t>null@null___NORMAL@DEFEITO___Custom_S_TS</t>
  </si>
  <si>
    <t>null@null___NORMAL@FALHA___Custom_S_TS</t>
  </si>
  <si>
    <t>null@null___LIGADO@DESLIGADO___Custom_S_TS</t>
  </si>
  <si>
    <t>null@null___CARREGADA@DESCARREGADA___Custom_S_TS</t>
  </si>
  <si>
    <t>Transit;CARREGADA;DESCARREGADA;Error</t>
  </si>
  <si>
    <t>null@null___ABERTO@FECHADO___SwitchStatus_D_TS</t>
  </si>
  <si>
    <t>CMD_COS@null___REMOTO@LOCAL___Custom_S_TC</t>
  </si>
  <si>
    <t>null@null___CARGA@DESCARGA___Custom_S_TS</t>
  </si>
  <si>
    <t>null@null___DESATIVADO@ATIVADO___Custom_S_TS</t>
  </si>
  <si>
    <t>DI_INCLUIR@EXCLUIR___INCLUIDO@EXCLUIDO___ReclosingEnabled___admsINV_S_TC_DS_PROT</t>
  </si>
  <si>
    <t>null@null___NORMAL@FALHA___Custom___INV_S_TS</t>
  </si>
  <si>
    <t>null@null___DESLIGAR@LIGAR___Custom_S_TS</t>
  </si>
  <si>
    <t>Transit;DESLIGAR;LIGAR;Error</t>
  </si>
  <si>
    <t>null@null___NORMAL@ATUADO___Custom___INV_S_TS</t>
  </si>
  <si>
    <t>DI_INCLUIR@EXCLUIR___INCLUIDO@EXCLUIDO___ReclosingEnabled___INV___admsINV_S_TC_DS</t>
  </si>
  <si>
    <t>null@null___BLOQUEADA@LIBERADA___Custom___INV_S_TS</t>
  </si>
  <si>
    <t>null@null___ABERTO@FECHADO___Custom___INV_S_TS</t>
  </si>
  <si>
    <t>MESTRE@INDIVIDUAL@COMANDO___MESTRE@INDIVIDUAL@COMANDO___Parallel___admsINV_D_TS</t>
  </si>
  <si>
    <t>null@null___@___TapIncrement_S_TS</t>
  </si>
  <si>
    <t>null@null___NORMAL@DEFEITO___Custom___INV_S_TS</t>
  </si>
  <si>
    <t>Error;NORMAL;DEFEITO;Transit</t>
  </si>
  <si>
    <t>null@null___NORMAL@FALTA VCC VCA___Custom_S_TS</t>
  </si>
  <si>
    <t>Transit;NORMAL;FALTA VCC VCA;Error</t>
  </si>
  <si>
    <t>null@null___MANUAL@AUTOMATICO___Custom_S_TS</t>
  </si>
  <si>
    <t>Transit;MANUAL;AUTOMATICO;Error</t>
  </si>
  <si>
    <t>null@null___NORMAL@FALTA___Custom___INV_S_TS</t>
  </si>
  <si>
    <t>Error;NORMAL;FALTA;Transit</t>
  </si>
  <si>
    <t>null@null___LIGADO@DESLIGADO___Custom___INV_S_TS</t>
  </si>
  <si>
    <t>null@null___DESLIGADO@LIGADO___Custom_S_TS</t>
  </si>
  <si>
    <t>null@null___AUTOMATICO@MANUAL___Custom___INV___admsINV_S_TS</t>
  </si>
  <si>
    <t>DI_INCLUIR@EXCLUIR___INCLUIDO@EXCLUIDO___ReclosingEnabled___INV___admsINV_S_TC_DS_MANOBRA</t>
  </si>
  <si>
    <t>DI_INCLUIR@EXCLUIR___INCLUIDO@EXCLUIDO___ReclosingEnabled___INV___admsINV_S_TC_DS_PROT</t>
  </si>
  <si>
    <t>null@null___ABERTO@FECHADO___SwitchStatus___INV_S_TS</t>
  </si>
  <si>
    <t>null@null___BLOQUEADA@LIBERADA___Custom_S_TS</t>
  </si>
  <si>
    <t>null@null___NORMAL@DISCREPANCIA___Custom_S_TS</t>
  </si>
  <si>
    <t>Transit;NORMAL;DISCREPANCIA;Error</t>
  </si>
  <si>
    <t>null@null___ABERTO@FECHADO___Custom_S_TS</t>
  </si>
  <si>
    <t>null@null___NORMAL@BLOQUEIO___Custom___INV_S_TS</t>
  </si>
  <si>
    <t>Error;NORMAL;BLOQUEIO;Transit</t>
  </si>
  <si>
    <t>null@null___AUTOMATICO@MANUAL___Custom___admsINV_S_TS</t>
  </si>
  <si>
    <t>null@null___NORMAL@FALHA___Custom_D_TS</t>
  </si>
  <si>
    <t>null@null___NORMAL@ATUADO___RelayTrip___INV_S_TS</t>
  </si>
  <si>
    <t>null@null___NORMAL@FALHA___RelayTrip_S_TS</t>
  </si>
  <si>
    <t>null@null___DESLIGADO@LIGADO___Custom___INV_S_TS</t>
  </si>
  <si>
    <t>null@null___NORMAL@BLOQUEIO___Custom_S_TS</t>
  </si>
  <si>
    <t>Transit;NORMAL;BLOQUEIO;Error</t>
  </si>
  <si>
    <t>null@null___AUTOM DESATIVOU@AUTOM ATIVOU___Custom___INV_S_TS</t>
  </si>
  <si>
    <t>Transit;AUTOM DESATIVOU;AUTOM ATIVOU;Error</t>
  </si>
  <si>
    <t>null@null___MANUAL DESATIVOU@MANUAL ATIVOU___Custom___INV_S_TS</t>
  </si>
  <si>
    <t>Transit;MANUAL DESATIVOU;MANUAL ATIVOU;Error</t>
  </si>
  <si>
    <t>CMD_COS@null___REMOTO@LOCAL___Custom_S_TS_SS</t>
  </si>
  <si>
    <t>null@null___NORMAL@OLEO FALHA___Custom_S_TS</t>
  </si>
  <si>
    <t>Transit;NORMAL;OLEO FALHA;Error</t>
  </si>
  <si>
    <t>null@null___NORMAL@BAIXA___Custom_S_TS</t>
  </si>
  <si>
    <t>Transit;NORMAL;BAIXA;Error</t>
  </si>
  <si>
    <t>DI_null@null___REMOTO@LOCAL___Local___INV_S_TS</t>
  </si>
  <si>
    <t>null@null___DESLIGADO@LIGADO___SwitchStatus_S_TS</t>
  </si>
  <si>
    <t>DI_null@null___REMOTO@LOCAL___Local___INV_S_TS_DS</t>
  </si>
  <si>
    <t>null@null___DESATIVADO@ATIVADO___Custom___INV_S_TS</t>
  </si>
  <si>
    <t>null@null___NORMAL@BLOQUEADA___Custom___admsINV_S_TS</t>
  </si>
  <si>
    <t>Error;NORMAL;BLOQUEADA;Transit</t>
  </si>
  <si>
    <t>null@null___DESLIGADO@LIGADO___SwitchStatus___INV_S_TS</t>
  </si>
  <si>
    <t>null@null___CARREGADA@DESCARREGADA___Custom___INV_S_TS</t>
  </si>
  <si>
    <t>null@null___NÃO PERMITIDO@PERMITIDO___Custom_S_TS</t>
  </si>
  <si>
    <t>Transit;NÃO PERMITIDO;PERMITIDO;Error</t>
  </si>
  <si>
    <t>null@null___NORMALIZADO@TENSAO RETORNO___Custom_S_TS</t>
  </si>
  <si>
    <t>Error;NORMALIZADO;TENSAO RETORNO;Transit</t>
  </si>
  <si>
    <t>null@null___DESATRACADO@ATRACADO___Custom___INV_S_TS</t>
  </si>
  <si>
    <t>Error;DESATRACADO;ATRACADO;Transit</t>
  </si>
  <si>
    <t>null@null___DESLIGADO@LIGADO___SwitchStatus_D_TS</t>
  </si>
  <si>
    <t>MESTRE@INDIVIDUAL@COMANDO___MESTRE@INDIVIDUAL@COMANDO___Parallel___admsINV_D_TS_SS</t>
  </si>
  <si>
    <t>null@null___AUTOMATICO@MANUAL___Custom_S_TS</t>
  </si>
  <si>
    <t>Transit;AUTOMATICO;MANUAL;Error</t>
  </si>
  <si>
    <t>null@null___MANUAL DESATIVOU@MANUAL ATIVOU___Custom_S_TS</t>
  </si>
  <si>
    <t>DI_INCLUIR@EXCLUIR___INCLUIDO@EXCLUIDO___ReclosingEnabled___INV_S_TC</t>
  </si>
  <si>
    <t>null@null___NORMAL@TRANSFERIDA___Custom_S_TS</t>
  </si>
  <si>
    <t>Error;NORMAL;TRANSFERIDA;Transit</t>
  </si>
  <si>
    <t>null@null___COMPLETA@INCOMPLETA___Custom_S_TS</t>
  </si>
  <si>
    <t>Transit;COMPLETA;INCOMPLETA;Error</t>
  </si>
  <si>
    <t>null@null___FALHA@OPERANDO___Custom_S_TS</t>
  </si>
  <si>
    <t>Transit;FALHA;OPERANDO;Error</t>
  </si>
  <si>
    <t>null@null___@____S_TS</t>
  </si>
  <si>
    <t>DI_DESABILITAR@HABILITAR___null@null___Custom_S_TC_DVx</t>
  </si>
  <si>
    <t>;DESABILITAR;ATIVAR;</t>
  </si>
  <si>
    <t>Alarme de Estado em Ponto Telecontrolado DVx</t>
  </si>
  <si>
    <t>null@null___NORMAL@ALTERNATIVO___Custom_S_TS</t>
  </si>
  <si>
    <t>null@null___NORMAL@SEM COMUN___Custom_S_TS</t>
  </si>
  <si>
    <t>Error;NORMAL;SEM COMUN;Transit</t>
  </si>
  <si>
    <t>DI_null@null___DESABILITADO@HABILITADO___Custom_S_TS_DS</t>
  </si>
  <si>
    <t>null@null___NORMAL@ALTERNATIVO___Custom___INV_S_TS</t>
  </si>
  <si>
    <t>null@null___AUTOM DESATIVOU@AUTOM ATIVOU___Custom_S_TS</t>
  </si>
  <si>
    <t>DI_null@null___DESABILITADO@HABILITADO___Custom_S_TS_DV</t>
  </si>
  <si>
    <t>Alarme de Estado em Ponto Telessinalizado DV</t>
  </si>
  <si>
    <t>null@null___AUTOM DESATIVADO@AUTOM ATIVADO___Custom_S_TS</t>
  </si>
  <si>
    <t>Transit;AUTOM DESATIVADO;AUTOM ATIVADO;Error</t>
  </si>
  <si>
    <t>null@null___NORMAL@ERRO___Custom_S_TS</t>
  </si>
  <si>
    <t>Transit;NORMAL;ERRO;Error</t>
  </si>
  <si>
    <t>null@null___NORMAL@BLOQUEADA___Enabled___admsINV_S_TS</t>
  </si>
  <si>
    <t>null@null___NORMAL@BLOQUEADA___Enabled___INV___admsINV_S_TS</t>
  </si>
  <si>
    <t>DI_null@null___DESABILITADO@HABILITADO___HotLineTag_S_TS</t>
  </si>
  <si>
    <t>null@null___NORMAL DESATIVAD@NORMAL ATIVADO___Custom___admsINV_S_TS</t>
  </si>
  <si>
    <t>null@null___DESLIGADO@LIGADO___Custom_D_TS</t>
  </si>
  <si>
    <t>MESTRE@INDIVIDUAL@COMANDO___MESTRE@INDIVIDUAL@COMANDO___Parallel___INV___admsINV_D_TS_SS</t>
  </si>
  <si>
    <t>null@null___NORMAL@COMPLETA___Custom_S_TS</t>
  </si>
  <si>
    <t>Transit;NORMAL;COMPLETA;Error</t>
  </si>
  <si>
    <t>null@null___NÃO PERMITIDO@PERMITIDO___Custom___INV_S_TS</t>
  </si>
  <si>
    <t>Error;NÃO PERMITIDO;PERMITIDO;Transit</t>
  </si>
  <si>
    <t>null@null___@___Custom_S_TS</t>
  </si>
  <si>
    <t>null@null___NORMAL@NORMAL___Custom_S_TS</t>
  </si>
  <si>
    <t>Error;NORMAL;NORMAL;Transit</t>
  </si>
  <si>
    <t>DI_INCLUIR@EXCLUIR___INCLUIDO@EXCLUIDO___ReclosingEnabled___INV_S_TC_DS</t>
  </si>
  <si>
    <t>null@null___NORMAL@DEFEITO___Custom_D_TS</t>
  </si>
  <si>
    <t>null@null___EXTRAIDO@INSERIDO___Custom_S_TS</t>
  </si>
  <si>
    <t>Transit;EXTRAIDO;INSERIDO;Error</t>
  </si>
  <si>
    <t>null@null___NORMAL@DISCREPANCIA___Custom___INV_S_TS</t>
  </si>
  <si>
    <t>null@null___NORMAL@BLOQUEADO___Custom_S_TS</t>
  </si>
  <si>
    <t>Error;NORMAL;BLOQUEADO;Transit</t>
  </si>
  <si>
    <t>DI_null@null___REMOTO@LOCAL___Local_S_TS</t>
  </si>
  <si>
    <t>null@null___NORMAL@ATUADO___RelayTrip_D_TS</t>
  </si>
  <si>
    <t>DI_null@null___DESABILITADO@HABILITADO___HotLineTag_S_TS_DS</t>
  </si>
  <si>
    <t>null@null___NORMAL@INTERMITENTE___Custom_S_TS</t>
  </si>
  <si>
    <t>Error;NORMAL;INTERMITENTE;Transit</t>
  </si>
  <si>
    <t>null@null___NORMAL@FALTA VCA___Custom_S_TS</t>
  </si>
  <si>
    <t>Error;NORMAL;FALTA VCA;Transit</t>
  </si>
  <si>
    <t>MESTRE@INDIVIDUAL@COMANDO___MESTRE@INDIVIDUAL@COMANDO___Custom___admsINV_D_TS</t>
  </si>
  <si>
    <t>MESTRE;INDIVIDUAL;;</t>
  </si>
  <si>
    <t>MESTRE@INDIVIDUAL@COMANDO___MESTRE@INDIVIDUAL@COMANDO___Parallel___INV_S_TC</t>
  </si>
  <si>
    <t>null@null___NORMAL@FALTA VCA___Custom___INV_S_TS</t>
  </si>
  <si>
    <t>null@null___NORMAL@FALHA___Custom___INV_D_TS</t>
  </si>
  <si>
    <t>Error;NORMAL;FALHA;Transit</t>
  </si>
  <si>
    <t>TROCA@null___null@null___Custom_S_TC_SA</t>
  </si>
  <si>
    <t>Alarme de Estado em Ponto Telecontrolado SA</t>
  </si>
  <si>
    <t>DESATIVAR@ATIVAR___DESATIVADO@ATIVADO___Custom___INV_S_TC_SA</t>
  </si>
  <si>
    <t>G1 ATIVAR@G2 ATIVAR___G1 ATIVADO@G2 ATIVADO___Custom_D_TC_SA</t>
  </si>
  <si>
    <t>Transit;G1 ATIVADO;G2 ATIVADO;Error</t>
  </si>
  <si>
    <t>;G1 ATIVAR;G2 ATIVAR;</t>
  </si>
  <si>
    <t>DESATIVAR@ATIVAR___DESATIVADO@ATIVADO___Custom___INV_S_TS_SA</t>
  </si>
  <si>
    <t>Alarme de Estado em Ponto Telessinalizado SA</t>
  </si>
  <si>
    <t>null@null___DESINIBIDA@INIBIDA___Custom_S_TS</t>
  </si>
  <si>
    <t>Error;DESINIBIDA;INIBIDA;Transit</t>
  </si>
  <si>
    <t>null@null___NORMAL@FALHA COM___Custom_S_TS</t>
  </si>
  <si>
    <t>Error;NORMAL;FALHA COM;Transit</t>
  </si>
  <si>
    <t>null@null___LIGADO@DESLIGADO___Custom_D_TS</t>
  </si>
  <si>
    <t>Error;LIGADO;DESLIGADO;Transit</t>
  </si>
  <si>
    <t>null@null___NORMAL DESATIVAD@NORMAL ATIVADO___Custom_S_TS</t>
  </si>
  <si>
    <t>null@null___LIBERADO@BLOQUEADO___Custom___INV_S_TS</t>
  </si>
  <si>
    <t>Transit;LIBERADO;BLOQUEADO;Error</t>
  </si>
  <si>
    <t>MESTRE@INDIVIDUAL@COMANDO___MESTRE@INDIVIDUAL@COMANDO___Custom_D_TS</t>
  </si>
  <si>
    <t>MESTRE@INDIVIDUAL@COMANDO___MESTRE@INDIVIDUAL@COMANDO___Parallel_D_TS</t>
  </si>
  <si>
    <t>null@null___NORMAL@BLOQUEADA___Enabled_S_TS</t>
  </si>
  <si>
    <t>DI_null@null___REMOTO@LOCAL___Local_S_TS_DS</t>
  </si>
  <si>
    <t>null@null___NORMAL@BLOQUEADA___Enabled___INV_S_TS</t>
  </si>
  <si>
    <t>Habilitar LF</t>
  </si>
  <si>
    <t>LF Desabilitado;Somente LF Habilitado;LF e ES Habilitados</t>
  </si>
  <si>
    <t>0;1;2</t>
  </si>
  <si>
    <t>Desabilitar LF;Habilitar somente LF;Habilitar LF e ES</t>
  </si>
  <si>
    <t>#00000000;#00F30C0C;#00000000</t>
  </si>
  <si>
    <t>Normal;Normal;Normal</t>
  </si>
  <si>
    <t>TRUE;TRUE;TRUE</t>
  </si>
  <si>
    <t>null@null___NORMAL@INIBIDO___Custom___INV_S_TS</t>
  </si>
  <si>
    <t>null@null___@___TapIncrement_D_TS</t>
  </si>
  <si>
    <t>null@null___MANUAL@AUTOMATICO___Custom___INV_S_TS</t>
  </si>
  <si>
    <t>MESTRE@INDIVIDUAL@COMANDO___MESTRE@INDIVIDUAL@COMANDO___Parallel_D_TS_SS</t>
  </si>
  <si>
    <t>null@null___ATIVOU@INIBIU___Custom_S_TS</t>
  </si>
  <si>
    <t>Transit;ATIVOU;INIBIU;Error</t>
  </si>
  <si>
    <t>null@null___NORMAL@INCOMPLETA___Custom_S_TS</t>
  </si>
  <si>
    <t>Transit;NORMAL;INCOMPLETA;Error</t>
  </si>
  <si>
    <t>null@null___FALHA@OPERANDO___Custom___INV_S_TS</t>
  </si>
  <si>
    <t>null@null___POSICAO 1@POSICAO 2___Custom_S_TS</t>
  </si>
  <si>
    <t>null@null___DESLIGADA@LIGADA___Custom___INV_S_TS</t>
  </si>
  <si>
    <t>Transit;DESLIGADA;LIGADA;Error</t>
  </si>
  <si>
    <t>DI_INCLUIR@EXCLUIR___INCLUIDO@EXCLUIDO___ReclosingEnabled_S_TC</t>
  </si>
  <si>
    <t>null@null___0@EXECUTADO___Custom_S_TS</t>
  </si>
  <si>
    <t>Transit;0;EXECUTADO;Error</t>
  </si>
  <si>
    <t>HABILITAR@null___HABILITADO@DESABILITADO__Enabled_S_TC_SS</t>
  </si>
  <si>
    <t>;HABILITAR;;</t>
  </si>
  <si>
    <t>null@null___NORMAL@ATUADO___Malfunctioning_S_TS</t>
  </si>
  <si>
    <t>null@null___NORMAL@DEFEITO___Malfunctioning_S_TS</t>
  </si>
  <si>
    <t>null@null___NORMAL@DEFEITO___Malfunctioning___INV_S_TS</t>
  </si>
  <si>
    <t>DI_INCLUIR@EXCLUIR___INCLUIDO@EXCLUIDO___ReclosingEnabled_S_TC_DS</t>
  </si>
  <si>
    <t>null@null___null@null___Custom_S_TS</t>
  </si>
  <si>
    <t>DI_null@null___NORMAL@ATUADO___RecloserLockout_S_TS</t>
  </si>
  <si>
    <t>DI_null@null___NORMAL@ATUADO___Malfunctioning_S_TS</t>
  </si>
  <si>
    <t>DI_null@null___NORMAL@ATUADO___Custom_S_TS</t>
  </si>
  <si>
    <t>DI_null@null___NORMAL@FALHA___Custom_S_TS</t>
  </si>
  <si>
    <t>INCLUIR@EXCLUIR___INCLUIDO@EXCLUIDO___Custom___INV_S_TC</t>
  </si>
  <si>
    <t>DI_null@null___NORMAL@FALTA___Custom_S_TS</t>
  </si>
  <si>
    <t>null@null___DESABILITADO@HABILITADO___Custom___INV_S_TS</t>
  </si>
  <si>
    <t>Error;DESABILITADO;HABILITADO;Transit</t>
  </si>
  <si>
    <t>DI_null@null___NORMAL@ATUADO___RelayTrip_S_TS</t>
  </si>
  <si>
    <t>DI_null@null@null___PROTEÇÃO@CHAVE@SECCIONALIZADOR___Custom_D_TS</t>
  </si>
  <si>
    <t>PROTEÇÃO;CHAVE;SECCIONALIZADOR;</t>
  </si>
  <si>
    <t>DI_null@null___NORMAL@DEFEITO___Custom_S_TS</t>
  </si>
  <si>
    <t>INCLUIR@EXCLUIR___INCLUIDO@EXCLUIDO___Custom___INV_S_TC_R90</t>
  </si>
  <si>
    <t>Error;INCLUIDO;EXCLUIDO;Transit</t>
  </si>
  <si>
    <t>null@null___DESLIGAR@LIGAR___Custom_S_TS_SA</t>
  </si>
  <si>
    <t>null@null___NORMAL@FALHA___Custom___INV_S_TS_SA</t>
  </si>
  <si>
    <t>null@null___DESATIVADO@ATIVADO___Parallel_S_TS</t>
  </si>
  <si>
    <t>null@null___DESATIVADO@ATIVADO___Custom_S_TS_SA</t>
  </si>
  <si>
    <t>null@MESTRE___DESATIVADO@ATIVADO___Custom_S_TC_SA</t>
  </si>
  <si>
    <t>null@INDIVIDUAL___DESATIVADO@ATIVADO___Custom_S_TC_SA</t>
  </si>
  <si>
    <t>null@null___BLOQUEADA@LIBERADA___Custom_S_TS_SA</t>
  </si>
  <si>
    <t>null@null___BLOQUEADA@LIBERADA___Custom___INV_S_TS_SA</t>
  </si>
  <si>
    <t>REARMAR@BLOQUEAR___NORMAL@ATUADO___Custom_S_TS_SA</t>
  </si>
  <si>
    <t>null@null___NORMAL@FALHA___RelayTrip_S_TS_SA</t>
  </si>
  <si>
    <t>null@null___NORMAL@ATUADO___RelayTrip_S_TS_A1</t>
  </si>
  <si>
    <t>Alarme de Estado em Ponto Telessinalizado A1</t>
  </si>
  <si>
    <t>DESBLOQUEAR@BLOQUEAR___NORMAL@BLOQUEADA___Enabled_S_TS_SA</t>
  </si>
  <si>
    <t>INCLUIR@EXCLUIR___INCLUIDO@EXCLUIDO___Custom___INV_S_TC_SS</t>
  </si>
  <si>
    <t>DI_null@null___NORMAL@ATUADO___RelayTrip___INV_S_TS_DA</t>
  </si>
  <si>
    <t>Alarme de Estado em Ponto Telessinalizado DA</t>
  </si>
  <si>
    <t>DI_null@null___NORMAL@FALTA___Custom___INV_S_TS_A1</t>
  </si>
  <si>
    <t>DI_RESET@null___NORMAL@BLOQUEIO___Custom_S_TC_DA</t>
  </si>
  <si>
    <t>;RESET;;</t>
  </si>
  <si>
    <t>Alarme de Estado em Ponto Telecontrolado DA</t>
  </si>
  <si>
    <t>DI_null@null___NORMAL@ATUADO___Custom___INV_S_TS_DA</t>
  </si>
  <si>
    <t>DI_null@null___CARREGADO@DESCARREGADO___Custom___INV_S_TS_DA</t>
  </si>
  <si>
    <t>Transit;CARREGADO;DESCARREGADO;Error</t>
  </si>
  <si>
    <t>DI_null@null___NORMAL@ATUADO___RelayTrip_S_TS_DA</t>
  </si>
  <si>
    <t>DI_null@null___NORMAL@FALTA___Custom_S_TS_A1</t>
  </si>
  <si>
    <t>DI_null@null___NORMAL@ATUADO___RecloserLockout_S_TS_A1</t>
  </si>
  <si>
    <t>DI_null@null___NORMAL@ATUADO___Custom_S_TS_DA</t>
  </si>
  <si>
    <t>null@null___NORMAL@BLOQUEIO___Custom_S_TS_SA</t>
  </si>
  <si>
    <t>DESATIVAR@ATIVAR___DESATIVADO@ATIVADO___Custom_S_TC_SA</t>
  </si>
  <si>
    <t>INCLUIR@EXCLUIR___INCLUIDO@EXCLUIDO___Custom___INV_S_TS_SS</t>
  </si>
  <si>
    <t>null@null___NORMAL@DEFEITO___Custom_S_TS_SA</t>
  </si>
  <si>
    <t>DI_RESET@null___NORMAL@BLOQUEIO___Custom___admsINV_S_TC_DA</t>
  </si>
  <si>
    <t>null@null___NORMAL@ATUADO___Custom_S_TS_DA</t>
  </si>
  <si>
    <t>null@null___NORMAL@ATUADO___RelayTrip_S_TS_DA</t>
  </si>
  <si>
    <t>null@null___NORMAL@ATUADO___Custom_S_TS_A1</t>
  </si>
  <si>
    <t>null@null___NORMAL@ATUADO___Custom___INV_S_TS_SA</t>
  </si>
  <si>
    <t>INCLUIR@EXCLUIR___INCLUIDO@EXCLUIDO___Custom_D_TC</t>
  </si>
  <si>
    <t>INCLUIR@EXCLUIR___INCLUIDO@EXCLUIDO___Custom_D_TC_SS</t>
  </si>
  <si>
    <t>Invalido;INCLUIDO;EXCLUIDO;Error</t>
  </si>
  <si>
    <t>Abnormal;Auto;Auto;Normal</t>
  </si>
  <si>
    <t>null@null___NORMAL@TRANSFERIDA___Custom_S_TS_SA</t>
  </si>
  <si>
    <t>Transit;NORMAL;TRANSFERIDA;Error</t>
  </si>
  <si>
    <t>DESBLOQUEAR@BLOQUEAR___NORMAL@BLOQUEADA___Enabled___INV___admsINV_S_TS_SA</t>
  </si>
  <si>
    <t>null@null___DESABILITADO@HABILITADO___Custom_S_TS</t>
  </si>
  <si>
    <t>null@null___NORMAL@ERRO___Custom_S_TS_SA</t>
  </si>
  <si>
    <t>null@REARMAR___NORMAL@ATUADO___Custom___INV_S_TS_SA</t>
  </si>
  <si>
    <t>null@null___NORMAL@BLOQUEADO___Custom_S_TS_SA</t>
  </si>
  <si>
    <t>Transit;NORMAL;BLOQUEADO;Error</t>
  </si>
  <si>
    <t>null@null___NORMAL@NORMAL___ControlActiveSetting_S_TC_SA</t>
  </si>
  <si>
    <t>Transit;NORMAL;NORMAL;Error</t>
  </si>
  <si>
    <t>null@null___NORMAL@ATUADO___Custom_S_TC_SA</t>
  </si>
  <si>
    <t>null@null___DESINIBIDA@INIBIDA___Custom_S_TS_SA</t>
  </si>
  <si>
    <t>Transit;DESINIBIDA;INIBIDA;Error</t>
  </si>
  <si>
    <t>null@null___LIGADO@DESLIGADO___Custom_S_TS_SA</t>
  </si>
  <si>
    <t>null@null___DESATRACADO@ATRACADO___Custom___INV_S_TS_SA</t>
  </si>
  <si>
    <t>Transit;DESATRACADO;ATRACADO;Error</t>
  </si>
  <si>
    <t>null@null___NORMALIZADO@TENSAO RETORNO___Custom_S_TS_SA</t>
  </si>
  <si>
    <t>Transit;NORMALIZADO;TENSAO RETORNO;Error</t>
  </si>
  <si>
    <t>null@null___NORMAL@ATUADO___RelayTrip___INV_S_TS_SA</t>
  </si>
  <si>
    <t>RELIGADOR@ALTERNATIVO___null@null___Custom_S_TC_SA</t>
  </si>
  <si>
    <t>null@null___NORMAL@INTERMITENTE___Custom_S_TS_SA</t>
  </si>
  <si>
    <t>Transit;NORMAL;INTERMITENTE;Error</t>
  </si>
  <si>
    <t>null@null___DESABILITADO@HABILITADO___Custom6_S_TS</t>
  </si>
  <si>
    <t>null@null___CARREGADA@DESCARREGADA___Custom_S_TS_SA</t>
  </si>
  <si>
    <t>null@null___NORMAL@ATUADO___RelayTrip_D_TS_SA</t>
  </si>
  <si>
    <t>INCLUIR@EXCLUIR___INCLUIDO@EXCLUIDO___Custom_S_TC</t>
  </si>
  <si>
    <t>null@null___CARGA@DESCARGA___Custom_S_TS_SA</t>
  </si>
  <si>
    <t>null@null___NORMAL@DISCREPANCIA___Custom___INV_S_TS_SA</t>
  </si>
  <si>
    <t>;CMD_CEEE;CMD_RGE;</t>
  </si>
  <si>
    <t>Transit;OPERANDO;BLOQUEADO;Error</t>
  </si>
  <si>
    <t>Transit;NORMAL;RECEBIDO;Error</t>
  </si>
  <si>
    <t>Transit;NORMAL;TRANSMITIDO;Error</t>
  </si>
  <si>
    <t>null@null___NORMAL@ATUADO___Custom___INV_S_TS_DA</t>
  </si>
  <si>
    <t>DI_null@null___CARREGADO@DESCARREGADO___Custom___INV_S_TS_Dax</t>
  </si>
  <si>
    <t>Alarme de Estado em Ponto Telessinalizado DAx</t>
  </si>
  <si>
    <t>DI_null@null___NORMAL@ATUADO___Custom_S_TS_Dax</t>
  </si>
  <si>
    <t>DESATIVAR@ATIVAR___DESATIVADO@ATIVADO___Custom___INV_S_TC_Sax</t>
  </si>
  <si>
    <t>Alarme de Estado em Ponto Telecontrolado SAx</t>
  </si>
  <si>
    <t>DESATIVAR@ATIVAR___DESATIVADO@ATIVADO___Custom___INV_S_TS_Sax</t>
  </si>
  <si>
    <t>Alarme de Estado em Ponto Telessinalizado SAx</t>
  </si>
  <si>
    <t>null@null___DESLIGADO@LIGADO___SwitchStatus_S_TS_USO_BC</t>
  </si>
  <si>
    <t>null@null___NORMAL@REVERSO___Custom_S_TS</t>
  </si>
  <si>
    <t>Error;NORMAL;REVERSO;Transit</t>
  </si>
  <si>
    <t>DI_null@null___NORMAL@ATUADO___Custom_S_TS_A1</t>
  </si>
  <si>
    <t>DI_null@null___NORMAL@REVERSO___Custom_S_TS</t>
  </si>
  <si>
    <t>DI_null@null___NORMAL@ATUADO___Custom_Sinv_TS_A1</t>
  </si>
  <si>
    <t>DI_RELIGADOR@CHAVE___RELIGADOR@CHAVE___Custom6_S_TC_DV</t>
  </si>
  <si>
    <t>Transit;RELIGADOR;CHAVE;Error</t>
  </si>
  <si>
    <t>;RELIGADOR;CHAVE;</t>
  </si>
  <si>
    <t>#FF000000;#FF00FF00;#FF00FF00;#FF000000</t>
  </si>
  <si>
    <t>Alarme de Estado em Ponto Telecontrolado DV</t>
  </si>
  <si>
    <t>DI_null@null___ABERTO@FECHADO___Custom___S_TS_DP</t>
  </si>
  <si>
    <t>Abnormal;Abnormal;Normal;Abnormal</t>
  </si>
  <si>
    <t>Alarme de Estado em Ponto Telessinalizado DP</t>
  </si>
  <si>
    <t>RELIGADOR@ALTERNATIVO___NORMAL@ALTERNATIVO___Custom_S_TS_DV</t>
  </si>
  <si>
    <t>G1@G2___GRUPO 1@GRUPO 2___Custom_D_TC_SV</t>
  </si>
  <si>
    <t>Alarme de Estado em Ponto Telecontrolado SV</t>
  </si>
  <si>
    <t>DI_null@null___ABERTO@FECHADO___Custom_S_TS_DP</t>
  </si>
  <si>
    <t>TROCA@null___NORMAL@ALTERNATIVO___Custom_S_TC_SV</t>
  </si>
  <si>
    <t>DESATIVAR@ATIVAR___DESATIVADO@ATIVADO___Custom_S_TC_SP</t>
  </si>
  <si>
    <t>Alarme de Estado em Ponto Telecontrolado SP</t>
  </si>
  <si>
    <t>null@null___NORMAL@ATUADO___Custom_S_TS_SP</t>
  </si>
  <si>
    <t>Alarme de Estado em Ponto Telessinalizado SP</t>
  </si>
  <si>
    <t>null@null___NORMAL@DISPARADA___Custom_S_TS</t>
  </si>
  <si>
    <t>Transit;NORMAL;DISPARADA;Error</t>
  </si>
  <si>
    <t>Alarme de Estado em Ponto Telessinalizado SV</t>
  </si>
  <si>
    <t>MANUAL@AUTOMATICO___MANUAL@AUTOMATICO___Custom_S_TS_SV</t>
  </si>
  <si>
    <t>null@null___ABERTO@FECHADO___Custom___INV_S_TS_SP</t>
  </si>
  <si>
    <t>null@ATIV_DES___DESATIVADO@ATIVADO___Custom_S_TS_SV</t>
  </si>
  <si>
    <t>RELIGADOR@ALTERNATIVO___null@null___Custom_S_TC_SV</t>
  </si>
  <si>
    <t>DESATIVAR@ATIVAR___DESATIVADO@ATIVADO___Custom_S_TS_SP</t>
  </si>
  <si>
    <t>DI_ALTERNATIVO@RELIGADOR@CHAVE___ALTERNATIVO@RELIGADOR@CHAVE___Custom_D_TC_DV</t>
  </si>
  <si>
    <t>ALTERNATIVO;RELIGADOR;CHAVE;</t>
  </si>
  <si>
    <t>null@null___DESABILITADO@HABILITADO___HotLineTag___INV_S_TS</t>
  </si>
  <si>
    <t>DI_NORMAL@ALTERNATIVO___NORMAL@ALTERNATIVO___Custom_D_TC_DV</t>
  </si>
  <si>
    <t>;NORMAL;ALTERNATIVO;</t>
  </si>
  <si>
    <t>DI_null@null___RELIGADOR@CHAVE___Custom6_S_TC_DV</t>
  </si>
  <si>
    <t>DI_null@null___0@FALHA___Custom_S_TS_DV</t>
  </si>
  <si>
    <t>Transit;0;FALHA;Error</t>
  </si>
  <si>
    <t>DI_RELIGADOR@CHAVE___RELIGADOR@CHAVE___Custom___INV_S_TC_DV</t>
  </si>
  <si>
    <t>DI_null@null___0@SUCESSO___Custom_S_TS_DV</t>
  </si>
  <si>
    <t>Transit;0;SUCESSO;Error</t>
  </si>
  <si>
    <t>DI_null@null___ABERTO@FECHADO___Custom___INV_S_TS_DP</t>
  </si>
  <si>
    <t>DI_null@null___NORMAL@ATUADO___Custom_S_TS_DV</t>
  </si>
  <si>
    <t>DI_DESBLOQUEAR@BLOQUEAR___NORMAL@BLOQUEADA___Enabled___INV_S_TC_DV</t>
  </si>
  <si>
    <t>DI_null@null@null___PROTEÇÃO@CHAVE@SECCIONALIZADOR___Custom_D_TS_DV</t>
  </si>
  <si>
    <t>DI_DESBLOQUEAR@null___NORMAL@BLOQUEADA___Enabled_S_TS_DV</t>
  </si>
  <si>
    <t>DI_RESETAR@null___RESET@null___Custom_S_TC_DV</t>
  </si>
  <si>
    <t>Transit;RESET;;Error</t>
  </si>
  <si>
    <t>DI_DESBLOQUEAR@null___NORMAL@BLOQUEADA___Enabled___INV_S_TC_DV</t>
  </si>
  <si>
    <t>DI_ATIVAR@null___ATIVADO@DESATIVADO___Custom_S_TC_SV</t>
  </si>
  <si>
    <t>DI_null@ATIVAR___DESATIVADO@ATIVADO___Custom_S_TC_SV</t>
  </si>
  <si>
    <t>;;ATIVAR;</t>
  </si>
  <si>
    <t>null@null___NORMAL@DEFEITO___Custom___INV_S_TS_SP</t>
  </si>
  <si>
    <t>null@null___NORMAL@FALTA___Custom_S_TS_SP</t>
  </si>
  <si>
    <t>DI_DESBLOQUEAR@BLOQUEAR___NORMAL@BLOQUEADA___Enabled___INV___admsINV_S_TC_DV</t>
  </si>
  <si>
    <t>DI_DESBLOQUEAR@null___NORMAL@BLOQUEADA___Enabled___admsINV_S_TS_DV</t>
  </si>
  <si>
    <t>DI_DESBLOQUEAR@null___NORMAL@BLOQUEADA___Enabled___INV___admsINV_S_TC_DV</t>
  </si>
  <si>
    <t>TROCA@null___NORMAL@ALTERNATIVO___Custom___INV_S_TS_DV</t>
  </si>
  <si>
    <t>null@null___LIGADO@DESLIGADO___Custom_S_TS_SP</t>
  </si>
  <si>
    <t>DESLIGAR@LIGAR___DESLIGADO@LIGADO___Custom_D_TS_SP</t>
  </si>
  <si>
    <t>DESLIGAR@LIGAR___DESLIGADO@LIGADO___Custom___INV_S_TC_SV</t>
  </si>
  <si>
    <t>null@null___NORMAL@ATUADO___Custom___INV_S_TS_SP</t>
  </si>
  <si>
    <t>AUTOMATICO@MANUAL___AUTOMATICO@MANUAL___Custom___admsINV_S_TC_SV</t>
  </si>
  <si>
    <t>;AUTOMATICO;MANUAL;</t>
  </si>
  <si>
    <t>null@null___DESABILITADO@HABILITADO___HotLineTag___INV_S_TS_SS</t>
  </si>
  <si>
    <t>DESATIVAR@ATIVAR___DESATIVADO@ATIVADO___Custom___INV_S_TS_SV</t>
  </si>
  <si>
    <t>null@null___DEFEITO@NORMAL___Custom_S_TS_SP</t>
  </si>
  <si>
    <t>Transit;DEFEITO;NORMAL;Error</t>
  </si>
  <si>
    <t>DI_null@CHAVE__INATIVO@CHAVE___Custom_S_TC_DV</t>
  </si>
  <si>
    <t>Transit;INATIVO;CHAVE;Error</t>
  </si>
  <si>
    <t>;;CHAVE;</t>
  </si>
  <si>
    <t>DI_ALTERNATIVO@RELIGADOR__ALTERNATIVO@RELIGADOR___Custom_S_TC_DV</t>
  </si>
  <si>
    <t>Transit;ALTERNATIVO;RELIGADOR;Error</t>
  </si>
  <si>
    <t>;ALTERNATIVO;RELIGADOR;</t>
  </si>
  <si>
    <t>AUTOMATICO@MANUAL___AUTOMATICO@MANUAL___Custom___INV___admsINV_S_TS_SV</t>
  </si>
  <si>
    <t>G1@G2___DESATIVADO@ATIVADO___Custom_S_TS_SV</t>
  </si>
  <si>
    <t>null@ATIV_DES___DESATIVADO@ATIVADO___Custom_S_TC_SV</t>
  </si>
  <si>
    <t>;;ATIV_DES;</t>
  </si>
  <si>
    <t>DI_CHAVE@null__CHAVE@null___Custom_S_TC_DV</t>
  </si>
  <si>
    <t>Transit;CHAVE;INATIVO;Error</t>
  </si>
  <si>
    <t>;CHAVE;;</t>
  </si>
  <si>
    <t>DI_null@null@null___ALTERNATIVO@RELIGADOR@CHAVE___Custom_D_TS_DV</t>
  </si>
  <si>
    <t>ALTERNATIVO;RELIGADOR;CHAVE;Error</t>
  </si>
  <si>
    <t>DI_RELIGADOR@null__RELIGADOR@null___Custom_S_TC_DV</t>
  </si>
  <si>
    <t>Transit;RELIGADOR;INATIVO;Error</t>
  </si>
  <si>
    <t>DI_ALTERNATIVO@null__ALTERNATIVO@null___Custom_S_TC_DV</t>
  </si>
  <si>
    <t>Transit;ALTERNATIVO;Inativo;Error</t>
  </si>
  <si>
    <t>;ALTERNATIVO;;</t>
  </si>
  <si>
    <t>null@null___DESABILITADO@HABILITADO___HotLineTag_S_TC_SS</t>
  </si>
  <si>
    <t>null@null___DEFEITO@NORMAL___Custom___INV_S_TS_SP</t>
  </si>
  <si>
    <t>DESLIGAR@LIGAR___DESLIGADO@LIGADO___Custom_S_TS_SP</t>
  </si>
  <si>
    <t>DESLIGAR@LIGAR___DESLIGADO@LIGADO___Custom___INV_S_TS_SV</t>
  </si>
  <si>
    <t>null@null___DESLIGADO@LIGADO___Custom_S_TS_SV</t>
  </si>
  <si>
    <t>DI_RELIGADOR@ALTERNATIVO@CHAVE___RELIGADOR@ALTERNATIVO@CHAVE___Custom_D_TC_DV</t>
  </si>
  <si>
    <t>DI_RESETAR@null___null@null___Custom_S_TC_DV</t>
  </si>
  <si>
    <t>DI_DESBLOQUEAR@null___NORMAL@BLOQUEADA___Enabled___admsINV_S_TC_DV</t>
  </si>
  <si>
    <t>RELIGADOR@ALTERNATIVO___null@null___Custom_S_TS_SV</t>
  </si>
  <si>
    <t>DI_null@null___DESATIVADO@ATIVADO___Custom_S_TC_DV</t>
  </si>
  <si>
    <t>DI_NORMAL@ALTERNATIVO@CHAVE___Null@Null@Null___Custom_D_TS_DV</t>
  </si>
  <si>
    <t>NORMAL;ALTERNATIVO;CHAVE;</t>
  </si>
  <si>
    <t>DI_null@ATIVAR___DESATIVADO@ATIVADO___AJPRTN_S_TC_SV</t>
  </si>
  <si>
    <t>DI_null@ATIVAR___DESATIVADO@ATIVADO___Custom_S_TC_DV</t>
  </si>
  <si>
    <t>DI_NORMAL@ALTERNATIVO@CHAVE___NORMAL@ALTERNATIVO@CHAVE___Custom_D_TS_DV</t>
  </si>
  <si>
    <t>DI_CHAVE@NORMAL___CHAVE@NORMAL___Custom___INV_S_TC_DV_F5V</t>
  </si>
  <si>
    <t>Transit;CHAVE;NORMAL;Error</t>
  </si>
  <si>
    <t>;CHAVE;NORMAL;</t>
  </si>
  <si>
    <t>DI_null@null@null___ALTERNATIVO@NORMAL@CHAVE___Custom_D_TS_DV_ART1</t>
  </si>
  <si>
    <t>DI_null@null@null___NORMAL@ALTERNATIVO@CHAVE___Custom_D_TS_DV_SNV3</t>
  </si>
  <si>
    <t>DI_NORMAL@ALTERNATIVO___NORMAL@ALTERNATIVO___Custom_D_TC_DV_SIV</t>
  </si>
  <si>
    <t>DI_null@ATIVAR___null@null___Custom_S_TC_DV</t>
  </si>
  <si>
    <t>DI_BLOQUEAR@DESBLOQUEAR___BLOQUEADA@NORMAL___Enabled___S_TC_DV_SNV4</t>
  </si>
  <si>
    <t>Transit;BLOQUEADA;NORMAL;Error</t>
  </si>
  <si>
    <t>;BLOQUEAR;DESBLOQUEAR;</t>
  </si>
  <si>
    <t>DI_DESBLOQUEAR@BLOQUEAR___NORMAL@BLOQUEADA___Enabled___admsINV_S_TC_DV</t>
  </si>
  <si>
    <t>DI_null@ATIVAR___DESATIVADO@ATIVADO___Custom6_S_TC_DV</t>
  </si>
  <si>
    <t>DI_null@ATIVAR___DESATIVADO@ATIVADO___Custom6_S_TC_SV</t>
  </si>
  <si>
    <t>DI_null@null@null___ALTERNATIVO@NORMAL@CHAVE___Custom6_D_TS_DV_ART1</t>
  </si>
  <si>
    <t>Normal;Normal;Abnormal;Abnormal</t>
  </si>
  <si>
    <t>DI_null@null@null___NORMAL@ALTERNATIVO@CHAVE___Custom6_D_TS_DV_SNV3</t>
  </si>
  <si>
    <t>Auto;Auto;Auto;Abnormal</t>
  </si>
  <si>
    <t>DI_CHAVE@NORMAL___CHAVE@NORMAL___Custom6___INV_S_TC_DV_F5V</t>
  </si>
  <si>
    <t>DI_RELIGADOR@CHAVE___RELIGADOR@CHAVE___Custom6_S_TC_DVx</t>
  </si>
  <si>
    <t>null@ATIV_DES___DESATIVADO@ATIVADO___Custom_S_TS_SVx</t>
  </si>
  <si>
    <t>Alarme de Estado em Ponto Telessinalizado SVx</t>
  </si>
  <si>
    <t>null@null___DESATIVADO@ATIVADO___Custom_S_TS_SVx</t>
  </si>
  <si>
    <t>RELIGADOR@ALTERNATIVO___NORMAL@ALTERNATIVO___Custom_S_TS_DVx</t>
  </si>
  <si>
    <t>Alarme de Estado em Ponto Telessinalizado DVx</t>
  </si>
  <si>
    <t>DI_null@null___ABERTO@FECHADO___Custom_S_TS_DPx</t>
  </si>
  <si>
    <t>Alarme de Estado em Ponto Telessinalizado DPx</t>
  </si>
  <si>
    <t>DI_null@null___0@SUCESSO___Custom_S_TS_DVx</t>
  </si>
  <si>
    <t>DI_null@ATIVAR___null@null___Custom_S_TC_DVx</t>
  </si>
  <si>
    <t>G1@G2___GRUPO 1@GRUPO 2___Custom_S_TC_SVx</t>
  </si>
  <si>
    <t>Alarme de Estado em Ponto Telecontrolado SVx</t>
  </si>
  <si>
    <t>DI_null@ATIVAR___DESATIVADO@ATIVADO___Custom_S_TC_SVx</t>
  </si>
  <si>
    <t>DI_null@ATIVAR___DESATIVADO@ATIVADO___Custom6_S_TC_DVx</t>
  </si>
  <si>
    <t>DI_null@null___0@FALHA___Custom_S_TS_DVx</t>
  </si>
  <si>
    <t>DI_null@ATIVAR___DESATIVADO@ATIVADO___Custom_S_TC_DVx</t>
  </si>
  <si>
    <t>DI_null@ATIVAR___DESATIVADO@ATIVADO___Custom6_S_TC_SVx</t>
  </si>
  <si>
    <t>DESATIVAR@ATIVAR___DESATIVADO@ATIVADO___Custom_S_TC_SVx</t>
  </si>
  <si>
    <t>DI_null@null___ABERTO@FECHADO___Custom___INV_S_TS_DPx</t>
  </si>
  <si>
    <t>Alarme de Estado em Ponto Telessinalizado SO</t>
  </si>
  <si>
    <t>DESLIGAR@LIGAR___DESLIGADO@LIGADO___SwitchStatus_D_TC_SC</t>
  </si>
  <si>
    <t>Alarme de Estado em Ponto Telecontrolado SC</t>
  </si>
  <si>
    <t>Alarme de Estado em Ponto Telecontrolado SO</t>
  </si>
  <si>
    <t>ABRIR@FECHAR___ABERTO@FECHADO___SwitchStatus_S_TS_SO</t>
  </si>
  <si>
    <t>ABRIR@FECHAR___ABERTO@FECHADO___SwitchStatus___INV_D_TS_SO</t>
  </si>
  <si>
    <t>DESLIGAR@LIGAR___DESLIGADO@LIGADO___SwitchStatus___INV_D_TC_SC</t>
  </si>
  <si>
    <t>DESLIGAR@LIGAR___DESLIGADO@LIGADO___SwitchStatus_S_TC_SC</t>
  </si>
  <si>
    <t>ABRIR@FECHAR___ABERTO@FECHADO___SwitchStatus_S_TC_SO</t>
  </si>
  <si>
    <t>ABRIR@FECHAR___ABERTO@FECHADO___SwitchStatus___INV_S_TS_SO</t>
  </si>
  <si>
    <t>ABRIR@FECHAR___ABERTO@FECHADO___SwitchStatus___INV_S_TC_SO</t>
  </si>
  <si>
    <t>ABRIR@FECHAR___ABERTO@FECHADO___SwitchStatus___INV_D_TC_SO</t>
  </si>
  <si>
    <t>DESLIGAR@LIGAR___DESLIGADO@LIGADO___SwitchStatus___INV_S_TC_SC</t>
  </si>
  <si>
    <t>DESLIGAR@LIGAR___DESLIGADO@LIGADO___SwitchStatus___INV_D_TS_SC</t>
  </si>
  <si>
    <t>Alarme de Estado em Ponto Telessinalizado SC</t>
  </si>
  <si>
    <t>DESLIGAR@LIGAR___DESLIGADO@LIGADO___SwitchStatus_S_TS_SC</t>
  </si>
  <si>
    <t>DESLIGAR@LIGAR___DESLIGADO@LIGADO___SwitchStatus___INV_S_TS_SC</t>
  </si>
  <si>
    <t>DESLIGAR@LIGAR___DESLIGADO@LIGADO___SwitchStatus___INV_D_TC_SC_USO_BC</t>
  </si>
  <si>
    <t>DESLIGAR@LIGAR___DESLIGADO@LIGADO___SwitchStatus___INV_S_TS_SC_USO_BC</t>
  </si>
  <si>
    <t>DESLIGAR@LIGAR___DESLIGADO@LIGADO___SwitchStatus___INV_S_TC_SC_USO_BC</t>
  </si>
  <si>
    <t>DESLIGAR@LIGAR___DESLIGADO@LIGADO___SwitchStatus_D_TC_SC_USO_BC</t>
  </si>
  <si>
    <t>DESLIGAR@LIGAR___DESLIGADO@LIGADO___SwitchStatus_S_TC_SC_USO_BC</t>
  </si>
  <si>
    <t>DESLIGAR@LIGAR___DESLIGADO@LIGADO___SwitchStatus_S_TS_SC_USO_BC</t>
  </si>
  <si>
    <t>Alarme de Estado em Ponto Telessinalizado SB</t>
  </si>
  <si>
    <t>null@null___DESATIVADO@ATIVADO___Custom_S_TS_SB</t>
  </si>
  <si>
    <t>BLOQUEAR@null___null@null___Custom_S_TC_SB</t>
  </si>
  <si>
    <t>;BLOQUEAR;;</t>
  </si>
  <si>
    <t>Alarme de Estado em Ponto Telecontrolado SB</t>
  </si>
  <si>
    <t>null@null___LIGADO@DESLIGADO___Custom___INV_D_TS_SB</t>
  </si>
  <si>
    <t>null@null___NÃO PERMITIDO@PERMITIDO___Custom_S_TS_SB</t>
  </si>
  <si>
    <t>null@null___DESLIGADO@LIGADO___Custom___INV_D_TS_SB</t>
  </si>
  <si>
    <t>null@null___NORMAL@FALTA___Custom___INV_S_TS_SB</t>
  </si>
  <si>
    <t>null@null___NORMAL@FALHA___Custom___INV_S_TS_SB</t>
  </si>
  <si>
    <t>Alarme de Estado em Ponto Telessinalizado SB Temporizado</t>
  </si>
  <si>
    <t>REARMAR@BLOQUEAR___NORMAL@ATUADO___Custom_S_TS_SB</t>
  </si>
  <si>
    <t>null@null___NORMAL@ATUADO___Custom___INV_S_TS_SB</t>
  </si>
  <si>
    <t>null@null___MANUAL@AUTOMATICO___Custom_S_TS_SB</t>
  </si>
  <si>
    <t>null@REARMAR___NORMAL@ATUADO___Custom_S_TS_SB</t>
  </si>
  <si>
    <t>null@null___NORMAL@BLOQUEIO___Custom_S_TS_SB</t>
  </si>
  <si>
    <t>null@null___NORMAL@OLEO FALHA___Custom_S_TS_SB</t>
  </si>
  <si>
    <t>null@null___NORMAL@FALTA VCC VCA___Custom_S_TS_SB</t>
  </si>
  <si>
    <t>null@null___LIGADO@DESLIGADO___Custom___INV_S_TS_SB</t>
  </si>
  <si>
    <t>null@null___CARREGADA@DESCARREGADA___Custom___INV_S_TS_SB</t>
  </si>
  <si>
    <t>DESLIGAR@LIGAR___DESLIGADO@LIGADO___Custom___INV_S_TS_SB</t>
  </si>
  <si>
    <t>null@null___DESLIGADA@LIGADA___Custom_S_TS_SB</t>
  </si>
  <si>
    <t>null@null___NORMAL@FALHA COM___Custom_S_TS_SB</t>
  </si>
  <si>
    <t>Transit;NORMAL;FALHA COM;Error</t>
  </si>
  <si>
    <t>@___@____S_TS_SB</t>
  </si>
  <si>
    <t>MANUAL@AUTOMATICO___MANUAL@AUTOMATICO___Custom_S_TS_SB</t>
  </si>
  <si>
    <t>null@null___AUTOMATICO@MANUAL___Custom_S_TS_SB</t>
  </si>
  <si>
    <t>DI_UNIDIRECIONAL@BIDIRECIONAL___UNIDIRECIONAL@INVERSO___Custom_S_TS_DB</t>
  </si>
  <si>
    <t>Transit;UNIDIRECIONAL;INVERSO;Error</t>
  </si>
  <si>
    <t>Alarme de Estado em Ponto Telessinalizado DB</t>
  </si>
  <si>
    <t>DI_null@null___0@EXECUTADO___Custom_S_TS_DB</t>
  </si>
  <si>
    <t>DI_null@null___NORMAL@DEFEITO___Malfunctioning___INV_S_TS_DB</t>
  </si>
  <si>
    <t>DI_null@null___NORMAL@BLOQUEIO___Custom_S_TS_DB</t>
  </si>
  <si>
    <t>DI_null@null___NORMAL@BAIXA___Custom_S_TS_DB</t>
  </si>
  <si>
    <t>DI_null@null___FALHA@OPERANDO___Custom_S_TS_DB</t>
  </si>
  <si>
    <t>DI_null@null___NORMAL@DEFEITO___Custom___INV_S_TS_DB</t>
  </si>
  <si>
    <t>DI_null@null___NORMAL@ALTA___Custom_S_TS_DB</t>
  </si>
  <si>
    <t>Transit;NORMAL;ALTA;Error</t>
  </si>
  <si>
    <t>DI_null@null___NORMAL@DEFEITO___Custom_S_TS_DB</t>
  </si>
  <si>
    <t>DI_null@null___NORMAL@ATUADO___Custom_S_TS_DB</t>
  </si>
  <si>
    <t>DI_null@null___NORMAL@ATUADO___Malfunctioning_S_TS_DB</t>
  </si>
  <si>
    <t>null@null___NORMAL@ERRO___Custom_S_TS_SB</t>
  </si>
  <si>
    <t>null@null___NORMAL@FALHA___Custom___INV_D_TS_SB</t>
  </si>
  <si>
    <t>Invalido;NORMAL;FALHA;Error</t>
  </si>
  <si>
    <t>null@null___NORMAL@FALTA VCA___Custom___INV_S_TS_SB</t>
  </si>
  <si>
    <t>Transit;NORMAL;FALTA VCA;Error</t>
  </si>
  <si>
    <t>null@null___BLOQUEADA@LIBERADA___Custom_S_TS_SB</t>
  </si>
  <si>
    <t>INCLUIR@EXCLUIR___INCLUIDO@EXCLUIDO___Custom_S_TC_SA</t>
  </si>
  <si>
    <t>null@null___NORMAL@ATUADO___RelayTrip_S_TS_SB</t>
  </si>
  <si>
    <t>null@null___NORMAL@FALHA___RelayTrip_S_TS_SB</t>
  </si>
  <si>
    <t>REARMAR@BLOQUEAR___NORMAL@ATUADO___Custom___INV_S_TS_SB</t>
  </si>
  <si>
    <t>null@null___FALHA@OPERANDO___Custom_S_TS_DB</t>
  </si>
  <si>
    <t>null@null___NORMAL@ATUADO___Custom_S_TS_DB</t>
  </si>
  <si>
    <t>null@null___NORMAL@NORMAL___Custom_S_TS_SB</t>
  </si>
  <si>
    <t>null@null___NORMAL@DEFEITO___Custom___INV_S_TS_SB</t>
  </si>
  <si>
    <t>null@null___NORMAL@BAIXA___Custom_S_TS_SB</t>
  </si>
  <si>
    <t>REARMAR@BLOQUEAR___NORMAL@ATUADO___Custom_S_TC_SB</t>
  </si>
  <si>
    <t>DESLIGAR@LIGAR___DESLIGADO@LIGADO___Custom_D_TC_SB</t>
  </si>
  <si>
    <t>Abnormal;Auto;Auto;Auto</t>
  </si>
  <si>
    <t>null@null___DEFEITO@NORMAL___Custom_S_TS_SB</t>
  </si>
  <si>
    <t>INCLUIR@EXCLUIR___INCLUIDO@EXCLUIDO___Custom_S_TS_SS</t>
  </si>
  <si>
    <t>INCLUIR@EXCLUIR___INCLUIDO@EXCLUIDO___Enabled___admsINV_S_TC_SA</t>
  </si>
  <si>
    <t>null@null___LIGADO@DESLIGADO___Custom_D_TS_SB</t>
  </si>
  <si>
    <t>null@null___NORMAL@BLOQUEIO___Custom___INV_S_TS_SB</t>
  </si>
  <si>
    <t>null@REARMAR___NORMAL@ATUADO___Custom___INV_S_TS_SB</t>
  </si>
  <si>
    <t>null@null___NORMAL@DISCREPANCIA___Custom_S_TS_SB</t>
  </si>
  <si>
    <t>null@null___ABERTO@FECHADO___Custom___INV_S_TS_SB</t>
  </si>
  <si>
    <t>null@null___DESLIGADO@LIGADO___Custom_S_TS_SB</t>
  </si>
  <si>
    <t>;DESLIGAR;DESLIGAR;</t>
  </si>
  <si>
    <t>null@null___DESLIGADO@LIGADO___Custom_S_TS_SB1</t>
  </si>
  <si>
    <t>null@null___NORMAL@FALTA VCA___Custom_S_TS_SB</t>
  </si>
  <si>
    <t>null@null___DESLIGADA@LIGADA___Custom___INV_S_TS_SB</t>
  </si>
  <si>
    <t>null@null___ATIVOU@INIBIU___Custom_S_TS_SB</t>
  </si>
  <si>
    <t>null@null___NORMAL@FALHA___Custom_D_TS_SB</t>
  </si>
  <si>
    <t>DESLIGAR@LIGAR___DESLIGADO@LIGADO___Custom_D_TS_SB</t>
  </si>
  <si>
    <t>null@null___EXTRAIDA@INSERIDA___Custom_S_TS_SB</t>
  </si>
  <si>
    <t>Transit;EXTRAIDA;INSERIDA;Error</t>
  </si>
  <si>
    <t>null@null___DESLIGADO@LIGADO___Custom___INV_S_TS_SB</t>
  </si>
  <si>
    <t>null@null___FALHA@OPERANDO___Custom___INV_S_TS_DB</t>
  </si>
  <si>
    <t>null@null___LIBERADO@BLOQUEADO___Custom___INV_S_TS_SB</t>
  </si>
  <si>
    <t>EXTRAIR@INSERIR___EXTRAIDO@INSERIDO___Custom___INV_S_TC_SB</t>
  </si>
  <si>
    <t>;EXTRAIR;INSERIR;</t>
  </si>
  <si>
    <t>null@null___NORMAL@ATUADO___Custom_D_TS_SB</t>
  </si>
  <si>
    <t>null@null___EXTRAIDO@INSERIDO___Custom___INV_S_TC_SB</t>
  </si>
  <si>
    <t>DI_UNIDIRECIONAL@BIDIRECIONAL___UNIDIRECIONAL@INVERSO___Custom_S_TS_DBx</t>
  </si>
  <si>
    <t>Transit;FLUXO NORMAL;FLUXO INVERSO;Error</t>
  </si>
  <si>
    <t>Alarme de Estado em Ponto Telessinalizado DBx</t>
  </si>
  <si>
    <t>DI_null@null___NORMAL@DEFEITO___Custom_S_TS_DBx</t>
  </si>
  <si>
    <t>DI_null@null___NORMAL@BLOQUEIO___Custom_S_TS_DBx</t>
  </si>
  <si>
    <t>null@null___NORMAL@FALHA___Custom___INV_S_TS_SBx</t>
  </si>
  <si>
    <t>Alarme de Estado em Ponto Telessinalizado SBx</t>
  </si>
  <si>
    <t>DI_null@null___NORMAL@BAIXA___Custom_S_TS_DBx</t>
  </si>
  <si>
    <t>DI_null@null___NORMAL@ATUADO___Malfunctioning_S_TS_DBx</t>
  </si>
  <si>
    <t>DI_null@null___NORMAL@ATUADO___Custom_S_TS_DBx</t>
  </si>
  <si>
    <t>null@null___NORMAL@NORMAL___Custom_S_TS_SBx</t>
  </si>
  <si>
    <t>null@null___NORMAL@FALHA___Custom_S_TS_SBx</t>
  </si>
  <si>
    <t>DI_null@null___NORMAL@ALTA___Custom_S_TS_DBx</t>
  </si>
  <si>
    <t>DI_null@null___FALHA@OPERANDO___Custom_S_TS_DBx</t>
  </si>
  <si>
    <t>DI_null@null___0@EXECUTADO___Custom_S_TS_DBx</t>
  </si>
  <si>
    <t>null@null___CARREGADA@DESCARREGADA___Custom__S_TS_SB</t>
  </si>
  <si>
    <t>DI_null@null___FALHA@OK___Custom_S_TS_DBx</t>
  </si>
  <si>
    <t>;FALHA;OK;</t>
  </si>
  <si>
    <t>ATIVAR@DESATIVAR___null@null___Custom_S_TC_SS</t>
  </si>
  <si>
    <t>ATIVAR@null___null@null___Custom_S_TC_SS</t>
  </si>
  <si>
    <t>AUMENTAR@DIMINUIR___null@null___admsInv__TapIncrement_S_TC_SS</t>
  </si>
  <si>
    <t>;AUMENTAR;DIMINUIR;</t>
  </si>
  <si>
    <t>#FF000000;#FFFF0000;#FFFF0000;#FFA9A9A9</t>
  </si>
  <si>
    <t>null@null___DESABILITADO@HABILITADO___HotLineTag_S_TS</t>
  </si>
  <si>
    <t>AUMENTAR@DIMINUIR___null@null___INV_TapIncrement_S_TC_SS</t>
  </si>
  <si>
    <t>AUMENTAR@DIMINUIR___null@null___INV_TapIncrement_S_TC_SS_VF</t>
  </si>
  <si>
    <t>INCLUIR@EXCLUIR___INCLUIDO@EXCLUIDO___Enabled___admsINV_S_TC_SS</t>
  </si>
  <si>
    <t>INCLUIR@EXCLUIR___INCLUIDO@EXCLUIDO___Enabled___admsINV_S_TS_SA</t>
  </si>
  <si>
    <t>INCLUIR@EXCLUIR___INCLUIDO@EXCLUIDO___Enabled___admsINV_S_TS_SB</t>
  </si>
  <si>
    <t>INCLUIR@EXCLUIR___INCLUIDO@EXCLUIDO___Enabled___admsINV_S_TS_SS</t>
  </si>
  <si>
    <t>INCLUIR@EXCLUIR___INCLUIDO@EXCLUIDO___Enabled___INV___admsINV_D_TC_SS</t>
  </si>
  <si>
    <t>INCLUIR@EXCLUIR___INCLUIDO@EXCLUIDO___Enabled___INV___admsINV_S_TC_SS</t>
  </si>
  <si>
    <t>null@null___LOCAL@REMOTO___Custom___INV_S_TS</t>
  </si>
  <si>
    <t>Transit;LOCAL;REMOTO;Error</t>
  </si>
  <si>
    <t>DESATIVAR@ATIVAR___DESATIVADO@ATIVADO___Custom___INV_S_TC_SS</t>
  </si>
  <si>
    <t>null@null___LOCAL@REMOTO___Custom___INV_S_TS_SS</t>
  </si>
  <si>
    <t>DESATIVAR@ATIVAR___NORMAL DESATIVADO@NORMAL ATIVADO___Custom___admsINV_S_TC_SS</t>
  </si>
  <si>
    <t>Transit;NORMAL DESATIVADO;NORMAL ATIVADO;Error</t>
  </si>
  <si>
    <t>DESATIVAR@ATIVAR___NORMAL DESATIVADO@NORMAL ATIVADO___Custom___INV___admsINV_S_TC_SS</t>
  </si>
  <si>
    <t>INCLUIR@EXCLUIR___INCLUIDO@EXCLUIDO___Enabled___INV___admsINV_S_TS_SS</t>
  </si>
  <si>
    <t>DESATIVAR@ATIVAR___NORMAL DESATIVADO@NORMAL ATIVADO___Custom___INV_S_TC_SS</t>
  </si>
  <si>
    <t>null@null___DESABILITADO@HABILITADO___HotLineTag_S_TS_DS</t>
  </si>
  <si>
    <t>INCLUIR@EXCLUIR___INCLUIDO@EXCLUIDO___Enabled___INV_S_TC</t>
  </si>
  <si>
    <t>DESATIVAR@ATIVAR___NORMAL DESATIVADO@NORMAL ATIVADO___Custom_S_TC_SS</t>
  </si>
  <si>
    <t>DIMINUIR@AUMENTAR___null@null___Custom_S_TC_SS</t>
  </si>
  <si>
    <t>null@null___DESABILITADO@HABILITADO___HotLineTag_S_TS_SA</t>
  </si>
  <si>
    <t>null@null___LOCAL@REMOTO___Custom_S_TS</t>
  </si>
  <si>
    <t>INCLUIR@EXCLUIR___INCLUIDO@EXCLUIDO___Enabled___INV_S_TC_SS</t>
  </si>
  <si>
    <t>INCLUIR@EXCLUIR___INCLUIDO@EXCLUIDO___Enabled___INV_S_TS_SS</t>
  </si>
  <si>
    <t>INCLUIR@EXCLUIR___INCLUIDO@EXCLUIDO___Enabled_D_TC</t>
  </si>
  <si>
    <t>null@null___AUTOM DESATIVADO@AUTOM ATIVADO___Custom_S_TS_SS</t>
  </si>
  <si>
    <t>INCLUIR@EXCLUIR___INCLUIDO@EXCLUIDO___Enabled_S_TC</t>
  </si>
  <si>
    <t>null@null___MANUAL DESATIVOU@MANUAL ATIVOU___Custom_S_TS_SS</t>
  </si>
  <si>
    <t>null@null___AUTOM DESATIVOU@AUTOM ATIVOU___Custom_S_TS_SS</t>
  </si>
  <si>
    <t>INCLUIR@EXCLUIR___INCLUIDO@EXCLUIDO___Enabled_S_TC_DS</t>
  </si>
  <si>
    <t>INCLUIR@EXCLUIR___INCLUIDO@EXCLUIDO___Enabled_S_TC_SA</t>
  </si>
  <si>
    <t>INCLUIR@EXCLUIR___INCLUIDO@EXCLUIDO___Enabled_S_TS_SA</t>
  </si>
  <si>
    <t>INCLUIR@EXCLUIR___INCLUIDO@EXCLUIDO___Enabled_S_TS_SB</t>
  </si>
  <si>
    <t>null@null___NORMAL@DISPARADO___Custom_S_TS</t>
  </si>
  <si>
    <t>Transit;NORMAL;DISPARADO;Error</t>
  </si>
  <si>
    <t>MESTRE@INDIVIDUAL___MESTRE@INDIVIDUAL___Custom_S_TS_SS_SCD</t>
  </si>
  <si>
    <t>;DESATIVADO;ATIVADO;</t>
  </si>
  <si>
    <t>;MESTRE;INDIVIDUAL;</t>
  </si>
  <si>
    <t>#FF00FF00;#FF00FF00;#00FF0000;#00000000</t>
  </si>
  <si>
    <t>Normal;Abnormal;Normal;Normal</t>
  </si>
  <si>
    <t>null@null___MANUAL DESATIVOU@MANUAL ATIVOU___Custom___INV_S_TS_SS</t>
  </si>
  <si>
    <t>MANUAL@AUTOMATICO___MANUAL@AUTOMATICO___Custom___INV_D_TC_SS</t>
  </si>
  <si>
    <t>null@MESTRE___DESATIVADO@ATIVADO___Custom_S_TS_SS</t>
  </si>
  <si>
    <t>;MESTRE;;</t>
  </si>
  <si>
    <t>Transit;EXCLUIDO;INCLUIDO;Error</t>
  </si>
  <si>
    <t>;EXCLUIR;INCLUIR;</t>
  </si>
  <si>
    <t>INCLUIR@EXCLUIR___INCLUIDO@EXCLUIDO___ReclosingEnabled___admsINV_S_TC_SS</t>
  </si>
  <si>
    <t>DI_BLOQUEAR@MANUAL@AUTOMATICO___BLOQUEADO@MANUAL@AUTOMATICO___Custom_D_TC_DS</t>
  </si>
  <si>
    <t>BLOQUEADO;MANUAL;AUTOMATICO;Erro</t>
  </si>
  <si>
    <t>DI_DIMINUIR@AUMENTAR___null@null___Custom_S_TC_DS</t>
  </si>
  <si>
    <t>DI_null@ZERAR___NORMAL@ZERADO___Custom_admsINV_S_TC</t>
  </si>
  <si>
    <t>Transit;NORMAL;ZERADO;Error</t>
  </si>
  <si>
    <t>;;ZERAR;</t>
  </si>
  <si>
    <t>DI_null@null___NORMAL@null___Custom_S_TC_DS</t>
  </si>
  <si>
    <t>;RESET ICC;;</t>
  </si>
  <si>
    <t>DI_null@null___NORMAL@FALTA___Custom_S_TS_DS</t>
  </si>
  <si>
    <t>DI_null@null___ABERTO@FECHADO___Custom_S_TS_DS</t>
  </si>
  <si>
    <t>DI_UNIDIRECIONAL@BIDIRECIONAL___UNIDIRECIONAL@BIDIRECIONAL___Custom_S_TC_DS</t>
  </si>
  <si>
    <t>Transit;UNIDIRECIONAL;BIDIRECIONAL;Error</t>
  </si>
  <si>
    <t>;UNIDIRECIONAL;BIDIRECIONAL;</t>
  </si>
  <si>
    <t>DI_null@RESET___NORMAL@ATUADO___Custom_S_TC_DS</t>
  </si>
  <si>
    <t>;;RESET;</t>
  </si>
  <si>
    <t>DI_DESATIVAR@ATIVAR___DESATIVADO@ATIVADO___Custom_S_TC_DS</t>
  </si>
  <si>
    <t>INCLUIR@EXCLUIR___INCLUIDO@EXCLUIDO___ReclosingEnabled___admsINV_S_TS_SS</t>
  </si>
  <si>
    <t>INCLUIR@EXCLUIR___INCLUIDO@EXCLUIDO___ReclosingEnabled___INV___admsINV_S_TC_SS</t>
  </si>
  <si>
    <t>INCLUIR@EXCLUIR___INCLUIDO@EXCLUIDO___ReclosingEnabled___INV___admsINV_S_TS_SS</t>
  </si>
  <si>
    <t>null@null___REMOTO@LOCAL___Custom___INV_D_TS_SS</t>
  </si>
  <si>
    <t>INCLUIR@EXCLUIR___INCLUIDO@EXCLUIDO___ReclosingEnabled___INV_S_TC</t>
  </si>
  <si>
    <t>DI_null@null___NORMAL@FALHA___Custom_S_TS_DS</t>
  </si>
  <si>
    <t>DI_null@null___NORMAL@ATUADO___Custom_S_TS_DS</t>
  </si>
  <si>
    <t>INCLUIR@EXCLUIR___INCLUIDO@EXCLUIDO___ReclosingEnabled___INV_S_TC_SS</t>
  </si>
  <si>
    <t>INCLUIR@EXCLUIR___INCLUIDO@EXCLUIDO___ReclosingEnabled_S_TC</t>
  </si>
  <si>
    <t>null@null___REMOTO@LOCAL___Custom___INV_S_TC</t>
  </si>
  <si>
    <t>INCLUIR@EXCLUIR___INCLUIDO@EXCLUIDO___ReclosingEnabled_S_TC_DS</t>
  </si>
  <si>
    <t>null@null___REMOTO@LOCAL___Custom___INV_S_TS</t>
  </si>
  <si>
    <t>null@null___NÃO PERMITIDO@PERMITIDO___Custom___INV_S_TS_SS</t>
  </si>
  <si>
    <t>null@null___NORMAL@ATUADO___RelayTrip_S_TS_SS</t>
  </si>
  <si>
    <t>null@null___REMOTO@LOCAL___Custom___INV_S_TS_SS</t>
  </si>
  <si>
    <t>null@null___BLOQUEADA@LIBERADA___Custom___INV_S_TS_SS</t>
  </si>
  <si>
    <t>null@null___REMOTO@LOCAL___Custom_D_TS</t>
  </si>
  <si>
    <t>null@null___NORMAL@BLOQUEIO___Custom_S_TS_SS</t>
  </si>
  <si>
    <t>MANUAL@AUTOMATICO___MANUAL@AUTOMATICO___Custom___INV_S_TS_SS</t>
  </si>
  <si>
    <t>DI_BLOQUEAR@MANUAL@AUTOMATICO___BLOQUEADO@MANUAL@AUTOMATICO___Custom___admsINV_D_TC_DS</t>
  </si>
  <si>
    <t>BLOQUEADO;MANUAL;AUTOMATICO;</t>
  </si>
  <si>
    <t>null@null___DESABILITOU@HABILITOU___Custom_S_TS</t>
  </si>
  <si>
    <t>Transit;DESABILITOU;HABILITOU;Error</t>
  </si>
  <si>
    <t>INCLUIR@EXCLUIR___INCLUIDO@EXCLUIDO___ReclosingEnabled_S_TC_SS</t>
  </si>
  <si>
    <t>null@null___REMOTO@LOCAL___Custom_S_TC</t>
  </si>
  <si>
    <t>INCLUIR@EXCLUIR___INCLUIDO@EXCLUIDO___ReclosingEnabled_S_TS_SS</t>
  </si>
  <si>
    <t>INCLUIR@null___INCLUIDO@EXCLUIDO___Custom_S_TC</t>
  </si>
  <si>
    <t>;INCLUIR;null;</t>
  </si>
  <si>
    <t>INCLUIR@null___INCLUIDO@EXCLUIDO___Enabled___INV_S_TC</t>
  </si>
  <si>
    <t>INCLUIR@null___INCLUIDO@EXCLUIDO___Enabled_S_TC</t>
  </si>
  <si>
    <t>;INCLUIR;;</t>
  </si>
  <si>
    <t>#FF000000;#FFA9A9A9;#FFA9A9A9;#FFA9A9A9</t>
  </si>
  <si>
    <t>;;EXCLUIR;</t>
  </si>
  <si>
    <t>null@null___INCLUIDO@EXCLUIDO___Custom___INV_S_TC</t>
  </si>
  <si>
    <t>null@null___INCLUIDO@EXCLUIDO___Custom___INV_S_TC_SS</t>
  </si>
  <si>
    <t>null@null___INCLUIDO@EXCLUIDO___Custom___INV_S_TS</t>
  </si>
  <si>
    <t>null@null___INCLUIDO@EXCLUIDO___Custom___INV_S_TS_SS</t>
  </si>
  <si>
    <t>null@null___INCLUIDO@EXCLUIDO___Custom_S_TC</t>
  </si>
  <si>
    <t>null@null___NORMAL@DISPARADO___Custom_S_TS_SA</t>
  </si>
  <si>
    <t>null@null___INCLUIDO@EXCLUIDO___Custom_S_TC_SS</t>
  </si>
  <si>
    <t>null@null___NORMAL@FALTA___Custom_S_TS_SS</t>
  </si>
  <si>
    <t>null@INDIVIDUAL___DESATIVADO@ATIVADO___Custom_S_TS_SS</t>
  </si>
  <si>
    <t>MESTRE@INDIVIDUAL@COMANDO___MESTRE@INDIVIDUAL@COMANDO___Custom___admsINV_D_TS_SS</t>
  </si>
  <si>
    <t>MESTRE;INDIVIDUAL;COMANDADO;ERROR</t>
  </si>
  <si>
    <t>null@null___INCLUIDO@EXCLUIDO___Custom_S_TS</t>
  </si>
  <si>
    <t>null@null___NORMAL@DISPARADO___Custom_S_TS_SP</t>
  </si>
  <si>
    <t>MESTRE@INDIVIDUAL@COMANDO___MESTRE@INDIVIDUAL@COMANDO___Custom___admsINV_D_TC_SS</t>
  </si>
  <si>
    <t>MESTRE;INDIVIDUAL;COMANDADO;Error</t>
  </si>
  <si>
    <t>1;2;4;8</t>
  </si>
  <si>
    <t>AUMENTAR@DIMINUIR___null@null___TapIncrement_S_TS_SS</t>
  </si>
  <si>
    <t>null@null___REMOTO@LOCAL___Custom_S_TS</t>
  </si>
  <si>
    <t>null@null___INCLUIDO@EXCLUIDO___Enabled___admsINV_S_TS_SB</t>
  </si>
  <si>
    <t>null@null___INCLUIDO@EXCLUIDO___Enabled___admsINV_S_TS_SS</t>
  </si>
  <si>
    <t>null@null___REMOTO@LOCAL___Custom_S_TS_DS</t>
  </si>
  <si>
    <t>null@null___INCLUIDO@EXCLUIDO___Enabled___INV_S_TS</t>
  </si>
  <si>
    <t>MANUAL@AUTOMATICO___MANUAL@AUTOMATICO___Custom___INV_S_TC_SS</t>
  </si>
  <si>
    <t>DESATIVAR@ATIVAR___DESATIVADO@ATIVADO___Custom_S_TS_SS</t>
  </si>
  <si>
    <t>AUTOMATICO@MANUAL___AUTOMATICO@MANUAL___Custom___INV___admsINV_S_TS_SS</t>
  </si>
  <si>
    <t>DESBLOQUEAR@BLOQUEAR___NORMAL@BLOQUEADA___Enabled___admsINV_S_TS_SS</t>
  </si>
  <si>
    <t>RELIGADOR@ALTERNATIVO___null@null___Custom_S_TS_SS</t>
  </si>
  <si>
    <t>null@null___INCLUIDO@EXCLUIDO___Enabled_S_TS</t>
  </si>
  <si>
    <t>DI_DESBLOQUEAR@BLOQUEAR___DESBLOQUEADO@BLOQUEADO___Custom___admsINV_D_TC_DS</t>
  </si>
  <si>
    <t>Erro;DESBLOQUEADO;BLOQUEADO;Transit</t>
  </si>
  <si>
    <t>3;0;1;2</t>
  </si>
  <si>
    <t>;;BLOQUEAR;</t>
  </si>
  <si>
    <t>#FF000000;#FFFF0000;#FF00FF00;#FF00FF00</t>
  </si>
  <si>
    <t>DI_MANUAL@AUTOMATICO___MANUAL@AUTOMATICO___Custom___admsINV_D_TC_DS</t>
  </si>
  <si>
    <t>Erro;MANUAL;AUTOMATICO;Transit</t>
  </si>
  <si>
    <t>3;1;2;0</t>
  </si>
  <si>
    <t>#FF000000;#FF00FF00;#FF00FF00;#FFFF0000</t>
  </si>
  <si>
    <t>null@ATIVAR___DESATIVADO@ATIVADO___Custom___INV_S_TC_SS</t>
  </si>
  <si>
    <t>AUTOMATICO@MANUAL___AUTOMATICO@MANUAL___Custom___admsINV_S_TS_SS</t>
  </si>
  <si>
    <t>RELIGADOR@ALTERNATIVO___null@null___Custom_D_TC_SS</t>
  </si>
  <si>
    <t>null@null___REMOTO@LOCAL___Local___INV_S_TS</t>
  </si>
  <si>
    <t>null@null___INCLUIDO@EXCLUIDO___Enabled_S_TS_SB</t>
  </si>
  <si>
    <t>null@null___LIGADO@DESLIGADO___Custom___INV_S_TS_SS</t>
  </si>
  <si>
    <t>DESATIVAR@ATIVAR___DESATIVADO@ATIVADO___Custom___INV_S_TS_SS</t>
  </si>
  <si>
    <t>DESATIVAR@ATIVAR___NORMAL DESATIVADO@NORMAL ATIVADO___Custom___admsINV_S_TS_SS</t>
  </si>
  <si>
    <t>null@null___PARALELO@INDIVIDUAL___Custom_S_TS</t>
  </si>
  <si>
    <t>null@ATIVAR___DESATIVADO@ATIVADO___Custom___INV_S_TC_SSx</t>
  </si>
  <si>
    <t>Alarme de Estado em Ponto Telecontrolado SSx</t>
  </si>
  <si>
    <t>RELIGADOR@CHAVE___RELIGADOR@CHAVE___Custom_D_TC_SS</t>
  </si>
  <si>
    <t>null@null___AUTOM DESATIVADO@AUTOM ATIVOU___Custom___INV_S_TS_SS</t>
  </si>
  <si>
    <t>Transit;AUTOM DESATIVADO;AUTOM ATIVOU;Error</t>
  </si>
  <si>
    <t>@___@____S_TS_SS</t>
  </si>
  <si>
    <t>null@null___AUTOM DESATIVADO@AUTOM ATIVOU___Custom_S_TS_SS</t>
  </si>
  <si>
    <t>null@null___DESABILITOU@HABILITOU___Custom_S_TS_SV</t>
  </si>
  <si>
    <t>MESTRE@INDIVIDUAL@COMANDADO___MESTRE@INDIVIDUAL@COMANDADO___Custom___D_TS_SS</t>
  </si>
  <si>
    <t>#FFFF0000;#FFFF0000;#FFFF0000;#FFA9A9A9</t>
  </si>
  <si>
    <t>MESTRE@INDIVIDUAL@COMANDO___MESTRE@INDIVIDUAL@COMANDO___Custom___INV___admsINV_D_TS_SS</t>
  </si>
  <si>
    <t>MESTRE@INDIVIDUAL@COMANDADO___MESTRE@INDIVIDUAL@COMANDADO___Custom___INV___D_TS_SS</t>
  </si>
  <si>
    <t>INDIVIDUAL;MESTRE;COMANDADO;Error</t>
  </si>
  <si>
    <t>null@ATIVAR___DESATIVADO@ATIVADO___Custom_S_TC_SS</t>
  </si>
  <si>
    <t>null@null___HABILITADO@DESABILITADO___Custom_S_TS</t>
  </si>
  <si>
    <t>Error;HABILITADO;DESABILITADO;Transit</t>
  </si>
  <si>
    <t>null@ATIVAR___NORMAL DESATIVADO@NORMAL ATIVADO___Custom___admsINV_S_TC_SS</t>
  </si>
  <si>
    <t>null@DESABILITAR___null@null__Enabled_S_TC_SS</t>
  </si>
  <si>
    <t>;;;Error</t>
  </si>
  <si>
    <t>;;DESABILITAR;</t>
  </si>
  <si>
    <t>#00000000;#00000000;#00000000;#FFA9A9A9</t>
  </si>
  <si>
    <t>null@null___AUTOMATICO@MANUAL___Custom___INV_S_TS_SS</t>
  </si>
  <si>
    <t>null@null@null___MESTRE@INDIVIDUAL@COMANDO___Custom___admsINV_D_TS_SS</t>
  </si>
  <si>
    <t>MESTRE;COMANDADO;INDIVIDUAL;Error</t>
  </si>
  <si>
    <t>MESTRE;;;</t>
  </si>
  <si>
    <t>#FFFF0000;#FFFF0000;#FFFF0000;#FF000000</t>
  </si>
  <si>
    <t>MESTRE@INDIVIDUAL@COMANDO___null@null@null___Custom___admsINV_D_TC_SS</t>
  </si>
  <si>
    <t>null@null___LIBERADO@BLOQUEADO___Custom___INV_S_TS_SS</t>
  </si>
  <si>
    <t>null@null___OPERANDO@BLOQUEADO___Custom_S_TS_SS</t>
  </si>
  <si>
    <t>null@null___HABILITADO@DESABILITADO___Custom_S_TS_SA</t>
  </si>
  <si>
    <t>Transit;HABILITADO;DESABILITADO;Error</t>
  </si>
  <si>
    <t>G1@G2___DESATIVADO@ATIVADO___Custom_S_TS_SS</t>
  </si>
  <si>
    <t>null@null___INCLUIDO@EXCLUIDO___INV___Local_S_TS_SS</t>
  </si>
  <si>
    <t>null@null___DESATIVADA@ATIVADA___Custom_S_TS_SS</t>
  </si>
  <si>
    <t>Transit;DESATIVADA;ATIVADA;Error</t>
  </si>
  <si>
    <t>null@null___INCLUIDO@EXCLUIDO___Local___INV_S_TS</t>
  </si>
  <si>
    <t>null@null___REMOTO@LOCAL___Local_S_TS</t>
  </si>
  <si>
    <t>null@null@null___INDIVIDUAL@MESTRE@COMANDADO___Custom___admsINV__CDCO_D_TC_SS</t>
  </si>
  <si>
    <t>INDIVIDUAL@MESTRE___null@null___Custom___admsINV__CDCO_D_TC_SS_CTRL</t>
  </si>
  <si>
    <t>INDIVIDUAL;MESTRE;;</t>
  </si>
  <si>
    <t>#FF000000;#FF000000;#FF000000;#FF000000</t>
  </si>
  <si>
    <t>RELIGADOR@ALTERNATIVO___null@null___Custom_S_TC_SS</t>
  </si>
  <si>
    <t>DI_UNIDIRECIONAL@BIDIRECIONAL___UNIDIRECIONAL@BIDIRECIONAL___Custom_S_TC_DSx</t>
  </si>
  <si>
    <t>Alarme de Estado em Ponto Telecontrolado DSx</t>
  </si>
  <si>
    <t>DI_null@RESET___NORMAL@ATUADO___Custom_S_TC_DSx</t>
  </si>
  <si>
    <t>DI_null@null___NORMAL@FALTA___Custom_S_TS_DSx</t>
  </si>
  <si>
    <t>Alarme de Estado em Ponto Telessinalizado DSx</t>
  </si>
  <si>
    <t>G1@G2___DESATIVADO@ATIVADO___Custom_S_TS_SSx</t>
  </si>
  <si>
    <t>Alarme de Estado em Ponto Telessinalizado SSx</t>
  </si>
  <si>
    <t>DI_MANUAL@AUTOMATICO___MANUAL@AUTOMATICO___Custom___admsINV_D_TC_DSx</t>
  </si>
  <si>
    <t>DI_DIMINUIR@AUMENTAR___null@null___Custom_S_TC_DSx</t>
  </si>
  <si>
    <t>DI_DESATIVAR@ATIVAR___DESATIVADO@ATIVADO___Custom_S_TC_DSx</t>
  </si>
  <si>
    <t>DI_null@null___ABERTO@FECHADO___Custom_S_TS_DSx</t>
  </si>
  <si>
    <t>AUMENTAR@DIMINUIR___null@null___TapIncrement_Sinv_TC_SS</t>
  </si>
  <si>
    <t>MESTRE@INDIVIDUAL@COMANDADO___MESTRE@INDIVIDUAL@COMANDADO___Custom___INV___2414_TS_SS</t>
  </si>
  <si>
    <t>0;2;4;8</t>
  </si>
  <si>
    <t>INDIVIDUAL@MESTRE___null@null___Custom___admsINV__CDCO_D_TC_SS_CTRL_vnb</t>
  </si>
  <si>
    <t>INDIVIDUAL;</t>
  </si>
  <si>
    <t>0;1</t>
  </si>
  <si>
    <t>MESTRE;INDIVIDUAL</t>
  </si>
  <si>
    <t>#FF000000;#FF000000</t>
  </si>
  <si>
    <t>Normal;Normal</t>
  </si>
  <si>
    <t>TRUE;TRUE</t>
  </si>
  <si>
    <t>DI_null@null___NORMAL@FALHA___Custom_Sinv_TS_DS</t>
  </si>
  <si>
    <t>PARALELO@INDIVIDUAL___PARALELO@INDIVIDUAL___Custom_S_TS_SS</t>
  </si>
  <si>
    <t>Transit;INDIVIDUAL;PARALELO;Error</t>
  </si>
  <si>
    <t>;INDIVIDUAL;PARALELO;</t>
  </si>
  <si>
    <t>TROCA@null___null@null___Custom_S_TC_SS</t>
  </si>
  <si>
    <t>DI_null@null___UNIDIRECIONAL@BIDIRECIONAL___Custom_S_TC_DS</t>
  </si>
  <si>
    <t>CMD - UNIDIRECIONAL/BIDIRECIONAL</t>
  </si>
  <si>
    <t>DI_null@null___UNIDIRECIONAL@BIDIRECIONALBLOQ___Custom_S_TC_DS</t>
  </si>
  <si>
    <t>CMD - BIDIRECIONAL BLOQ. I=0</t>
  </si>
  <si>
    <t>;UNIDIRECIONAL;BIDIRECIONAL BLOQ. I=0;</t>
  </si>
  <si>
    <t>DI_null@null___UNIDIRECIONAL@COGERACAO___Custom_S_TC_DS</t>
  </si>
  <si>
    <t>CMD - COGERAÇÃO</t>
  </si>
  <si>
    <t>;UNIDIRECIONAL;COGERAÇÃO;</t>
  </si>
  <si>
    <t>DI_null@null___UNIDIRECIONAL@BIDIRECIONALI=0___Custom_S_TC_DS</t>
  </si>
  <si>
    <t>CMD - BIDIRECIONAL I=0</t>
  </si>
  <si>
    <t>;UNIDIRECIONAL;BIDIRECIONAL I=0;</t>
  </si>
  <si>
    <t>DI_null@RESETRUA___null@null___Custom_S_TC_DSx</t>
  </si>
  <si>
    <t>RESET RUA</t>
  </si>
  <si>
    <t>;;RESET RUA;</t>
  </si>
  <si>
    <t>;ZERAR;;</t>
  </si>
  <si>
    <t>null@null___INCLUIDO@EXCLUIDO___Local___INV_S_TS_SS</t>
  </si>
  <si>
    <t>null@null___INCLUIDO@EXCLUIDO___Local_D_TS</t>
  </si>
  <si>
    <t>null@null___INCLUIDO@EXCLUIDO___Local_D_TS_SS</t>
  </si>
  <si>
    <t>null@null___INCLUIDO@EXCLUIDO___Local_S_TS</t>
  </si>
  <si>
    <t>null@null___INCLUIDO@EXCLUIDO___ReclosingEnabled___admsINV_S_TS_SS</t>
  </si>
  <si>
    <t>null@null___INCLUIDO@EXCLUIDO___ReclosingEnabled___INV___admsINV_S_TS_SS</t>
  </si>
  <si>
    <t>null@null___INCLUIDO@EXCLUIDO___ReclosingEnabled___INV_S_TS</t>
  </si>
  <si>
    <t>null@null___INCLUIDO@EXCLUIDO___ReclosingEnabled___INV_S_TS_SS</t>
  </si>
  <si>
    <t>null@null___INCLUIDO@EXCLUIDO___ReclosingEnabled_S_TS</t>
  </si>
  <si>
    <t>null@null___INCLUIDO@EXCLUIDO___ReclosingEnabled_S_TS_SS</t>
  </si>
  <si>
    <t>DESLIGAR@LIGAR___DESLIGADO@LIGADO___SwitchStatus_S_TC_ST</t>
  </si>
  <si>
    <t>Alarme de Estado em Ponto Telecontrolado ST</t>
  </si>
  <si>
    <t>ABRIR@FECHAR___ABERTO@FECHADO___SwitchStatus_S_TC_ST</t>
  </si>
  <si>
    <t>Switch.SwitchStatus</t>
  </si>
  <si>
    <t>#00000000;#FF00FF00;#FFFF0000;#00000000</t>
  </si>
  <si>
    <t>RegulatingControl.Enabled</t>
  </si>
  <si>
    <t>Error;DISABLED;ENABLED;Transit</t>
  </si>
  <si>
    <t>;DISABLE;ENABLE;</t>
  </si>
  <si>
    <t>#00000000;#00FF0000;#0000FF00;#00000000</t>
  </si>
  <si>
    <t>Fuse.SwitchStatus</t>
  </si>
  <si>
    <t>#00000000;#0000FF00;#00FF0000;#00000000</t>
  </si>
  <si>
    <t>ProtectionEquipment.Enabled</t>
  </si>
  <si>
    <t>ProtectionEquipment.ReclosingEnabled</t>
  </si>
  <si>
    <t>Reclosing.Enabled</t>
  </si>
  <si>
    <t>;DESABILITAR;HABILITAR;</t>
  </si>
  <si>
    <t>RegulatingControl.Refresh</t>
  </si>
  <si>
    <t>Error;Refresh;HeartBeat;Transit</t>
  </si>
  <si>
    <t>;Refresh;HeartBeat;</t>
  </si>
  <si>
    <t>FaultIndicator.FaultStatus</t>
  </si>
  <si>
    <t>Error;Open;Closed;Transit</t>
  </si>
  <si>
    <t>;Open;Close;</t>
  </si>
  <si>
    <t>DI_ANTENA</t>
  </si>
  <si>
    <t>OMNI;OMNI AMP;DIRECIONAL;DIREC AMP;RESERVADO;INDEFINIDO</t>
  </si>
  <si>
    <t>0;1;2;3;4;5</t>
  </si>
  <si>
    <t>#00A9A9A9;#00A9A9A9;#00A9A9A9;#00A9A9A9;#00A9A9A9;#00A9A9A9</t>
  </si>
  <si>
    <t>Normal;Normal;Normal;Normal;Normal;Normal</t>
  </si>
  <si>
    <t>FALSE;FALSE;FALSE;FALSE;FALSE;FALSE</t>
  </si>
  <si>
    <t>DI_MODEM</t>
  </si>
  <si>
    <t>ATIVA HORIZON;UTW;V2COM;ROBUSTEL;SILVER SPRING;ATIVA;VELP;DWF;INDEFINIDO</t>
  </si>
  <si>
    <t>0;1;2;3;4;5;6;7;8</t>
  </si>
  <si>
    <t>#00A9A9A9;#00A9A9A9;#00A9A9A9;#00A9A9A9;#00A9A9A9;#00A9A9A9;#00A9A9A9;#00A9A9A9;#00000000</t>
  </si>
  <si>
    <t>Normal;Normal;Normal;Normal;Normal;Normal;Normal;Normal;Normal</t>
  </si>
  <si>
    <t>FALSE;FALSE;FALSE;FALSE;FALSE;FALSE;FALSE;FALSE;TRUE</t>
  </si>
  <si>
    <t>null@null___HABILITADO@DESABILITADO___Custom_S_TS_SS</t>
  </si>
  <si>
    <t>Reclosing.Enabled.Manual</t>
  </si>
  <si>
    <t>DI_RT_OPER_FLUXO</t>
  </si>
  <si>
    <t>BIDIRECIONAL;UNIDIRECIONAL;BIDIRECIONAL BLOQ. (I=0);;COGERAÇÃO;;;;BIDIRECIONAL;;;;;;;</t>
  </si>
  <si>
    <t>0;1;2;3;4;5;6;7;8;9;10;11;12;13;14;15</t>
  </si>
  <si>
    <t>;;;;;;;;;;;;;;;</t>
  </si>
  <si>
    <t>#00A9A9A9;#00A9A9A9;#00A9A9A9;#00A9A9A9;#00A9A9A9;#00A9A9A9;#00A9A9A9;#00A9A9A9;#00000000;#00000000;#00000000;#00000000;#00000000;#00000000;#00000000;#00000000</t>
  </si>
  <si>
    <t>Normal;Normal;Normal;Normal;Normal;Abnormal;Abnormal;Abnormal;Normal;Abnormal;Abnormal;Abnormal;Abnormal;Abnormal;Abnormal;Abnormal</t>
  </si>
  <si>
    <t>TRUE;TRUE;TRUE;FALSE;TRUE;FALSE;FALSE;FALSE;TRUE;TRUE;TRUE;TRUE;TRUE;TRUE;TRUE;TRUE</t>
  </si>
  <si>
    <t>null@null___23kV@13,8kV___Custom_S_TS</t>
  </si>
  <si>
    <t>Error;23kV;13,8kV;Transit</t>
  </si>
  <si>
    <t>null@null___138kV@69kV___Custom_S_TS</t>
  </si>
  <si>
    <t>Error;138kV;69kV;Transit</t>
  </si>
  <si>
    <t>UTILIZAÇÃO</t>
  </si>
  <si>
    <t>SIGLA</t>
  </si>
  <si>
    <t>COLORAÇÃO SUMÁRIO</t>
  </si>
  <si>
    <t>USO</t>
  </si>
  <si>
    <t>TEXTO</t>
  </si>
  <si>
    <t>ALARME EMERGENCIAL MUST (105%)</t>
  </si>
  <si>
    <t>ALISUP EMER MUST</t>
  </si>
  <si>
    <t>ALARME CONTRATADO MUST (100%)</t>
  </si>
  <si>
    <t>ALISUP CONTR MUST</t>
  </si>
  <si>
    <t>ESTADO DJs (exceto BC) - EVENTO</t>
  </si>
  <si>
    <t>ALESTC</t>
  </si>
  <si>
    <t>DRET, DR, Alarmes limites VCC, Bobinas e circuitos de abertura e fechamento</t>
  </si>
  <si>
    <t>ALESTS</t>
  </si>
  <si>
    <t>TRIP: PROTEÇÕES: 86, 50, 51, 26, 49, 27, 87, 20, 63, ...</t>
  </si>
  <si>
    <t>ALESTS/ALESTC</t>
  </si>
  <si>
    <t>ALARMES PREDIAIS, PORTAS, SENSOR DE PRESENÇA E DEFUMAÇA; VF</t>
  </si>
  <si>
    <t>ESTADO DJs BC / ESTADO SECCIONADORAS</t>
  </si>
  <si>
    <t>FALHA DE COMUNICAÇÃO (RELÉS); FALHA VF; FALHA VCC</t>
  </si>
  <si>
    <t>43TC, 43LR, PERMISSÃO DE PARALELISMO</t>
  </si>
  <si>
    <t>ST</t>
  </si>
  <si>
    <t>FALHA DE COMUNICAÇÃO (UTR)</t>
  </si>
  <si>
    <t>UTRRES</t>
  </si>
  <si>
    <t>COMANDO VARREDURA</t>
  </si>
  <si>
    <t>CNEXEC</t>
  </si>
  <si>
    <t>FALHA DE CONEXÃO (LINK)</t>
  </si>
  <si>
    <t>LNKNR</t>
  </si>
  <si>
    <t>-</t>
  </si>
  <si>
    <t>COMANDOS</t>
  </si>
  <si>
    <t>COPER</t>
  </si>
  <si>
    <t>LIMITE DE DADOS EMERGENCIAL (Tensões/Corrente)</t>
  </si>
  <si>
    <t>ALISUP EMER/CEXSIM</t>
  </si>
  <si>
    <t>LIMITE DE DADOS OPERACIONAL (Tensões/Corrente)</t>
  </si>
  <si>
    <t>ALISUP OPER/CEXSIM</t>
  </si>
  <si>
    <t>ATUALIZAÇÃO DE EQUIPES E PLANOS DE MANOBRAS</t>
  </si>
  <si>
    <t>EXECUÇÃO DE COMANDOS COM SUCESSO</t>
  </si>
  <si>
    <t>CEXEC</t>
  </si>
  <si>
    <t>LIMITE DE DADOS OPERACIONAL (Tensões)</t>
  </si>
  <si>
    <t>ALISUP EMER</t>
  </si>
  <si>
    <t>LIMITE DE DADOS EMERGENCIAL (Tensões)</t>
  </si>
  <si>
    <t>ALISUP OPER</t>
  </si>
  <si>
    <t>ALARME OPERACIONAL MUST (95%)</t>
  </si>
  <si>
    <t>ALISUP OPER MUST</t>
  </si>
  <si>
    <t>ALARME DE FATOR DE POTÊNCIA</t>
  </si>
  <si>
    <t>ALIFP</t>
  </si>
  <si>
    <t>ALARME DE POTÊNCIA (Sobrecarga)</t>
  </si>
  <si>
    <t>ALISUP EMER/OPER</t>
  </si>
  <si>
    <t>Informações dos servidores e máquinas</t>
  </si>
  <si>
    <t>RECONHECIMENTO/ARQUIVAMENTO ALARMES</t>
  </si>
  <si>
    <t>DETALHADO</t>
  </si>
  <si>
    <t>RESUMIDO</t>
  </si>
  <si>
    <t>TEMPERATURA OLEO 2</t>
  </si>
  <si>
    <t>trocar pra vca</t>
  </si>
  <si>
    <t xml:space="preserve">trocar pra v </t>
  </si>
  <si>
    <t>trocar para V, nos TSA</t>
  </si>
  <si>
    <t>ver na UTR</t>
  </si>
  <si>
    <t>Pendência</t>
  </si>
  <si>
    <t xml:space="preserve">61 - CORRENTE DE DESEQUILIBRO </t>
  </si>
  <si>
    <t>Tensão</t>
  </si>
  <si>
    <t>L1 L2 L3</t>
  </si>
  <si>
    <t>L1</t>
  </si>
  <si>
    <t>L2</t>
  </si>
  <si>
    <t>L3</t>
  </si>
  <si>
    <t>kV</t>
  </si>
  <si>
    <t>Serviço auxiliar</t>
  </si>
  <si>
    <t>Temperatura</t>
  </si>
  <si>
    <t>Corrente</t>
  </si>
  <si>
    <t>Gravador de Falha</t>
  </si>
  <si>
    <t>Valor Medido</t>
  </si>
  <si>
    <t>Ângulo de Tensão</t>
  </si>
  <si>
    <t>Grau</t>
  </si>
  <si>
    <t>Contagem de Operação</t>
  </si>
  <si>
    <t>Discreto</t>
  </si>
  <si>
    <t>Comprimento</t>
  </si>
  <si>
    <t>Km</t>
  </si>
  <si>
    <t>Fator de Potência</t>
  </si>
  <si>
    <t>Padrão</t>
  </si>
  <si>
    <t>Frequência</t>
  </si>
  <si>
    <t>Hz</t>
  </si>
  <si>
    <t>Potência Aparente</t>
  </si>
  <si>
    <t>Potência Ativa</t>
  </si>
  <si>
    <t>Potência Reativa</t>
  </si>
  <si>
    <t>MVA</t>
  </si>
  <si>
    <t>MW</t>
  </si>
  <si>
    <t>MVAR</t>
  </si>
  <si>
    <t>FUNCIONAMENTO</t>
  </si>
  <si>
    <t>L1 L2</t>
  </si>
  <si>
    <t>L2 L3</t>
  </si>
  <si>
    <t>L1 L3</t>
  </si>
  <si>
    <t>Umidade</t>
  </si>
  <si>
    <t>%</t>
  </si>
  <si>
    <t>OK</t>
  </si>
  <si>
    <t>LDF</t>
  </si>
  <si>
    <t>LOCALIZADOR DE FALTA</t>
  </si>
  <si>
    <t>FUNCAO AUTOMATISMO</t>
  </si>
  <si>
    <t>AUTC</t>
  </si>
  <si>
    <t>2063</t>
  </si>
  <si>
    <t>21</t>
  </si>
  <si>
    <t>24</t>
  </si>
  <si>
    <t>2649</t>
  </si>
  <si>
    <t>27</t>
  </si>
  <si>
    <t>2759</t>
  </si>
  <si>
    <t>32</t>
  </si>
  <si>
    <t>46</t>
  </si>
  <si>
    <t>5161</t>
  </si>
  <si>
    <t>59</t>
  </si>
  <si>
    <t>61</t>
  </si>
  <si>
    <t>67</t>
  </si>
  <si>
    <t>71</t>
  </si>
  <si>
    <t>79</t>
  </si>
  <si>
    <t>81</t>
  </si>
  <si>
    <t>85</t>
  </si>
  <si>
    <t>86</t>
  </si>
  <si>
    <t>8751</t>
  </si>
  <si>
    <t>87</t>
  </si>
  <si>
    <t>8750</t>
  </si>
  <si>
    <t>94</t>
  </si>
  <si>
    <t>FALTA VCA PAINEL MEDICAO</t>
  </si>
  <si>
    <t>VCAM</t>
  </si>
  <si>
    <t>Confirmar o funcionamento; ponto diferente do padrão.</t>
  </si>
  <si>
    <t>27 - BLOQUEIO SUBTENSAO CDC</t>
  </si>
  <si>
    <t>90 - POSICAO COMANDADO</t>
  </si>
  <si>
    <t xml:space="preserve">25 - CHAVE LOCAL REMOTO RELE 25 </t>
  </si>
  <si>
    <t>20T87T</t>
  </si>
  <si>
    <t>21_1</t>
  </si>
  <si>
    <t>21_2</t>
  </si>
  <si>
    <t>21_3</t>
  </si>
  <si>
    <t>21_4</t>
  </si>
  <si>
    <t>2646_T</t>
  </si>
  <si>
    <t>2649T</t>
  </si>
  <si>
    <t>27_1</t>
  </si>
  <si>
    <t>27_2</t>
  </si>
  <si>
    <t>27_B</t>
  </si>
  <si>
    <t>27L</t>
  </si>
  <si>
    <t>50B1</t>
  </si>
  <si>
    <t>50B2</t>
  </si>
  <si>
    <t>59_1</t>
  </si>
  <si>
    <t>59_2</t>
  </si>
  <si>
    <t>5CDC</t>
  </si>
  <si>
    <t>63CT</t>
  </si>
  <si>
    <t>67EX</t>
  </si>
  <si>
    <t>67T1</t>
  </si>
  <si>
    <t>67T2</t>
  </si>
  <si>
    <t>81_1</t>
  </si>
  <si>
    <t>81_2</t>
  </si>
  <si>
    <t>81_TRIP</t>
  </si>
  <si>
    <t>86BFCC</t>
  </si>
  <si>
    <t>86T</t>
  </si>
  <si>
    <t>87RF</t>
  </si>
  <si>
    <t>VERIFICAR</t>
  </si>
  <si>
    <t>ABRE</t>
  </si>
  <si>
    <t>AJ81U1</t>
  </si>
  <si>
    <t>AJ81U2</t>
  </si>
  <si>
    <t>AJ81U3</t>
  </si>
  <si>
    <t>AJ81U4</t>
  </si>
  <si>
    <t>AJ81U5</t>
  </si>
  <si>
    <t>BAFU</t>
  </si>
  <si>
    <t>BASD</t>
  </si>
  <si>
    <t>BB</t>
  </si>
  <si>
    <t>BFCC</t>
  </si>
  <si>
    <t>BLQR</t>
  </si>
  <si>
    <t>CAA2</t>
  </si>
  <si>
    <t>CAA5</t>
  </si>
  <si>
    <t>CCCFA1</t>
  </si>
  <si>
    <t>CDCA</t>
  </si>
  <si>
    <t>CDCL</t>
  </si>
  <si>
    <t>CDCO_CTRL</t>
  </si>
  <si>
    <t>CDMA</t>
  </si>
  <si>
    <t>COMANDADO</t>
  </si>
  <si>
    <t>DFT1</t>
  </si>
  <si>
    <t>DJRT</t>
  </si>
  <si>
    <t>DSA1</t>
  </si>
  <si>
    <t>DSA2</t>
  </si>
  <si>
    <t>FCAMB</t>
  </si>
  <si>
    <t>FCM1</t>
  </si>
  <si>
    <t>FCM2</t>
  </si>
  <si>
    <t>FCSPS</t>
  </si>
  <si>
    <t>INDIVIDUAL</t>
  </si>
  <si>
    <t>LDFD</t>
  </si>
  <si>
    <t>LIBF</t>
  </si>
  <si>
    <t>LMFA</t>
  </si>
  <si>
    <t>MDTF</t>
  </si>
  <si>
    <t>MENB</t>
  </si>
  <si>
    <t>MESTRE</t>
  </si>
  <si>
    <t>OIBP</t>
  </si>
  <si>
    <t>PRTA</t>
  </si>
  <si>
    <t>RELD</t>
  </si>
  <si>
    <t>RTLG</t>
  </si>
  <si>
    <t>SECPT</t>
  </si>
  <si>
    <t>SOBR</t>
  </si>
  <si>
    <t>TOED1</t>
  </si>
  <si>
    <t>TOED2</t>
  </si>
  <si>
    <t>TPEX</t>
  </si>
  <si>
    <t>TR87</t>
  </si>
  <si>
    <t>TRIPE</t>
  </si>
  <si>
    <t>TRIPEXT</t>
  </si>
  <si>
    <t>MANUT</t>
  </si>
  <si>
    <t>FVBA</t>
  </si>
  <si>
    <t>2649_T</t>
  </si>
  <si>
    <t>G1_G2</t>
  </si>
  <si>
    <t>61A</t>
  </si>
  <si>
    <t>DRT3</t>
  </si>
  <si>
    <t>DEFEITO RELE MONITORAMENTO DE TEMPERATURA 3</t>
  </si>
  <si>
    <t>FCRHT</t>
  </si>
  <si>
    <t>FALTA VCC OU MOLA</t>
  </si>
  <si>
    <t>71 - NIVEL OLEO</t>
  </si>
  <si>
    <t>LIGAR</t>
  </si>
  <si>
    <t>DESLIGAR</t>
  </si>
  <si>
    <t>COMANDO DESLIGAR</t>
  </si>
  <si>
    <t>COMANDO LIGAR</t>
  </si>
  <si>
    <t>BMBO</t>
  </si>
  <si>
    <t>BBFL</t>
  </si>
  <si>
    <t>BPLI</t>
  </si>
  <si>
    <t>BOMB</t>
  </si>
  <si>
    <t>FLBB</t>
  </si>
  <si>
    <t>FALHA BOMBAS OLEO</t>
  </si>
  <si>
    <t>FALHA FLUXO DE OLEO BOMBA</t>
  </si>
  <si>
    <t>C13</t>
  </si>
  <si>
    <t>CHAVE SELETORA 13 KV</t>
  </si>
  <si>
    <t>C23</t>
  </si>
  <si>
    <t>CHAVE SELETORA 23 KV</t>
  </si>
  <si>
    <t>C69</t>
  </si>
  <si>
    <t>C138</t>
  </si>
  <si>
    <t>CHAVE SELETORA 138 KV</t>
  </si>
  <si>
    <t>CHAVE SELETORA 69 KV</t>
  </si>
  <si>
    <t>VF3</t>
  </si>
  <si>
    <t>VENTILACAO FORCADA 3</t>
  </si>
  <si>
    <t>VENTILACAO FORCADA 4</t>
  </si>
  <si>
    <t>VF4</t>
  </si>
  <si>
    <t>FVF3</t>
  </si>
  <si>
    <t>FVF4</t>
  </si>
  <si>
    <t>FALHA VENTILACAO FORCADA 3</t>
  </si>
  <si>
    <t>FALHA VENTILACAO FORCADA 4</t>
  </si>
  <si>
    <t>ESTADO BOMBA OLEO</t>
  </si>
  <si>
    <t>FLAR</t>
  </si>
  <si>
    <t>FALHA FLUXO AR</t>
  </si>
  <si>
    <t>VFTP</t>
  </si>
  <si>
    <t>TRIP FALHA REFRIGERACAO</t>
  </si>
  <si>
    <t>OFL</t>
  </si>
  <si>
    <t>25 - DIFERENCA ANGULO</t>
  </si>
  <si>
    <t>25 - DIFERENCA FREQUENCIA</t>
  </si>
  <si>
    <t>25 - DIFERENCA TENSAO</t>
  </si>
  <si>
    <t>VDIF</t>
  </si>
  <si>
    <t>ADIF</t>
  </si>
  <si>
    <t>FDIF</t>
  </si>
  <si>
    <t>TENSAO FASE AB - LADO FONTE</t>
  </si>
  <si>
    <t>TENSAO FASE BC - LADO FONTE</t>
  </si>
  <si>
    <t>TENSAO FASE CA - LADO FONTE</t>
  </si>
  <si>
    <t>VABX</t>
  </si>
  <si>
    <t>VBCX</t>
  </si>
  <si>
    <t>VCAX</t>
  </si>
  <si>
    <t>TENSAO FASE AB - LADO CARGA</t>
  </si>
  <si>
    <t>TENSAO FASE BC - LADO CARGA</t>
  </si>
  <si>
    <t>TENSAO FASE CA - LADO CARGA</t>
  </si>
  <si>
    <t>TENSAO FASE AB</t>
  </si>
  <si>
    <t>TENSAO FASE BC</t>
  </si>
  <si>
    <t>TENSAO FASE CA</t>
  </si>
  <si>
    <t>FCMM</t>
  </si>
  <si>
    <t>TSCO</t>
  </si>
  <si>
    <t>TEMPERATURA SALA DE COMANDO</t>
  </si>
  <si>
    <t>CCIC</t>
  </si>
  <si>
    <t>CHAVE DE COMANDO ICCP</t>
  </si>
  <si>
    <t>CMD_RGE@null___RGE@CPFLT___Custom_S_TC_SS_CPFLT</t>
  </si>
  <si>
    <t>TAL</t>
  </si>
  <si>
    <t>TAL - FUNCAO TRANSFERENCIA AUTOMATICA DE LINHA</t>
  </si>
  <si>
    <t>TPPM</t>
  </si>
  <si>
    <t>TPPM - FUNCAO TRANSFERENCIA COM PARALELISMO MOMENTANEO</t>
  </si>
  <si>
    <t>67FD</t>
  </si>
  <si>
    <t>67 - DIRECIONAL SOBRECORRENTE DIRETO FASE</t>
  </si>
  <si>
    <t>67ND</t>
  </si>
  <si>
    <t>67 - DIRECIONAL SOBRECORRENTE DIRETO NEUTRO</t>
  </si>
  <si>
    <t>67FR</t>
  </si>
  <si>
    <t>67 - DIRECIONAL SOBRECORRENTE REVERSO FASE</t>
  </si>
  <si>
    <t>67NR</t>
  </si>
  <si>
    <t>67 - DIRECIONAL SOBRECORRENTE REVERSO NEUTRO</t>
  </si>
  <si>
    <t>Chave Virtual para seleção de quem está com o controle dos equipamentos (intertrava comandos no SAGE)</t>
  </si>
  <si>
    <t>81E5</t>
  </si>
  <si>
    <t>81 - TRIP SUB/SOBRE FREQUENCIA 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</si>
</sst>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81A]General"/>
  </numFmts>
  <fonts count="46" x14ac:knownFonts="1">
    <font>
      <sz val="11"/>
      <color theme="1"/>
      <name val="Aptos Narrow"/>
      <family val="2"/>
      <scheme val="minor"/>
    </font>
    <font>
      <b/>
      <sz val="11"/>
      <color theme="0"/>
      <name val="Aptos Narrow"/>
      <family val="2"/>
      <scheme val="minor"/>
    </font>
    <font>
      <sz val="11"/>
      <color rgb="FF000000"/>
      <name val="Calibri"/>
      <family val="2"/>
    </font>
    <font>
      <sz val="10"/>
      <color rgb="FF000000"/>
      <name val="Calibri"/>
      <family val="2"/>
    </font>
    <font>
      <sz val="10"/>
      <color rgb="FFFF0000"/>
      <name val="Calibri"/>
      <family val="2"/>
    </font>
    <font>
      <sz val="10"/>
      <name val="Calibri"/>
      <family val="2"/>
    </font>
    <font>
      <sz val="10"/>
      <name val="Arial"/>
      <family val="2"/>
    </font>
    <font>
      <b/>
      <sz val="10"/>
      <name val="Calibri"/>
      <family val="2"/>
    </font>
    <font>
      <sz val="11"/>
      <color theme="1"/>
      <name val="Aptos Narrow"/>
      <family val="2"/>
      <scheme val="minor"/>
    </font>
    <font>
      <b/>
      <sz val="11"/>
      <color theme="3"/>
      <name val="Aptos Narrow"/>
      <family val="2"/>
      <scheme val="minor"/>
    </font>
    <font>
      <b/>
      <sz val="11"/>
      <color theme="1"/>
      <name val="Aptos Narrow"/>
      <family val="2"/>
      <scheme val="minor"/>
    </font>
    <font>
      <sz val="11"/>
      <color theme="1"/>
      <name val="Arial"/>
      <family val="2"/>
    </font>
    <font>
      <b/>
      <sz val="11"/>
      <color rgb="FF000000"/>
      <name val="Arial"/>
      <family val="2"/>
    </font>
    <font>
      <u/>
      <sz val="11"/>
      <color rgb="FF000000"/>
      <name val="Arial"/>
      <family val="2"/>
    </font>
    <font>
      <sz val="11"/>
      <color rgb="FF000000"/>
      <name val="Arial"/>
      <family val="2"/>
    </font>
    <font>
      <i/>
      <sz val="11"/>
      <color rgb="FF000000"/>
      <name val="Arial"/>
      <family val="2"/>
    </font>
    <font>
      <b/>
      <i/>
      <sz val="11"/>
      <color rgb="FF000000"/>
      <name val="Arial"/>
      <family val="2"/>
    </font>
    <font>
      <i/>
      <sz val="8"/>
      <color rgb="FF000000"/>
      <name val="Arial"/>
      <family val="2"/>
    </font>
    <font>
      <sz val="9"/>
      <color rgb="FF000000"/>
      <name val="Arial"/>
      <family val="2"/>
    </font>
    <font>
      <sz val="11"/>
      <color rgb="FFFF0000"/>
      <name val="Arial"/>
      <family val="2"/>
    </font>
    <font>
      <b/>
      <sz val="12"/>
      <color rgb="FFFF0000"/>
      <name val="Calibri"/>
      <family val="2"/>
    </font>
    <font>
      <sz val="10"/>
      <color theme="1"/>
      <name val="Arial"/>
      <family val="2"/>
    </font>
    <font>
      <b/>
      <sz val="11"/>
      <color theme="1"/>
      <name val="Arial"/>
      <family val="2"/>
    </font>
    <font>
      <sz val="11"/>
      <name val="Calibri"/>
      <family val="2"/>
    </font>
    <font>
      <u/>
      <sz val="11"/>
      <color theme="10"/>
      <name val="Arial"/>
      <family val="2"/>
    </font>
    <font>
      <u/>
      <sz val="10"/>
      <color theme="10"/>
      <name val="Arial"/>
      <family val="2"/>
    </font>
    <font>
      <u/>
      <sz val="11"/>
      <color theme="10"/>
      <name val="Aptos Narrow"/>
      <family val="2"/>
      <scheme val="minor"/>
    </font>
    <font>
      <b/>
      <sz val="10"/>
      <color rgb="FFFF0000"/>
      <name val="Calibri"/>
      <family val="2"/>
    </font>
    <font>
      <b/>
      <sz val="10"/>
      <name val="Arial"/>
      <family val="2"/>
    </font>
    <font>
      <sz val="10"/>
      <color theme="1"/>
      <name val="Aptos Narrow"/>
      <family val="2"/>
      <scheme val="minor"/>
    </font>
    <font>
      <sz val="9"/>
      <color indexed="81"/>
      <name val="Tahoma"/>
      <family val="2"/>
    </font>
    <font>
      <b/>
      <sz val="9"/>
      <color indexed="81"/>
      <name val="Tahoma"/>
      <family val="2"/>
    </font>
    <font>
      <b/>
      <sz val="10"/>
      <color indexed="81"/>
      <name val="Tahoma"/>
      <family val="2"/>
    </font>
    <font>
      <sz val="10"/>
      <color rgb="FFFBC354"/>
      <name val="Calibri"/>
      <family val="2"/>
    </font>
    <font>
      <sz val="10"/>
      <color rgb="FFF48061"/>
      <name val="Calibri"/>
      <family val="2"/>
    </font>
    <font>
      <sz val="10"/>
      <color rgb="FFBA26C3"/>
      <name val="Calibri"/>
      <family val="2"/>
    </font>
    <font>
      <sz val="10"/>
      <color rgb="FF0581FD"/>
      <name val="Calibri"/>
      <family val="2"/>
    </font>
    <font>
      <sz val="10"/>
      <color rgb="FFB35200"/>
      <name val="Calibri"/>
      <family val="2"/>
    </font>
    <font>
      <sz val="10"/>
      <color rgb="FFFCF402"/>
      <name val="Calibri"/>
      <family val="2"/>
    </font>
    <font>
      <sz val="10"/>
      <color rgb="FFA9F9D5"/>
      <name val="Calibri"/>
      <family val="2"/>
    </font>
    <font>
      <sz val="10"/>
      <color rgb="FF7BBC00"/>
      <name val="Calibri"/>
      <family val="2"/>
    </font>
    <font>
      <sz val="10"/>
      <color rgb="FF09066D"/>
      <name val="Calibri"/>
      <family val="2"/>
    </font>
    <font>
      <sz val="10"/>
      <color theme="0"/>
      <name val="Calibri"/>
      <family val="2"/>
    </font>
    <font>
      <b/>
      <sz val="11"/>
      <color theme="0"/>
      <name val="Calibri"/>
      <family val="2"/>
    </font>
    <font>
      <b/>
      <sz val="10"/>
      <color theme="0"/>
      <name val="Calibri"/>
      <family val="2"/>
    </font>
    <font>
      <sz val="8"/>
      <name val="Aptos Narrow"/>
      <family val="2"/>
      <scheme val="minor"/>
    </font>
  </fonts>
  <fills count="21">
    <fill>
      <patternFill patternType="none"/>
    </fill>
    <fill>
      <patternFill patternType="gray125"/>
    </fill>
    <fill>
      <patternFill patternType="solid">
        <fgColor theme="9" tint="-0.249977111117893"/>
        <bgColor indexed="64"/>
      </patternFill>
    </fill>
    <fill>
      <patternFill patternType="solid">
        <fgColor theme="9" tint="0.59999389629810485"/>
        <bgColor rgb="FFDBEEF4"/>
      </patternFill>
    </fill>
    <fill>
      <patternFill patternType="solid">
        <fgColor rgb="FFFFFF00"/>
        <bgColor rgb="FFDBEEF4"/>
      </patternFill>
    </fill>
    <fill>
      <patternFill patternType="solid">
        <fgColor theme="5"/>
        <bgColor rgb="FFDBEEF4"/>
      </patternFill>
    </fill>
    <fill>
      <patternFill patternType="solid">
        <fgColor rgb="FFC0E399"/>
        <bgColor indexed="64"/>
      </patternFill>
    </fill>
    <fill>
      <patternFill patternType="solid">
        <fgColor theme="6" tint="0.79998168889431442"/>
        <bgColor indexed="64"/>
      </patternFill>
    </fill>
    <fill>
      <patternFill patternType="solid">
        <fgColor rgb="FFFFC000"/>
        <bgColor rgb="FFD7E4BD"/>
      </patternFill>
    </fill>
    <fill>
      <patternFill patternType="solid">
        <fgColor theme="0" tint="-0.249977111117893"/>
        <bgColor indexed="64"/>
      </patternFill>
    </fill>
    <fill>
      <patternFill patternType="solid">
        <fgColor theme="0"/>
        <bgColor indexed="64"/>
      </patternFill>
    </fill>
    <fill>
      <patternFill patternType="solid">
        <fgColor rgb="FF92D050"/>
        <bgColor rgb="FFDBEEF4"/>
      </patternFill>
    </fill>
    <fill>
      <patternFill patternType="solid">
        <fgColor rgb="FF92D050"/>
        <bgColor indexed="64"/>
      </patternFill>
    </fill>
    <fill>
      <patternFill patternType="solid">
        <fgColor rgb="FFC6E0B4"/>
        <bgColor rgb="FFDBEEF4"/>
      </patternFill>
    </fill>
    <fill>
      <patternFill patternType="solid">
        <fgColor theme="9" tint="0.79998168889431442"/>
        <bgColor indexed="64"/>
      </patternFill>
    </fill>
    <fill>
      <patternFill patternType="solid">
        <fgColor theme="5"/>
        <bgColor indexed="64"/>
      </patternFill>
    </fill>
    <fill>
      <patternFill patternType="solid">
        <fgColor theme="1"/>
        <bgColor indexed="64"/>
      </patternFill>
    </fill>
    <fill>
      <patternFill patternType="solid">
        <fgColor rgb="FF383838"/>
        <bgColor indexed="64"/>
      </patternFill>
    </fill>
    <fill>
      <patternFill patternType="solid">
        <fgColor rgb="FFFF0000"/>
        <bgColor indexed="64"/>
      </patternFill>
    </fill>
    <fill>
      <patternFill patternType="solid">
        <fgColor theme="6"/>
        <bgColor indexed="64"/>
      </patternFill>
    </fill>
    <fill>
      <patternFill patternType="solid">
        <fgColor rgb="FFFFFF00"/>
        <bgColor indexed="64"/>
      </patternFill>
    </fill>
  </fills>
  <borders count="42">
    <border>
      <left/>
      <right/>
      <top/>
      <bottom/>
      <diagonal/>
    </border>
    <border>
      <left style="thin">
        <color indexed="64"/>
      </left>
      <right style="thin">
        <color indexed="64"/>
      </right>
      <top style="thin">
        <color theme="4" tint="0.39997558519241921"/>
      </top>
      <bottom style="thin">
        <color indexed="64"/>
      </bottom>
      <diagonal/>
    </border>
    <border>
      <left style="thin">
        <color theme="9" tint="-0.249977111117893"/>
      </left>
      <right style="thin">
        <color theme="9" tint="-0.249977111117893"/>
      </right>
      <top style="thin">
        <color theme="9" tint="-0.249977111117893"/>
      </top>
      <bottom style="thin">
        <color theme="9" tint="-0.249977111117893"/>
      </bottom>
      <diagonal/>
    </border>
    <border>
      <left/>
      <right/>
      <top/>
      <bottom style="medium">
        <color theme="4" tint="0.39997558519241921"/>
      </bottom>
      <diagonal/>
    </border>
    <border>
      <left/>
      <right/>
      <top style="thin">
        <color theme="4"/>
      </top>
      <bottom style="double">
        <color theme="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style="medium">
        <color indexed="64"/>
      </bottom>
      <diagonal/>
    </border>
    <border>
      <left style="medium">
        <color rgb="FF000000"/>
      </left>
      <right style="medium">
        <color rgb="FF000000"/>
      </right>
      <top/>
      <bottom/>
      <diagonal/>
    </border>
    <border>
      <left/>
      <right style="medium">
        <color indexed="64"/>
      </right>
      <top/>
      <bottom style="medium">
        <color indexed="64"/>
      </bottom>
      <diagonal/>
    </border>
    <border>
      <left style="medium">
        <color indexed="64"/>
      </left>
      <right style="medium">
        <color indexed="64"/>
      </right>
      <top style="medium">
        <color rgb="FF000000"/>
      </top>
      <bottom/>
      <diagonal/>
    </border>
    <border>
      <left/>
      <right style="medium">
        <color indexed="64"/>
      </right>
      <top/>
      <bottom/>
      <diagonal/>
    </border>
    <border>
      <left style="medium">
        <color indexed="64"/>
      </left>
      <right/>
      <top style="medium">
        <color rgb="FF000000"/>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style="medium">
        <color indexed="64"/>
      </right>
      <top/>
      <bottom/>
      <diagonal/>
    </border>
    <border>
      <left style="medium">
        <color indexed="64"/>
      </left>
      <right/>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9" tint="-0.249977111117893"/>
      </left>
      <right style="thin">
        <color theme="9" tint="-0.249977111117893"/>
      </right>
      <top style="thin">
        <color theme="9" tint="-0.249977111117893"/>
      </top>
      <bottom/>
      <diagonal/>
    </border>
    <border>
      <left style="thin">
        <color theme="9" tint="-0.249977111117893"/>
      </left>
      <right style="thin">
        <color theme="9" tint="-0.249977111117893"/>
      </right>
      <top/>
      <bottom style="thin">
        <color theme="9" tint="-0.249977111117893"/>
      </bottom>
      <diagonal/>
    </border>
    <border>
      <left style="thin">
        <color theme="9" tint="-0.249977111117893"/>
      </left>
      <right style="thin">
        <color theme="9" tint="-0.249977111117893"/>
      </right>
      <top/>
      <bottom/>
      <diagonal/>
    </border>
    <border>
      <left/>
      <right/>
      <top/>
      <bottom style="thin">
        <color theme="9" tint="-0.249977111117893"/>
      </bottom>
      <diagonal/>
    </border>
  </borders>
  <cellStyleXfs count="9">
    <xf numFmtId="0" fontId="0" fillId="0" borderId="0"/>
    <xf numFmtId="164" fontId="2" fillId="0" borderId="0"/>
    <xf numFmtId="0" fontId="6" fillId="0" borderId="0"/>
    <xf numFmtId="0" fontId="9" fillId="0" borderId="3" applyNumberFormat="0" applyFill="0" applyAlignment="0" applyProtection="0"/>
    <xf numFmtId="0" fontId="10" fillId="0" borderId="4" applyNumberFormat="0" applyFill="0" applyAlignment="0" applyProtection="0"/>
    <xf numFmtId="0" fontId="11" fillId="0" borderId="0"/>
    <xf numFmtId="0" fontId="24" fillId="0" borderId="0" applyNumberFormat="0" applyFill="0" applyBorder="0" applyAlignment="0" applyProtection="0"/>
    <xf numFmtId="0" fontId="26" fillId="0" borderId="0" applyNumberFormat="0" applyFill="0" applyBorder="0" applyAlignment="0" applyProtection="0"/>
    <xf numFmtId="0" fontId="6" fillId="0" borderId="0"/>
  </cellStyleXfs>
  <cellXfs count="138">
    <xf numFmtId="0" fontId="0" fillId="0" borderId="0" xfId="0"/>
    <xf numFmtId="0" fontId="1" fillId="2" borderId="0" xfId="0" applyFont="1" applyFill="1"/>
    <xf numFmtId="164" fontId="3" fillId="3" borderId="1" xfId="1" applyFont="1" applyFill="1" applyBorder="1" applyAlignment="1">
      <alignment horizontal="left" vertical="center" wrapText="1"/>
    </xf>
    <xf numFmtId="164" fontId="3" fillId="3" borderId="1" xfId="1" quotePrefix="1" applyFont="1" applyFill="1" applyBorder="1" applyAlignment="1">
      <alignment horizontal="left" vertical="center" wrapText="1"/>
    </xf>
    <xf numFmtId="164" fontId="4" fillId="3" borderId="1" xfId="1" applyFont="1" applyFill="1" applyBorder="1" applyAlignment="1">
      <alignment horizontal="left" vertical="center" wrapText="1"/>
    </xf>
    <xf numFmtId="164" fontId="3" fillId="4" borderId="1" xfId="1" applyFont="1" applyFill="1" applyBorder="1" applyAlignment="1">
      <alignment horizontal="left" vertical="center" wrapText="1"/>
    </xf>
    <xf numFmtId="164" fontId="3" fillId="5" borderId="1" xfId="1" applyFont="1" applyFill="1" applyBorder="1" applyAlignment="1">
      <alignment horizontal="left" vertical="center" wrapText="1"/>
    </xf>
    <xf numFmtId="0" fontId="7" fillId="0" borderId="2" xfId="2" applyFont="1" applyBorder="1" applyAlignment="1">
      <alignment horizontal="center" vertical="center"/>
    </xf>
    <xf numFmtId="164" fontId="3" fillId="4" borderId="1" xfId="1" quotePrefix="1" applyFont="1" applyFill="1" applyBorder="1" applyAlignment="1">
      <alignment horizontal="left" vertical="center" wrapText="1"/>
    </xf>
    <xf numFmtId="0" fontId="12" fillId="6" borderId="5" xfId="5" applyFont="1" applyFill="1" applyBorder="1" applyAlignment="1">
      <alignment vertical="center" wrapText="1"/>
    </xf>
    <xf numFmtId="0" fontId="12" fillId="6" borderId="6" xfId="5" applyFont="1" applyFill="1" applyBorder="1" applyAlignment="1">
      <alignment vertical="center" wrapText="1"/>
    </xf>
    <xf numFmtId="0" fontId="11" fillId="0" borderId="0" xfId="5"/>
    <xf numFmtId="0" fontId="13" fillId="7" borderId="0" xfId="5" applyFont="1" applyFill="1" applyAlignment="1">
      <alignment vertical="center" wrapText="1"/>
    </xf>
    <xf numFmtId="0" fontId="14" fillId="0" borderId="9" xfId="5" applyFont="1" applyBorder="1" applyAlignment="1">
      <alignment vertical="center" wrapText="1"/>
    </xf>
    <xf numFmtId="0" fontId="14" fillId="0" borderId="11" xfId="5" applyFont="1" applyBorder="1" applyAlignment="1">
      <alignment vertical="center" wrapText="1"/>
    </xf>
    <xf numFmtId="0" fontId="16" fillId="0" borderId="12" xfId="5" applyFont="1" applyBorder="1" applyAlignment="1">
      <alignment vertical="center" wrapText="1"/>
    </xf>
    <xf numFmtId="0" fontId="17" fillId="0" borderId="13" xfId="5" applyFont="1" applyBorder="1" applyAlignment="1">
      <alignment vertical="center" wrapText="1"/>
    </xf>
    <xf numFmtId="0" fontId="12" fillId="0" borderId="11" xfId="5" applyFont="1" applyBorder="1" applyAlignment="1">
      <alignment vertical="center" wrapText="1"/>
    </xf>
    <xf numFmtId="0" fontId="15" fillId="0" borderId="12" xfId="5" applyFont="1" applyBorder="1" applyAlignment="1">
      <alignment vertical="center" wrapText="1"/>
    </xf>
    <xf numFmtId="0" fontId="17" fillId="0" borderId="0" xfId="5" applyFont="1" applyAlignment="1">
      <alignment vertical="center" wrapText="1"/>
    </xf>
    <xf numFmtId="0" fontId="14" fillId="0" borderId="12" xfId="5" applyFont="1" applyBorder="1" applyAlignment="1">
      <alignment vertical="center" wrapText="1"/>
    </xf>
    <xf numFmtId="0" fontId="11" fillId="0" borderId="0" xfId="5" applyAlignment="1">
      <alignment vertical="top" wrapText="1"/>
    </xf>
    <xf numFmtId="0" fontId="11" fillId="0" borderId="9" xfId="5" applyBorder="1" applyAlignment="1">
      <alignment vertical="top" wrapText="1"/>
    </xf>
    <xf numFmtId="0" fontId="12" fillId="0" borderId="12" xfId="5" applyFont="1" applyBorder="1" applyAlignment="1">
      <alignment vertical="center" wrapText="1"/>
    </xf>
    <xf numFmtId="0" fontId="18" fillId="0" borderId="9" xfId="5" applyFont="1" applyBorder="1" applyAlignment="1">
      <alignment vertical="center" wrapText="1"/>
    </xf>
    <xf numFmtId="0" fontId="19" fillId="0" borderId="12" xfId="5" applyFont="1" applyBorder="1" applyAlignment="1">
      <alignment vertical="center" wrapText="1"/>
    </xf>
    <xf numFmtId="0" fontId="17" fillId="0" borderId="15" xfId="5" applyFont="1" applyBorder="1" applyAlignment="1">
      <alignment vertical="center" wrapText="1"/>
    </xf>
    <xf numFmtId="0" fontId="14" fillId="0" borderId="17" xfId="5" applyFont="1" applyBorder="1" applyAlignment="1">
      <alignment vertical="center" wrapText="1"/>
    </xf>
    <xf numFmtId="0" fontId="14" fillId="0" borderId="20" xfId="5" applyFont="1" applyBorder="1" applyAlignment="1">
      <alignment vertical="center" wrapText="1"/>
    </xf>
    <xf numFmtId="0" fontId="11" fillId="0" borderId="20" xfId="5" applyBorder="1" applyAlignment="1">
      <alignment vertical="top" wrapText="1"/>
    </xf>
    <xf numFmtId="0" fontId="11" fillId="0" borderId="17" xfId="5" applyBorder="1" applyAlignment="1">
      <alignment vertical="top" wrapText="1"/>
    </xf>
    <xf numFmtId="0" fontId="17" fillId="0" borderId="20" xfId="5" applyFont="1" applyBorder="1" applyAlignment="1">
      <alignment vertical="center" wrapText="1"/>
    </xf>
    <xf numFmtId="0" fontId="17" fillId="0" borderId="17" xfId="5" applyFont="1" applyBorder="1" applyAlignment="1">
      <alignment vertical="center" wrapText="1"/>
    </xf>
    <xf numFmtId="0" fontId="15" fillId="0" borderId="17" xfId="5" applyFont="1" applyBorder="1" applyAlignment="1">
      <alignment vertical="center" wrapText="1"/>
    </xf>
    <xf numFmtId="0" fontId="11" fillId="0" borderId="24" xfId="5" applyBorder="1"/>
    <xf numFmtId="0" fontId="11" fillId="0" borderId="25" xfId="5" applyBorder="1"/>
    <xf numFmtId="0" fontId="11" fillId="0" borderId="26" xfId="5" applyBorder="1"/>
    <xf numFmtId="49" fontId="20" fillId="8" borderId="27" xfId="1" applyNumberFormat="1" applyFont="1" applyFill="1" applyBorder="1" applyAlignment="1">
      <alignment horizontal="center" vertical="center" wrapText="1"/>
    </xf>
    <xf numFmtId="0" fontId="11" fillId="0" borderId="28" xfId="5" applyBorder="1"/>
    <xf numFmtId="0" fontId="11" fillId="0" borderId="29" xfId="5" applyBorder="1"/>
    <xf numFmtId="0" fontId="9" fillId="0" borderId="3" xfId="3"/>
    <xf numFmtId="0" fontId="21" fillId="0" borderId="0" xfId="5" applyFont="1"/>
    <xf numFmtId="0" fontId="22" fillId="9" borderId="0" xfId="5" applyFont="1" applyFill="1" applyAlignment="1">
      <alignment horizontal="center" vertical="center" wrapText="1"/>
    </xf>
    <xf numFmtId="0" fontId="8" fillId="0" borderId="30" xfId="5" applyFont="1" applyBorder="1" applyAlignment="1">
      <alignment horizontal="left" vertical="center" wrapText="1"/>
    </xf>
    <xf numFmtId="0" fontId="11" fillId="0" borderId="30" xfId="5" applyBorder="1"/>
    <xf numFmtId="0" fontId="10" fillId="0" borderId="4" xfId="4"/>
    <xf numFmtId="0" fontId="11" fillId="0" borderId="0" xfId="5" applyAlignment="1">
      <alignment horizontal="left" vertical="center"/>
    </xf>
    <xf numFmtId="164" fontId="23" fillId="0" borderId="0" xfId="1" applyFont="1"/>
    <xf numFmtId="164" fontId="23" fillId="0" borderId="0" xfId="1" applyFont="1" applyAlignment="1">
      <alignment horizontal="center" vertical="center"/>
    </xf>
    <xf numFmtId="0" fontId="14" fillId="0" borderId="0" xfId="5" applyFont="1" applyAlignment="1">
      <alignment horizontal="justify" vertical="center"/>
    </xf>
    <xf numFmtId="0" fontId="8" fillId="0" borderId="31" xfId="5" applyFont="1" applyBorder="1" applyAlignment="1">
      <alignment horizontal="left" vertical="center" wrapText="1"/>
    </xf>
    <xf numFmtId="0" fontId="11" fillId="0" borderId="31" xfId="5" applyBorder="1"/>
    <xf numFmtId="0" fontId="11" fillId="0" borderId="30" xfId="5" applyBorder="1" applyAlignment="1">
      <alignment wrapText="1"/>
    </xf>
    <xf numFmtId="0" fontId="25" fillId="0" borderId="0" xfId="6" applyFont="1"/>
    <xf numFmtId="164" fontId="2" fillId="0" borderId="0" xfId="1" applyAlignment="1">
      <alignment horizontal="center" vertical="center"/>
    </xf>
    <xf numFmtId="0" fontId="11" fillId="0" borderId="0" xfId="5" applyAlignment="1">
      <alignment horizontal="center" vertical="center"/>
    </xf>
    <xf numFmtId="0" fontId="11" fillId="10" borderId="31" xfId="5" applyFill="1" applyBorder="1"/>
    <xf numFmtId="0" fontId="8" fillId="0" borderId="0" xfId="5" applyFont="1" applyAlignment="1">
      <alignment horizontal="left" vertical="center"/>
    </xf>
    <xf numFmtId="0" fontId="11" fillId="0" borderId="31" xfId="5" applyBorder="1" applyAlignment="1">
      <alignment wrapText="1"/>
    </xf>
    <xf numFmtId="164" fontId="3" fillId="3" borderId="32" xfId="1" applyFont="1" applyFill="1" applyBorder="1" applyAlignment="1">
      <alignment horizontal="left" vertical="center" wrapText="1"/>
    </xf>
    <xf numFmtId="0" fontId="0" fillId="10" borderId="0" xfId="0" applyFill="1"/>
    <xf numFmtId="164" fontId="27" fillId="11" borderId="34" xfId="1" applyFont="1" applyFill="1" applyBorder="1" applyAlignment="1">
      <alignment horizontal="center" vertical="center" wrapText="1"/>
    </xf>
    <xf numFmtId="164" fontId="5" fillId="11" borderId="35" xfId="1" applyFont="1" applyFill="1" applyBorder="1" applyAlignment="1">
      <alignment horizontal="center" vertical="center" wrapText="1"/>
    </xf>
    <xf numFmtId="49" fontId="28" fillId="12" borderId="35" xfId="8" applyNumberFormat="1" applyFont="1" applyFill="1" applyBorder="1" applyAlignment="1">
      <alignment horizontal="center" vertical="center" wrapText="1"/>
    </xf>
    <xf numFmtId="164" fontId="7" fillId="11" borderId="34" xfId="1" applyFont="1" applyFill="1" applyBorder="1" applyAlignment="1">
      <alignment horizontal="center" vertical="center" wrapText="1"/>
    </xf>
    <xf numFmtId="0" fontId="6" fillId="12" borderId="36" xfId="8" applyFill="1" applyBorder="1" applyAlignment="1">
      <alignment horizontal="center" vertical="center"/>
    </xf>
    <xf numFmtId="164" fontId="7" fillId="11" borderId="37" xfId="1" applyFont="1" applyFill="1" applyBorder="1" applyAlignment="1">
      <alignment horizontal="center" vertical="center" wrapText="1"/>
    </xf>
    <xf numFmtId="0" fontId="29" fillId="0" borderId="0" xfId="0" applyFont="1"/>
    <xf numFmtId="164" fontId="3" fillId="13" borderId="30" xfId="1" applyFont="1" applyFill="1" applyBorder="1" applyAlignment="1">
      <alignment horizontal="left" vertical="center" wrapText="1"/>
    </xf>
    <xf numFmtId="164" fontId="3" fillId="14" borderId="33" xfId="1" applyFont="1" applyFill="1" applyBorder="1" applyAlignment="1">
      <alignment horizontal="center" vertical="center" wrapText="1"/>
    </xf>
    <xf numFmtId="164" fontId="26" fillId="13" borderId="30" xfId="7" applyNumberFormat="1" applyFill="1" applyBorder="1" applyAlignment="1">
      <alignment horizontal="left" vertical="center" wrapText="1"/>
    </xf>
    <xf numFmtId="164" fontId="3" fillId="5" borderId="30" xfId="1" applyFont="1" applyFill="1" applyBorder="1" applyAlignment="1">
      <alignment horizontal="left" vertical="center" wrapText="1"/>
    </xf>
    <xf numFmtId="164" fontId="4" fillId="13" borderId="33" xfId="1" applyFont="1" applyFill="1" applyBorder="1" applyAlignment="1">
      <alignment horizontal="left" vertical="center" wrapText="1"/>
    </xf>
    <xf numFmtId="164" fontId="4" fillId="13" borderId="30" xfId="1" applyFont="1" applyFill="1" applyBorder="1" applyAlignment="1">
      <alignment horizontal="left" vertical="center" wrapText="1"/>
    </xf>
    <xf numFmtId="164" fontId="4" fillId="14" borderId="33" xfId="1" applyFont="1" applyFill="1" applyBorder="1" applyAlignment="1">
      <alignment horizontal="center" vertical="center" wrapText="1"/>
    </xf>
    <xf numFmtId="164" fontId="26" fillId="5" borderId="33" xfId="7" applyNumberFormat="1" applyFill="1" applyBorder="1" applyAlignment="1" applyProtection="1">
      <alignment horizontal="left" vertical="center" wrapText="1"/>
    </xf>
    <xf numFmtId="164" fontId="3" fillId="5" borderId="33" xfId="1" applyFont="1" applyFill="1" applyBorder="1" applyAlignment="1">
      <alignment horizontal="left" vertical="center" wrapText="1"/>
    </xf>
    <xf numFmtId="164" fontId="3" fillId="13" borderId="33" xfId="1" applyFont="1" applyFill="1" applyBorder="1" applyAlignment="1">
      <alignment horizontal="left" vertical="center" wrapText="1"/>
    </xf>
    <xf numFmtId="164" fontId="3" fillId="15" borderId="33" xfId="1" applyFont="1" applyFill="1" applyBorder="1" applyAlignment="1">
      <alignment horizontal="center" vertical="center" wrapText="1"/>
    </xf>
    <xf numFmtId="0" fontId="5" fillId="0" borderId="2" xfId="2" applyFont="1" applyBorder="1" applyAlignment="1">
      <alignment horizontal="center" vertical="center"/>
    </xf>
    <xf numFmtId="0" fontId="7" fillId="0" borderId="39" xfId="2" applyFont="1" applyBorder="1" applyAlignment="1">
      <alignment horizontal="center" vertical="center"/>
    </xf>
    <xf numFmtId="0" fontId="4" fillId="16" borderId="2" xfId="0" applyFont="1" applyFill="1" applyBorder="1" applyAlignment="1">
      <alignment horizontal="center"/>
    </xf>
    <xf numFmtId="0" fontId="33" fillId="17" borderId="2" xfId="0" applyFont="1" applyFill="1" applyBorder="1" applyAlignment="1">
      <alignment horizontal="center"/>
    </xf>
    <xf numFmtId="0" fontId="34" fillId="16" borderId="2" xfId="0" applyFont="1" applyFill="1" applyBorder="1" applyAlignment="1">
      <alignment horizontal="center"/>
    </xf>
    <xf numFmtId="0" fontId="35" fillId="16" borderId="2" xfId="0" applyFont="1" applyFill="1" applyBorder="1" applyAlignment="1">
      <alignment horizontal="center"/>
    </xf>
    <xf numFmtId="0" fontId="36" fillId="16" borderId="2" xfId="0" applyFont="1" applyFill="1" applyBorder="1" applyAlignment="1">
      <alignment horizontal="center"/>
    </xf>
    <xf numFmtId="0" fontId="37" fillId="16" borderId="2" xfId="0" applyFont="1" applyFill="1" applyBorder="1" applyAlignment="1">
      <alignment horizontal="center"/>
    </xf>
    <xf numFmtId="0" fontId="38" fillId="16" borderId="2" xfId="0" applyFont="1" applyFill="1" applyBorder="1" applyAlignment="1">
      <alignment horizontal="center"/>
    </xf>
    <xf numFmtId="0" fontId="42" fillId="18" borderId="2" xfId="0" applyFont="1" applyFill="1" applyBorder="1" applyAlignment="1">
      <alignment horizontal="center"/>
    </xf>
    <xf numFmtId="0" fontId="42" fillId="17" borderId="2" xfId="0" applyFont="1" applyFill="1" applyBorder="1" applyAlignment="1">
      <alignment horizontal="center"/>
    </xf>
    <xf numFmtId="0" fontId="42" fillId="16" borderId="2" xfId="0" applyFont="1" applyFill="1" applyBorder="1" applyAlignment="1">
      <alignment horizontal="center"/>
    </xf>
    <xf numFmtId="0" fontId="5" fillId="0" borderId="39" xfId="2" applyFont="1" applyBorder="1" applyAlignment="1">
      <alignment horizontal="center" vertical="center"/>
    </xf>
    <xf numFmtId="0" fontId="44" fillId="2" borderId="31" xfId="0" applyFont="1" applyFill="1" applyBorder="1" applyAlignment="1">
      <alignment horizontal="center"/>
    </xf>
    <xf numFmtId="49" fontId="1" fillId="2" borderId="0" xfId="0" applyNumberFormat="1" applyFont="1" applyFill="1"/>
    <xf numFmtId="49" fontId="3" fillId="3" borderId="1" xfId="1" applyNumberFormat="1" applyFont="1" applyFill="1" applyBorder="1" applyAlignment="1">
      <alignment horizontal="left" vertical="center" wrapText="1"/>
    </xf>
    <xf numFmtId="49" fontId="5" fillId="3" borderId="1" xfId="1" applyNumberFormat="1" applyFont="1" applyFill="1" applyBorder="1" applyAlignment="1">
      <alignment horizontal="left" vertical="center" wrapText="1"/>
    </xf>
    <xf numFmtId="49" fontId="3" fillId="3" borderId="1" xfId="1" quotePrefix="1" applyNumberFormat="1" applyFont="1" applyFill="1" applyBorder="1" applyAlignment="1">
      <alignment horizontal="left" vertical="center" wrapText="1"/>
    </xf>
    <xf numFmtId="49" fontId="3" fillId="3" borderId="0" xfId="1" applyNumberFormat="1" applyFont="1" applyFill="1" applyAlignment="1">
      <alignment horizontal="left" vertical="center" wrapText="1"/>
    </xf>
    <xf numFmtId="49" fontId="4" fillId="3" borderId="1" xfId="1" applyNumberFormat="1" applyFont="1" applyFill="1" applyBorder="1" applyAlignment="1">
      <alignment horizontal="left" vertical="center" wrapText="1"/>
    </xf>
    <xf numFmtId="164" fontId="5" fillId="3" borderId="1" xfId="1" applyFont="1" applyFill="1" applyBorder="1" applyAlignment="1">
      <alignment horizontal="left" vertical="center" wrapText="1"/>
    </xf>
    <xf numFmtId="164" fontId="5" fillId="3" borderId="1" xfId="1" quotePrefix="1" applyFont="1" applyFill="1" applyBorder="1" applyAlignment="1">
      <alignment horizontal="left" vertical="center" wrapText="1"/>
    </xf>
    <xf numFmtId="164" fontId="5" fillId="4" borderId="1" xfId="1" applyFont="1" applyFill="1" applyBorder="1" applyAlignment="1">
      <alignment horizontal="left" vertical="center" wrapText="1"/>
    </xf>
    <xf numFmtId="49" fontId="3" fillId="4" borderId="1" xfId="1" applyNumberFormat="1" applyFont="1" applyFill="1" applyBorder="1" applyAlignment="1">
      <alignment horizontal="left" vertical="center" wrapText="1"/>
    </xf>
    <xf numFmtId="0" fontId="0" fillId="20" borderId="0" xfId="0" applyFill="1"/>
    <xf numFmtId="0" fontId="1" fillId="19" borderId="41" xfId="0" applyFont="1" applyFill="1" applyBorder="1" applyAlignment="1">
      <alignment horizontal="center"/>
    </xf>
    <xf numFmtId="0" fontId="7" fillId="0" borderId="40" xfId="2" applyFont="1" applyBorder="1" applyAlignment="1">
      <alignment horizontal="center" vertical="center"/>
    </xf>
    <xf numFmtId="0" fontId="7" fillId="0" borderId="39" xfId="2" applyFont="1" applyBorder="1" applyAlignment="1">
      <alignment horizontal="center" vertical="center"/>
    </xf>
    <xf numFmtId="0" fontId="4" fillId="10" borderId="40" xfId="0" applyFont="1" applyFill="1" applyBorder="1" applyAlignment="1">
      <alignment horizontal="center" vertical="center"/>
    </xf>
    <xf numFmtId="0" fontId="4" fillId="10" borderId="39" xfId="0" applyFont="1" applyFill="1" applyBorder="1" applyAlignment="1">
      <alignment horizontal="center" vertical="center"/>
    </xf>
    <xf numFmtId="0" fontId="7" fillId="0" borderId="38" xfId="2" applyFont="1" applyBorder="1" applyAlignment="1">
      <alignment horizontal="center" vertical="center"/>
    </xf>
    <xf numFmtId="0" fontId="39" fillId="16" borderId="38" xfId="0" applyFont="1" applyFill="1" applyBorder="1" applyAlignment="1">
      <alignment horizontal="center" vertical="center"/>
    </xf>
    <xf numFmtId="0" fontId="39" fillId="16" borderId="40" xfId="0" applyFont="1" applyFill="1" applyBorder="1" applyAlignment="1">
      <alignment horizontal="center" vertical="center"/>
    </xf>
    <xf numFmtId="0" fontId="39" fillId="16" borderId="39" xfId="0" applyFont="1" applyFill="1" applyBorder="1" applyAlignment="1">
      <alignment horizontal="center" vertical="center"/>
    </xf>
    <xf numFmtId="0" fontId="40" fillId="17" borderId="38" xfId="0" applyFont="1" applyFill="1" applyBorder="1" applyAlignment="1">
      <alignment horizontal="center" vertical="center"/>
    </xf>
    <xf numFmtId="0" fontId="40" fillId="17" borderId="40" xfId="0" applyFont="1" applyFill="1" applyBorder="1" applyAlignment="1">
      <alignment horizontal="center" vertical="center"/>
    </xf>
    <xf numFmtId="0" fontId="40" fillId="17" borderId="39" xfId="0" applyFont="1" applyFill="1" applyBorder="1" applyAlignment="1">
      <alignment horizontal="center" vertical="center"/>
    </xf>
    <xf numFmtId="0" fontId="41" fillId="10" borderId="38" xfId="0" applyFont="1" applyFill="1" applyBorder="1" applyAlignment="1">
      <alignment horizontal="center" vertical="center"/>
    </xf>
    <xf numFmtId="0" fontId="41" fillId="10" borderId="39" xfId="0" applyFont="1" applyFill="1" applyBorder="1" applyAlignment="1">
      <alignment horizontal="center" vertical="center"/>
    </xf>
    <xf numFmtId="0" fontId="43" fillId="19" borderId="31" xfId="0" applyFont="1" applyFill="1" applyBorder="1" applyAlignment="1">
      <alignment horizontal="center"/>
    </xf>
    <xf numFmtId="0" fontId="34" fillId="17" borderId="38" xfId="0" applyFont="1" applyFill="1" applyBorder="1" applyAlignment="1">
      <alignment horizontal="center" vertical="center"/>
    </xf>
    <xf numFmtId="0" fontId="34" fillId="17" borderId="40" xfId="0" applyFont="1" applyFill="1" applyBorder="1" applyAlignment="1">
      <alignment horizontal="center" vertical="center"/>
    </xf>
    <xf numFmtId="0" fontId="34" fillId="17" borderId="39" xfId="0" applyFont="1" applyFill="1" applyBorder="1" applyAlignment="1">
      <alignment horizontal="center" vertical="center"/>
    </xf>
    <xf numFmtId="0" fontId="14" fillId="0" borderId="16" xfId="5" applyFont="1" applyBorder="1" applyAlignment="1">
      <alignment vertical="center" wrapText="1"/>
    </xf>
    <xf numFmtId="0" fontId="14" fillId="0" borderId="19" xfId="5" applyFont="1" applyBorder="1" applyAlignment="1">
      <alignment vertical="center" wrapText="1"/>
    </xf>
    <xf numFmtId="0" fontId="14" fillId="0" borderId="18" xfId="5" applyFont="1" applyBorder="1" applyAlignment="1">
      <alignment vertical="center" wrapText="1"/>
    </xf>
    <xf numFmtId="0" fontId="14" fillId="0" borderId="21" xfId="5" applyFont="1" applyBorder="1" applyAlignment="1">
      <alignment vertical="center" wrapText="1"/>
    </xf>
    <xf numFmtId="0" fontId="14" fillId="0" borderId="22" xfId="5" applyFont="1" applyBorder="1" applyAlignment="1">
      <alignment vertical="center" wrapText="1"/>
    </xf>
    <xf numFmtId="0" fontId="14" fillId="0" borderId="23" xfId="5" applyFont="1" applyBorder="1" applyAlignment="1">
      <alignment vertical="center" wrapText="1"/>
    </xf>
    <xf numFmtId="0" fontId="19" fillId="0" borderId="16" xfId="5" applyFont="1" applyBorder="1" applyAlignment="1">
      <alignment vertical="center" wrapText="1"/>
    </xf>
    <xf numFmtId="0" fontId="19" fillId="0" borderId="19" xfId="5" applyFont="1" applyBorder="1" applyAlignment="1">
      <alignment vertical="center" wrapText="1"/>
    </xf>
    <xf numFmtId="0" fontId="14" fillId="0" borderId="7" xfId="5" applyFont="1" applyBorder="1" applyAlignment="1">
      <alignment vertical="center" wrapText="1"/>
    </xf>
    <xf numFmtId="0" fontId="14" fillId="0" borderId="10" xfId="5" applyFont="1" applyBorder="1" applyAlignment="1">
      <alignment vertical="center" wrapText="1"/>
    </xf>
    <xf numFmtId="0" fontId="14" fillId="0" borderId="8" xfId="5" applyFont="1" applyBorder="1" applyAlignment="1">
      <alignment vertical="center" wrapText="1"/>
    </xf>
    <xf numFmtId="0" fontId="14" fillId="0" borderId="11" xfId="5" applyFont="1" applyBorder="1" applyAlignment="1">
      <alignment vertical="center" wrapText="1"/>
    </xf>
    <xf numFmtId="0" fontId="14" fillId="0" borderId="14" xfId="5" applyFont="1" applyBorder="1" applyAlignment="1">
      <alignment vertical="center" wrapText="1"/>
    </xf>
    <xf numFmtId="0" fontId="14" fillId="0" borderId="12" xfId="5" applyFont="1" applyBorder="1" applyAlignment="1">
      <alignment vertical="center" wrapText="1"/>
    </xf>
    <xf numFmtId="0" fontId="15" fillId="0" borderId="7" xfId="5" applyFont="1" applyBorder="1" applyAlignment="1">
      <alignment vertical="center" wrapText="1"/>
    </xf>
    <xf numFmtId="0" fontId="15" fillId="0" borderId="10" xfId="5" applyFont="1" applyBorder="1" applyAlignment="1">
      <alignment vertical="center" wrapText="1"/>
    </xf>
  </cellXfs>
  <cellStyles count="9">
    <cellStyle name="Excel Built-in Normal 1" xfId="1" xr:uid="{3F1A3D6A-56C4-48F3-B065-A16A1D76B1A2}"/>
    <cellStyle name="Hiperlink" xfId="7" builtinId="8"/>
    <cellStyle name="Hiperlink 2" xfId="6" xr:uid="{21DAE515-F714-44B3-8CC7-1394F977B743}"/>
    <cellStyle name="Normal" xfId="0" builtinId="0"/>
    <cellStyle name="Normal 11" xfId="2" xr:uid="{D05BD008-F96B-4928-B75F-B32346A53B23}"/>
    <cellStyle name="Normal 2" xfId="5" xr:uid="{8EFDFC0E-0E6D-471B-BAEB-7DAF384EC17F}"/>
    <cellStyle name="Normal 2 2" xfId="8" xr:uid="{004535BC-5F62-4F65-B14E-A88A811F1713}"/>
    <cellStyle name="Título 3" xfId="3" builtinId="18"/>
    <cellStyle name="Total" xfId="4" builtinId="25"/>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color rgb="FF000000"/>
        <name val="Calibri"/>
        <scheme val="none"/>
      </font>
      <numFmt numFmtId="164" formatCode="[$-181A]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border>
    </dxf>
    <dxf>
      <font>
        <strike val="0"/>
        <outline val="0"/>
        <shadow val="0"/>
        <u val="none"/>
        <vertAlign val="baseline"/>
        <sz val="10"/>
        <color rgb="FF000000"/>
        <name val="Calibri"/>
        <scheme val="none"/>
      </font>
      <numFmt numFmtId="164" formatCode="[$-181A]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border>
    </dxf>
    <dxf>
      <font>
        <strike val="0"/>
        <outline val="0"/>
        <shadow val="0"/>
        <u val="none"/>
        <vertAlign val="baseline"/>
        <sz val="10"/>
        <color rgb="FF000000"/>
        <name val="Calibri"/>
        <scheme val="none"/>
      </font>
      <numFmt numFmtId="164" formatCode="[$-181A]General"/>
      <fill>
        <patternFill patternType="solid">
          <fgColor rgb="FFDBEEF4"/>
          <bgColor rgb="FFC6E0B4"/>
        </patternFill>
      </fill>
      <alignment horizontal="left"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0"/>
        <color rgb="FF000000"/>
        <name val="Calibri"/>
        <scheme val="none"/>
      </font>
      <numFmt numFmtId="164" formatCode="[$-181A]General"/>
      <fill>
        <patternFill patternType="solid">
          <fgColor rgb="FFDBEEF4"/>
          <bgColor rgb="FFC6E0B4"/>
        </patternFill>
      </fill>
      <alignment horizontal="left"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0"/>
        <color rgb="FF000000"/>
        <name val="Calibri"/>
        <scheme val="none"/>
      </font>
      <numFmt numFmtId="164" formatCode="[$-181A]General"/>
      <fill>
        <patternFill patternType="solid">
          <fgColor rgb="FFDBEEF4"/>
          <bgColor rgb="FFC6E0B4"/>
        </patternFill>
      </fill>
      <alignment horizontal="left"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0"/>
        <color rgb="FF000000"/>
        <name val="Calibri"/>
        <scheme val="none"/>
      </font>
      <numFmt numFmtId="164" formatCode="[$-181A]General"/>
      <fill>
        <patternFill patternType="solid">
          <fgColor rgb="FFDBEEF4"/>
          <bgColor rgb="FFC6E0B4"/>
        </patternFill>
      </fill>
      <alignment horizontal="left"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0"/>
        <color rgb="FF000000"/>
        <name val="Calibri"/>
        <scheme val="none"/>
      </font>
      <numFmt numFmtId="164" formatCode="[$-181A]General"/>
      <fill>
        <patternFill patternType="solid">
          <fgColor rgb="FFDBEEF4"/>
          <bgColor rgb="FFC6E0B4"/>
        </patternFill>
      </fill>
      <alignment horizontal="left"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0"/>
        <color rgb="FF000000"/>
        <name val="Calibri"/>
        <scheme val="none"/>
      </font>
      <numFmt numFmtId="164" formatCode="[$-181A]General"/>
      <fill>
        <patternFill patternType="solid">
          <fgColor rgb="FFDBEEF4"/>
          <bgColor rgb="FFC6E0B4"/>
        </patternFill>
      </fill>
      <alignment horizontal="left"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0"/>
        <color rgb="FF000000"/>
        <name val="Calibri"/>
        <scheme val="none"/>
      </font>
      <numFmt numFmtId="164" formatCode="[$-181A]General"/>
      <fill>
        <patternFill patternType="solid">
          <fgColor rgb="FFDBEEF4"/>
          <bgColor rgb="FFC6E0B4"/>
        </patternFill>
      </fill>
      <alignment horizontal="left"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0"/>
        <color rgb="FF000000"/>
        <name val="Calibri"/>
        <scheme val="none"/>
      </font>
      <numFmt numFmtId="164" formatCode="[$-181A]General"/>
      <fill>
        <patternFill patternType="solid">
          <fgColor rgb="FFDBEEF4"/>
          <bgColor rgb="FFC6E0B4"/>
        </patternFill>
      </fill>
      <alignment horizontal="left"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rgb="FF000000"/>
        <name val="Calibri"/>
        <scheme val="none"/>
      </font>
      <numFmt numFmtId="164" formatCode="[$-181A]General"/>
      <fill>
        <patternFill patternType="solid">
          <fgColor rgb="FFDBEEF4"/>
          <bgColor rgb="FFC6E0B4"/>
        </patternFill>
      </fill>
      <alignment horizontal="left" vertical="center" textRotation="0" wrapText="1" indent="0" justifyLastLine="0" shrinkToFit="0" readingOrder="0"/>
      <border diagonalUp="0" diagonalDown="0" outline="0">
        <left style="thin">
          <color indexed="64"/>
        </left>
        <right style="thin">
          <color indexed="64"/>
        </right>
        <top/>
        <bottom style="thin">
          <color indexed="64"/>
        </bottom>
      </border>
      <protection locked="1" hidden="0"/>
    </dxf>
    <dxf>
      <font>
        <strike val="0"/>
        <outline val="0"/>
        <shadow val="0"/>
        <u val="none"/>
        <vertAlign val="baseline"/>
        <sz val="10"/>
        <color rgb="FF000000"/>
        <name val="Calibri"/>
        <scheme val="none"/>
      </font>
      <numFmt numFmtId="164" formatCode="[$-181A]General"/>
      <fill>
        <patternFill patternType="solid">
          <fgColor rgb="FFDBEEF4"/>
          <bgColor rgb="FFC6E0B4"/>
        </patternFill>
      </fill>
      <alignment horizontal="left" vertical="center" textRotation="0" wrapText="1" indent="0" justifyLastLine="0" shrinkToFit="0" readingOrder="0"/>
      <border diagonalUp="0" diagonalDown="0" outline="0">
        <left style="thin">
          <color indexed="64"/>
        </left>
        <right style="thin">
          <color indexed="64"/>
        </right>
        <top/>
        <bottom style="thin">
          <color indexed="64"/>
        </bottom>
      </border>
      <protection locked="1" hidden="0"/>
    </dxf>
    <dxf>
      <border outline="0">
        <top style="medium">
          <color rgb="FF000000"/>
        </top>
        <bottom style="thin">
          <color rgb="FF000000"/>
        </bottom>
      </border>
    </dxf>
    <dxf>
      <font>
        <strike val="0"/>
        <outline val="0"/>
        <shadow val="0"/>
        <u val="none"/>
        <vertAlign val="baseline"/>
        <sz val="10"/>
      </font>
      <fill>
        <patternFill patternType="solid">
          <fgColor indexed="64"/>
          <bgColor theme="9" tint="0.79998168889431442"/>
        </patternFill>
      </fill>
      <alignment horizontal="center" vertical="center" textRotation="0" indent="0" justifyLastLine="0" shrinkToFit="0" readingOrder="0"/>
    </dxf>
    <dxf>
      <border>
        <bottom style="medium">
          <color indexed="64"/>
        </bottom>
      </border>
    </dxf>
    <dxf>
      <font>
        <b/>
        <i val="0"/>
        <strike val="0"/>
        <condense val="0"/>
        <extend val="0"/>
        <outline val="0"/>
        <shadow val="0"/>
        <u val="none"/>
        <vertAlign val="baseline"/>
        <sz val="10"/>
        <color auto="1"/>
        <name val="Calibri"/>
        <scheme val="none"/>
      </font>
      <fill>
        <patternFill patternType="solid">
          <fgColor rgb="FFDBEEF4"/>
          <bgColor rgb="FF92D050"/>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ustomXml" Target="../customXml/item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163942</xdr:colOff>
      <xdr:row>0</xdr:row>
      <xdr:rowOff>115421</xdr:rowOff>
    </xdr:from>
    <xdr:to>
      <xdr:col>16</xdr:col>
      <xdr:colOff>583075</xdr:colOff>
      <xdr:row>2</xdr:row>
      <xdr:rowOff>52564</xdr:rowOff>
    </xdr:to>
    <xdr:pic macro="[3]!GenerateReport">
      <xdr:nvPicPr>
        <xdr:cNvPr id="2" name="Picture 1">
          <a:extLst>
            <a:ext uri="{FF2B5EF4-FFF2-40B4-BE49-F238E27FC236}">
              <a16:creationId xmlns:a16="http://schemas.microsoft.com/office/drawing/2014/main" id="{C2712DD3-F1EF-497A-8DA6-8BF394C88AFF}"/>
            </a:ext>
          </a:extLst>
        </xdr:cNvPr>
        <xdr:cNvPicPr>
          <a:picLocks noChangeAspect="1"/>
        </xdr:cNvPicPr>
      </xdr:nvPicPr>
      <xdr:blipFill>
        <a:blip xmlns:r="http://schemas.openxmlformats.org/officeDocument/2006/relationships" r:embed="rId1"/>
        <a:stretch>
          <a:fillRect/>
        </a:stretch>
      </xdr:blipFill>
      <xdr:spPr>
        <a:xfrm>
          <a:off x="22128592" y="115421"/>
          <a:ext cx="1219233" cy="7658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B0D0597\CPFL%20RGE%20FCU%20-%20Substation%20Hierarch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is.cpfl.com.br/Shkee%20D%20part/Public/Smiljanic/test/TDT_DNP3_example%20for%20SDDT%20-%20VRS_Full%20(version%201)_SKIIII.xlsb.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ortais.cpfl.com.br/sites/vpr/ro/ADMS/Programa%20ADMS/ADMS%20Project/2.%20Design/Data/SCADA/eTerra/Signals%20Explanation/Signals%20explanations%20-%20DMS%20Signal%20Type_ETERRA_V3.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172.16.222.24\UserData\bb.xlsx" TargetMode="External"/><Relationship Id="rId1" Type="http://schemas.openxmlformats.org/officeDocument/2006/relationships/externalLinkPath" Target="file:///\\172.16.222.24\UserData\b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station"/>
      <sheetName val="Accumulator"/>
      <sheetName val="ACLineSegment"/>
      <sheetName val="Analog"/>
      <sheetName val="AnalogAlternateLimit"/>
      <sheetName val="AnalogLimit"/>
      <sheetName val="AnalogLimitSet"/>
      <sheetName val="AnalogRateLimit"/>
      <sheetName val="AutoSelectionCriteria"/>
      <sheetName val="AuxiliaryLoad"/>
      <sheetName val="BlockLoadShedDuplicate"/>
      <sheetName val="BlockLoadShedPoint"/>
      <sheetName val="BusBarSection"/>
      <sheetName val="Calculation"/>
      <sheetName val="CalculationArgument"/>
      <sheetName val="CombustionTurbine"/>
      <sheetName val="Command"/>
      <sheetName val="CommandLock"/>
      <sheetName val="ConductorLength"/>
      <sheetName val="CongestionZone"/>
      <sheetName val="ConnectivityNode"/>
      <sheetName val="ConstantArgument"/>
      <sheetName val="CurrentRelay"/>
      <sheetName val="CurrentTransformer"/>
      <sheetName val="DCConverter"/>
      <sheetName val="DCPole"/>
      <sheetName val="Discrete"/>
      <sheetName val="EquipmentGroup"/>
      <sheetName val="EquipmentGroupControlLock"/>
      <sheetName val="EquivalentBranch"/>
      <sheetName val="EquivalentLoad"/>
      <sheetName val="EquivalentShunt"/>
      <sheetName val="ForbiddenZone"/>
      <sheetName val="FrequencyRelay"/>
      <sheetName val="Fuel"/>
      <sheetName val="GeneratingUnit"/>
      <sheetName val="GenericEquipment"/>
      <sheetName val="GrossToNetActivePowerCurve"/>
      <sheetName val="HostControlArea"/>
      <sheetName val="HydroTurbine"/>
      <sheetName val="ImpedanceRelay"/>
      <sheetName val="IncrementalHeatRateCurve"/>
      <sheetName val="InterSiteAliasName"/>
      <sheetName val="LoadTransfer"/>
      <sheetName val="Market"/>
      <sheetName val="OperatingShare"/>
      <sheetName val="OperationalLimit"/>
      <sheetName val="OperationalLimitSet"/>
      <sheetName val="PlantGenVsDischargeCurve"/>
      <sheetName val="PowerTransformer"/>
      <sheetName val="ProtectionEq_Switch"/>
      <sheetName val="PulseCalibration"/>
      <sheetName val="ResContentVsElevCurve"/>
      <sheetName val="ResourceController"/>
      <sheetName val="SeriesCompensator"/>
      <sheetName val="SetPoint"/>
      <sheetName val="SetPointLock"/>
      <sheetName val="ShuntCompensator"/>
      <sheetName val="StaticVarCompensator"/>
      <sheetName val="SteamSup_SteamTurb"/>
      <sheetName val="SteamTurbine"/>
      <sheetName val="SubstationControlLock"/>
      <sheetName val="Switch"/>
      <sheetName val="Switch_SynchrMachine"/>
      <sheetName val="SynchrocheckRelay"/>
      <sheetName val="SynchronousMachine"/>
      <sheetName val="TailElevVsDischargeCurve"/>
      <sheetName val="TapChanger"/>
      <sheetName val="Terminal"/>
      <sheetName val="TieCorridor"/>
      <sheetName val="TieFlow"/>
      <sheetName val="TransformerWinding"/>
      <sheetName val="VLSBusBarMonitored"/>
      <sheetName val="VoltageLevel"/>
      <sheetName val="VoltageRelay"/>
      <sheetName val="VoltageSourceConverter"/>
      <sheetName val="WaveTrap"/>
      <sheetName val="WeatherStation"/>
      <sheetName val="WindSpeedCurve"/>
      <sheetName val="Substation_zzz"/>
      <sheetName val="AlarmLocation"/>
      <sheetName val="YesNo_PL"/>
      <sheetName val="AreaOfResponsibility"/>
      <sheetName val="AlarmExceptionDefinition"/>
      <sheetName val="AlarmCategory"/>
      <sheetName val="SubGeographicalRegion"/>
      <sheetName val="FrequencyRelay_zzz"/>
      <sheetName val="EquipmentGroupType"/>
      <sheetName val="ProtectionEq_Switch_zzz"/>
      <sheetName val="CloseOpenNone_PL"/>
      <sheetName val="AlternatePreferred_PL"/>
      <sheetName val="VoltageRelay_zzz"/>
      <sheetName val="VoltageLevel_zzz"/>
      <sheetName val="BaseVoltage"/>
      <sheetName val="EquivalentBranch_zzz"/>
      <sheetName val="Terminal_zzz"/>
      <sheetName val="TerminalType_PL"/>
      <sheetName val="Analog_zzz"/>
      <sheetName val="AnalogAlarmCategory"/>
      <sheetName val="AnalogName"/>
      <sheetName val="GeographicalRegion"/>
      <sheetName val="MeasurementType"/>
      <sheetName val="MeasurementUnit_PL"/>
      <sheetName val="MeasurementNormalSource_PL"/>
      <sheetName val="Site"/>
      <sheetName val="ScadaHistory"/>
      <sheetName val="UnitMultiplier_PL"/>
      <sheetName val="UnitSymbol_PL"/>
      <sheetName val="Discrete_zzz"/>
      <sheetName val="TemporaryInhibitionUnit_PL"/>
      <sheetName val="ConversionTable"/>
      <sheetName val="DiscreteAlarmCategory"/>
      <sheetName val="DiscreteName"/>
      <sheetName val="DiscreteType"/>
      <sheetName val="Accumulator_zzz"/>
      <sheetName val="EquivalentShunt_zzz"/>
      <sheetName val="ACLineSegment_zzz"/>
      <sheetName val="CurrentRelay_zzz"/>
      <sheetName val="ImpedanceRelay_zzz"/>
      <sheetName val="ConductorLength_zzz"/>
      <sheetName val="OperationalLimitSet_zzz"/>
      <sheetName val="OperationalLimit_zzz"/>
      <sheetName val="EMSLimitType_PL"/>
      <sheetName val="OpLimitType_PL"/>
      <sheetName val="AuxiliaryLoad_zzz"/>
      <sheetName val="BusBarSection_zzz"/>
      <sheetName val="VLSBusBarMonitored_zzz"/>
      <sheetName val="DCConverter_zzz"/>
      <sheetName val="EquivalentLoad_zzz"/>
      <sheetName val="EnergyConsumerType_PL"/>
      <sheetName val="PhaseList_PL"/>
      <sheetName val="LoadTransfer_zzz"/>
      <sheetName val="SynchronousMachine_zzz"/>
      <sheetName val="CondenserOperatingMode_PL"/>
      <sheetName val="CondenserType_PL"/>
      <sheetName val="CoolantType_PL"/>
      <sheetName val="CombustionTurbine_zzz"/>
      <sheetName val="HydroTurbine_zzz"/>
      <sheetName val="SteamTurbine_zzz"/>
      <sheetName val="SteamSup_SteamTurb_zzz"/>
      <sheetName val="Switch_SynchrMachine_zzz"/>
      <sheetName val="SeriesCompensator_zzz"/>
      <sheetName val="ShuntCompensator_zzz"/>
      <sheetName val="StaticVarCompensator_zzz"/>
      <sheetName val="Switch_zzz"/>
      <sheetName val="SwitchType_PL"/>
      <sheetName val="SynchrocheckRelay_zzz"/>
      <sheetName val="VoltageSourceConverter_zzz"/>
      <sheetName val="PowerTransformer_zzz"/>
      <sheetName val="TransformerConnectionType_P"/>
      <sheetName val="TransformerWinding_zzz"/>
      <sheetName val="WindingType_PL"/>
      <sheetName val="TapChanger_zzz"/>
      <sheetName val="TransformerControlMode_PL"/>
      <sheetName val="TapChangerKind_PL"/>
      <sheetName val="CurrentTransformer_zzz"/>
      <sheetName val="WaveTrap_zzz"/>
      <sheetName val="GeneratingUnit_zzz"/>
      <sheetName val="UnitControlSource_PL"/>
      <sheetName val="RTGENDataTransferType_PL"/>
      <sheetName val="GeneratingUnitType_PL"/>
      <sheetName val="NonPhysicalUnitType_PL"/>
      <sheetName val="FuelMixSchedulesType_PL"/>
      <sheetName val="ConnectivityNode_zzz"/>
      <sheetName val="ACDC_PL"/>
      <sheetName val="SubstationControlLock_zzz"/>
      <sheetName val="EquipmentGroup_zzz"/>
      <sheetName val="BayType"/>
      <sheetName val="EquipmentGroupControlLock_zzz"/>
      <sheetName val="AnalogLimitSet_zzz"/>
      <sheetName val="LimitSetType_PL"/>
      <sheetName val="AnalogLimit_zzz"/>
      <sheetName val="AnalogLimitName"/>
      <sheetName val="LimitAlarmCategory"/>
      <sheetName val="LimitType_PL"/>
      <sheetName val="AnalogAlternateLimit_zzz"/>
      <sheetName val="InterSiteAliasName_zzz"/>
      <sheetName val="AnalogRateLimit_zzz"/>
      <sheetName val="ScadaTriggerTimer"/>
      <sheetName val="SetPoint_zzz"/>
      <sheetName val="SetPointLock_zzz"/>
      <sheetName val="Command_zzz"/>
      <sheetName val="CommandName"/>
      <sheetName val="ClosedOpen_PL"/>
      <sheetName val="CommandLock_zzz"/>
      <sheetName val="ConstantArgument_zzz"/>
      <sheetName val="Calculation_zzz"/>
      <sheetName val="CalculationFunction"/>
      <sheetName val="ControlCalculationType_PL"/>
      <sheetName val="CalculationArgument_zzz"/>
      <sheetName val="CalculationFunctionArg"/>
      <sheetName val="BlockLoadShedDuplicate_zzz"/>
      <sheetName val="BlockLoadShedPoint_zzz"/>
      <sheetName val="TieCorridor_zzz"/>
      <sheetName val="TieAdjustementFocusType_PL"/>
      <sheetName val="CalculatedFactorType_PL"/>
      <sheetName val="JAGCTieType_PL"/>
      <sheetName val="TieDevParamUsageType_PL"/>
      <sheetName val="TieCorridorStatusType_PL"/>
      <sheetName val="TieDevAdjustType_PL"/>
      <sheetName val="DCPole_zzz"/>
      <sheetName val="IncrementalHeatRateCurve_zzz"/>
      <sheetName val="CurveStyle_PL"/>
      <sheetName val="ResourceController_zzz"/>
      <sheetName val="FactorSourceType_PL"/>
      <sheetName val="PLCBasepointModeType_PL"/>
      <sheetName val="ControlFeedbackType_PL"/>
      <sheetName val="PLCControlStatusType_PL"/>
      <sheetName val="PLCControlType_PL"/>
      <sheetName val="GenAllocationMethodType_PL"/>
      <sheetName val="RegPreferenceType_PL"/>
      <sheetName val="HostControlArea_zzz"/>
      <sheetName val="AreaControlModeType_PL"/>
      <sheetName val="AreaControlStatusType_PL"/>
      <sheetName val="AreaEDCostCompType_PL"/>
      <sheetName val="BackupSchedRampType_PL"/>
      <sheetName val="ControlAreaTypeKind_PL"/>
      <sheetName val="RegAllocationType_PL"/>
      <sheetName val="PLCBPRampType_PL"/>
      <sheetName val="EDRequirementType_PL"/>
      <sheetName val="WECCATECMaxType_PL"/>
      <sheetName val="CongestionZone_zzz"/>
      <sheetName val="TieFlow_zzz"/>
      <sheetName val="Market_zzz"/>
      <sheetName val="GenericEquipment_zzz"/>
      <sheetName val="WeatherStation_zzz"/>
      <sheetName val="ResContentVsElevCurve_zzz"/>
      <sheetName val="TailElevVsDischargeCurve_zzz"/>
      <sheetName val="PlantGenVsDischargeCurve_zzz"/>
      <sheetName val="PulseCalibration_zzz"/>
      <sheetName val="ForbiddenZone_zzz"/>
      <sheetName val="Fuel_zzz"/>
      <sheetName val="AutoSelectionCriteria_zzz"/>
      <sheetName val="GrossToNetActivePowerCurve_zzz"/>
      <sheetName val="WindSpeedCurve_zzz"/>
      <sheetName val="OperatingShare_zzz"/>
      <sheetName val="AAE5CAE5BEF442EF8D8A3EF0212"/>
      <sheetName val="AA6698752EBF4A74BB0481C61ED"/>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2">
          <cell r="B2" t="str">
            <v>3I0</v>
          </cell>
        </row>
        <row r="3">
          <cell r="B3" t="str">
            <v>A51F</v>
          </cell>
        </row>
        <row r="4">
          <cell r="B4" t="str">
            <v>A51N</v>
          </cell>
        </row>
        <row r="5">
          <cell r="B5" t="str">
            <v>ANO</v>
          </cell>
        </row>
        <row r="6">
          <cell r="B6" t="str">
            <v>ANTN</v>
          </cell>
        </row>
        <row r="7">
          <cell r="B7" t="str">
            <v>ASGF</v>
          </cell>
        </row>
        <row r="8">
          <cell r="B8" t="str">
            <v>BIHI</v>
          </cell>
        </row>
        <row r="9">
          <cell r="B9" t="str">
            <v>BILO</v>
          </cell>
        </row>
        <row r="10">
          <cell r="B10" t="str">
            <v>CHUV</v>
          </cell>
        </row>
        <row r="11">
          <cell r="B11" t="str">
            <v>DIA</v>
          </cell>
        </row>
        <row r="12">
          <cell r="B12" t="str">
            <v>ENER</v>
          </cell>
        </row>
        <row r="13">
          <cell r="B13" t="str">
            <v>FP</v>
          </cell>
        </row>
        <row r="14">
          <cell r="B14" t="str">
            <v>FREQ</v>
          </cell>
        </row>
        <row r="15">
          <cell r="B15" t="str">
            <v>I1</v>
          </cell>
        </row>
        <row r="16">
          <cell r="B16" t="str">
            <v>I2</v>
          </cell>
        </row>
        <row r="17">
          <cell r="B17" t="str">
            <v>IA</v>
          </cell>
        </row>
        <row r="18">
          <cell r="B18" t="str">
            <v>IACC</v>
          </cell>
        </row>
        <row r="19">
          <cell r="B19" t="str">
            <v>IB</v>
          </cell>
        </row>
        <row r="20">
          <cell r="B20" t="str">
            <v>IBCC</v>
          </cell>
        </row>
        <row r="21">
          <cell r="B21" t="str">
            <v>IC</v>
          </cell>
        </row>
        <row r="22">
          <cell r="B22" t="str">
            <v>ICCC</v>
          </cell>
        </row>
        <row r="23">
          <cell r="B23" t="str">
            <v>IN</v>
          </cell>
        </row>
        <row r="24">
          <cell r="B24" t="str">
            <v>IN61</v>
          </cell>
        </row>
        <row r="25">
          <cell r="B25" t="str">
            <v>INB1</v>
          </cell>
        </row>
        <row r="26">
          <cell r="B26" t="str">
            <v>INB2</v>
          </cell>
        </row>
        <row r="27">
          <cell r="B27" t="str">
            <v>INCC</v>
          </cell>
        </row>
        <row r="28">
          <cell r="B28" t="str">
            <v>I_C</v>
          </cell>
        </row>
        <row r="29">
          <cell r="B29" t="str">
            <v>I_F</v>
          </cell>
        </row>
        <row r="30">
          <cell r="B30" t="str">
            <v>KMDF</v>
          </cell>
        </row>
        <row r="31">
          <cell r="B31" t="str">
            <v>MES</v>
          </cell>
        </row>
        <row r="32">
          <cell r="B32" t="str">
            <v>MODN</v>
          </cell>
        </row>
        <row r="33">
          <cell r="B33" t="str">
            <v>NOME</v>
          </cell>
        </row>
        <row r="34">
          <cell r="B34" t="str">
            <v>OPER</v>
          </cell>
        </row>
        <row r="35">
          <cell r="B35" t="str">
            <v>P</v>
          </cell>
        </row>
        <row r="36">
          <cell r="B36" t="str">
            <v>PCVA</v>
          </cell>
        </row>
        <row r="37">
          <cell r="B37" t="str">
            <v>PRAT</v>
          </cell>
        </row>
        <row r="38">
          <cell r="B38" t="str">
            <v>P_CA</v>
          </cell>
        </row>
        <row r="39">
          <cell r="B39" t="str">
            <v>Q</v>
          </cell>
        </row>
        <row r="40">
          <cell r="B40" t="str">
            <v>RTC</v>
          </cell>
        </row>
        <row r="41">
          <cell r="B41" t="str">
            <v>S</v>
          </cell>
        </row>
        <row r="42">
          <cell r="B42" t="str">
            <v>TAP</v>
          </cell>
        </row>
        <row r="43">
          <cell r="B43" t="str">
            <v>TEMP</v>
          </cell>
        </row>
        <row r="44">
          <cell r="B44" t="str">
            <v>TENR</v>
          </cell>
        </row>
        <row r="45">
          <cell r="B45" t="str">
            <v>TINT</v>
          </cell>
        </row>
        <row r="46">
          <cell r="B46" t="str">
            <v>TMPI</v>
          </cell>
        </row>
        <row r="47">
          <cell r="B47" t="str">
            <v>TOLE</v>
          </cell>
        </row>
        <row r="48">
          <cell r="B48" t="str">
            <v>TPAM</v>
          </cell>
        </row>
        <row r="49">
          <cell r="B49" t="str">
            <v>TPBT</v>
          </cell>
        </row>
        <row r="50">
          <cell r="B50" t="str">
            <v>UMDI</v>
          </cell>
        </row>
        <row r="51">
          <cell r="B51" t="str">
            <v>UMID</v>
          </cell>
        </row>
        <row r="52">
          <cell r="B52" t="str">
            <v>V</v>
          </cell>
        </row>
        <row r="53">
          <cell r="B53" t="str">
            <v>VA</v>
          </cell>
        </row>
        <row r="54">
          <cell r="B54" t="str">
            <v>VAB</v>
          </cell>
        </row>
        <row r="55">
          <cell r="B55" t="str">
            <v>VABC</v>
          </cell>
        </row>
        <row r="56">
          <cell r="B56" t="str">
            <v>VABL</v>
          </cell>
        </row>
        <row r="57">
          <cell r="B57" t="str">
            <v>VA_B</v>
          </cell>
        </row>
        <row r="58">
          <cell r="B58" t="str">
            <v>VA_L</v>
          </cell>
        </row>
        <row r="59">
          <cell r="B59" t="str">
            <v>VB</v>
          </cell>
        </row>
        <row r="60">
          <cell r="B60" t="str">
            <v>VBAT</v>
          </cell>
        </row>
        <row r="61">
          <cell r="B61" t="str">
            <v>VBC</v>
          </cell>
        </row>
        <row r="62">
          <cell r="B62" t="str">
            <v>VB_B</v>
          </cell>
        </row>
        <row r="63">
          <cell r="B63" t="str">
            <v>VB_L</v>
          </cell>
        </row>
        <row r="64">
          <cell r="B64" t="str">
            <v>VC</v>
          </cell>
        </row>
        <row r="65">
          <cell r="B65" t="str">
            <v>VCA</v>
          </cell>
        </row>
        <row r="66">
          <cell r="B66" t="str">
            <v>VCA1</v>
          </cell>
        </row>
        <row r="67">
          <cell r="B67" t="str">
            <v>VCA2</v>
          </cell>
        </row>
        <row r="68">
          <cell r="B68" t="str">
            <v>VCA3</v>
          </cell>
        </row>
        <row r="69">
          <cell r="B69" t="str">
            <v>VCC</v>
          </cell>
        </row>
        <row r="70">
          <cell r="B70" t="str">
            <v>VC_B</v>
          </cell>
        </row>
        <row r="71">
          <cell r="B71" t="str">
            <v>VC_L</v>
          </cell>
        </row>
        <row r="72">
          <cell r="B72" t="str">
            <v>VIN</v>
          </cell>
        </row>
        <row r="73">
          <cell r="B73" t="str">
            <v>VNTD</v>
          </cell>
        </row>
        <row r="74">
          <cell r="B74" t="str">
            <v>VNTV</v>
          </cell>
        </row>
        <row r="75">
          <cell r="B75" t="str">
            <v>VOUT</v>
          </cell>
        </row>
        <row r="76">
          <cell r="B76" t="str">
            <v>VREF</v>
          </cell>
        </row>
        <row r="77">
          <cell r="B77" t="str">
            <v>V_C</v>
          </cell>
        </row>
        <row r="78">
          <cell r="B78" t="str">
            <v>V_F</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DMSMatchingTemplateInfo"/>
      <sheetName val="DNP3_RTUs"/>
      <sheetName val="DNP3_ScanGroups"/>
      <sheetName val="DNP3_CommLinks"/>
      <sheetName val="DNP3_DiscreteSignals"/>
      <sheetName val="DNP3_AnalogSignals"/>
      <sheetName val="PtoEstSE_PFE"/>
      <sheetName val="PtoDadSE_PFE"/>
      <sheetName val="UTR_Pirateninga"/>
      <sheetName val="SDDT"/>
    </sheetNames>
    <sheetDataSet>
      <sheetData sheetId="0">
        <row r="28">
          <cell r="L28" t="str">
            <v>Custom</v>
          </cell>
        </row>
        <row r="29">
          <cell r="L29" t="str">
            <v>MeasuredValue</v>
          </cell>
        </row>
        <row r="30">
          <cell r="L30" t="str">
            <v>ControlSetValue</v>
          </cell>
        </row>
        <row r="31">
          <cell r="L31" t="str">
            <v>ControlBandwidth</v>
          </cell>
        </row>
        <row r="32">
          <cell r="L32" t="str">
            <v>ControlDelay</v>
          </cell>
        </row>
        <row r="33">
          <cell r="L33" t="str">
            <v>ControlSubDelay</v>
          </cell>
        </row>
        <row r="34">
          <cell r="L34" t="str">
            <v>ControlLimitHigh</v>
          </cell>
        </row>
        <row r="35">
          <cell r="L35" t="str">
            <v>ControlLimitLow</v>
          </cell>
        </row>
        <row r="36">
          <cell r="L36" t="str">
            <v>ControlSlopeReal</v>
          </cell>
        </row>
        <row r="37">
          <cell r="L37" t="str">
            <v>ControlSlopeImag</v>
          </cell>
        </row>
        <row r="38">
          <cell r="L38" t="str">
            <v>FaultRecorder</v>
          </cell>
        </row>
        <row r="39">
          <cell r="L39" t="str">
            <v>WeatherData</v>
          </cell>
        </row>
        <row r="40">
          <cell r="L40" t="str">
            <v>BellwetherMeter</v>
          </cell>
        </row>
        <row r="41">
          <cell r="L41" t="str">
            <v>RecloseDelay</v>
          </cell>
        </row>
        <row r="42">
          <cell r="L42" t="str">
            <v>FaultCurrentSub</v>
          </cell>
        </row>
        <row r="43">
          <cell r="L43" t="str">
            <v>FaultAngleSub</v>
          </cell>
        </row>
        <row r="44">
          <cell r="L44" t="str">
            <v>FaultCurrentTrans</v>
          </cell>
        </row>
        <row r="45">
          <cell r="L45" t="str">
            <v>FaultAngleTrans</v>
          </cell>
        </row>
        <row r="46">
          <cell r="L46" t="str">
            <v>DeltaVoltage</v>
          </cell>
        </row>
        <row r="47">
          <cell r="L47" t="str">
            <v>MaxRampUp</v>
          </cell>
        </row>
        <row r="48">
          <cell r="L48" t="str">
            <v>MaxRampDown</v>
          </cell>
        </row>
        <row r="49">
          <cell r="L49" t="str">
            <v>Charged</v>
          </cell>
        </row>
        <row r="50">
          <cell r="L50" t="str">
            <v>EnergyPrice</v>
          </cell>
        </row>
        <row r="51">
          <cell r="L51" t="str">
            <v>GenerationPrice</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ETERRA"/>
      <sheetName val="apoio"/>
      <sheetName val="Information"/>
      <sheetName val="DMS Singnal Explanation"/>
      <sheetName val="Discrete"/>
      <sheetName val="DiscreteName"/>
      <sheetName val="DiscreteType"/>
      <sheetName val="DiscreteAlarmCategory"/>
      <sheetName val="CommandName"/>
      <sheetName val="Command"/>
      <sheetName val="Signals explanations - DMS Sign"/>
    </sheetNames>
    <definedNames>
      <definedName name="GenerateRepor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sheetName val="DMSMatchingTemplateInfo"/>
      <sheetName val="NoteCatalog"/>
      <sheetName val="AlarmCatalog"/>
      <sheetName val="EventCatalog"/>
      <sheetName val="AlarmLimits"/>
      <sheetName val="LimitSets"/>
      <sheetName val="TagCatalog"/>
      <sheetName val="MessageMappings"/>
      <sheetName val="DOMCatalog"/>
    </sheetNames>
    <sheetDataSet>
      <sheetData sheetId="0"/>
      <sheetData sheetId="1"/>
      <sheetData sheetId="2"/>
      <sheetData sheetId="3">
        <row r="1">
          <cell r="A1" t="str">
            <v>Alarm Catalog</v>
          </cell>
          <cell r="B1"/>
          <cell r="C1"/>
          <cell r="D1"/>
          <cell r="E1"/>
          <cell r="F1"/>
          <cell r="G1"/>
          <cell r="H1"/>
          <cell r="I1"/>
          <cell r="J1"/>
          <cell r="K1"/>
          <cell r="L1"/>
          <cell r="M1"/>
        </row>
        <row r="2">
          <cell r="A2" t="str">
            <v>ALARMEVENTC</v>
          </cell>
          <cell r="B2"/>
          <cell r="C2"/>
          <cell r="D2"/>
          <cell r="E2"/>
          <cell r="F2"/>
          <cell r="G2"/>
          <cell r="H2"/>
          <cell r="I2"/>
          <cell r="J2"/>
          <cell r="K2"/>
          <cell r="L2"/>
          <cell r="M2"/>
        </row>
        <row r="3">
          <cell r="A3" t="str">
            <v>IDOBJ_NAME</v>
          </cell>
          <cell r="B3" t="str">
            <v>DELETE</v>
          </cell>
          <cell r="C3" t="str">
            <v>IDOBJ_ALIAS</v>
          </cell>
          <cell r="D3" t="str">
            <v>IDOBJ_CUSTOMID</v>
          </cell>
          <cell r="E3" t="str">
            <v>ALARMEVENTC_DOALARM</v>
          </cell>
          <cell r="F3" t="str">
            <v>ALARMEVENTC_TEXT</v>
          </cell>
          <cell r="G3" t="str">
            <v>ALARMEVENTC_INFO</v>
          </cell>
          <cell r="H3" t="str">
            <v>ALARMEVENTC_DELAY</v>
          </cell>
          <cell r="I3" t="str">
            <v>ALARMEVENTC_ESCALATION</v>
          </cell>
          <cell r="J3" t="str">
            <v>ALARMEVENTC_CAUSE</v>
          </cell>
          <cell r="K3" t="str">
            <v>ALARMEVENTC_SEVERITY</v>
          </cell>
          <cell r="L3" t="str">
            <v>ALARMEVENTC_ESCALATEDSEVERITY</v>
          </cell>
          <cell r="M3" t="str">
            <v>ALARMEVENTC_AUTOACKRTN</v>
          </cell>
        </row>
        <row r="4">
          <cell r="A4" t="str">
            <v>Name</v>
          </cell>
          <cell r="B4" t="str">
            <v>Delete</v>
          </cell>
          <cell r="C4" t="str">
            <v>Alias</v>
          </cell>
          <cell r="D4" t="str">
            <v>Custom ID</v>
          </cell>
          <cell r="E4" t="str">
            <v>Do alarm</v>
          </cell>
          <cell r="F4" t="str">
            <v>Text</v>
          </cell>
          <cell r="G4" t="str">
            <v>Alarm Information</v>
          </cell>
          <cell r="H4" t="str">
            <v>Delay [s]</v>
          </cell>
          <cell r="I4" t="str">
            <v>Escalation Timeout [s]</v>
          </cell>
          <cell r="J4" t="str">
            <v>Cause</v>
          </cell>
          <cell r="K4" t="str">
            <v>Severity</v>
          </cell>
          <cell r="L4" t="str">
            <v>Escalated Severity</v>
          </cell>
          <cell r="M4" t="str">
            <v>Auto Acknowledge RTN</v>
          </cell>
        </row>
        <row r="5">
          <cell r="A5" t="str">
            <v>[Default] Alarm/Event Analog creep</v>
          </cell>
          <cell r="B5" t="str">
            <v/>
          </cell>
          <cell r="C5" t="str">
            <v/>
          </cell>
          <cell r="D5" t="str">
            <v>Default_CREEP</v>
          </cell>
          <cell r="E5" t="b">
            <v>1</v>
          </cell>
          <cell r="F5" t="str">
            <v>Valor = {0: G} {1} (ocorrência de CREEP) {2}</v>
          </cell>
          <cell r="G5" t="str">
            <v/>
          </cell>
          <cell r="H5">
            <v>0</v>
          </cell>
          <cell r="I5">
            <v>0</v>
          </cell>
          <cell r="J5" t="str">
            <v>AnalogCreep</v>
          </cell>
          <cell r="K5" t="str">
            <v>Severidade 15</v>
          </cell>
          <cell r="L5" t="str">
            <v>Severidade 16</v>
          </cell>
          <cell r="M5" t="b">
            <v>0</v>
          </cell>
        </row>
        <row r="6">
          <cell r="A6" t="str">
            <v>[Default] Alarm/Event Analog drop rate</v>
          </cell>
          <cell r="B6" t="str">
            <v/>
          </cell>
          <cell r="C6" t="str">
            <v>ALVARI</v>
          </cell>
          <cell r="D6" t="str">
            <v>Default_ROC_DROP</v>
          </cell>
          <cell r="E6" t="b">
            <v>1</v>
          </cell>
          <cell r="F6" t="str">
            <v>ALVARI - Valor {0: G} {1} {2} - Inferior []</v>
          </cell>
          <cell r="G6" t="str">
            <v>Variação brusca - ocorrência de ROC inferior</v>
          </cell>
          <cell r="H6">
            <v>0</v>
          </cell>
          <cell r="I6">
            <v>0</v>
          </cell>
          <cell r="J6" t="str">
            <v>AnalogDrop</v>
          </cell>
          <cell r="K6" t="str">
            <v>Severidade 15</v>
          </cell>
          <cell r="L6" t="str">
            <v>Severidade 16</v>
          </cell>
          <cell r="M6" t="b">
            <v>0</v>
          </cell>
        </row>
        <row r="7">
          <cell r="A7" t="str">
            <v>[Default] Alarm/Event Analog flatline</v>
          </cell>
          <cell r="B7" t="str">
            <v/>
          </cell>
          <cell r="C7" t="str">
            <v>DADCNG</v>
          </cell>
          <cell r="D7" t="str">
            <v>Default_FLAT</v>
          </cell>
          <cell r="E7" t="b">
            <v>1</v>
          </cell>
          <cell r="F7" t="str">
            <v>DADCNG - Valor {0: G} {1} ( {2} segundos) []</v>
          </cell>
          <cell r="G7" t="str">
            <v>Dados congelados</v>
          </cell>
          <cell r="H7">
            <v>0</v>
          </cell>
          <cell r="I7">
            <v>0</v>
          </cell>
          <cell r="J7" t="str">
            <v>AnalogFlatline</v>
          </cell>
          <cell r="K7" t="str">
            <v>Severidade 15</v>
          </cell>
          <cell r="L7" t="str">
            <v>Severidade 16</v>
          </cell>
          <cell r="M7" t="b">
            <v>0</v>
          </cell>
        </row>
        <row r="8">
          <cell r="A8" t="str">
            <v>[Default] Alarm/Event Analog flatline return-to-normal</v>
          </cell>
          <cell r="B8" t="str">
            <v/>
          </cell>
          <cell r="C8" t="str">
            <v>FIMCNG</v>
          </cell>
          <cell r="D8" t="str">
            <v>Default_FLAT_RTN</v>
          </cell>
          <cell r="E8" t="b">
            <v>1</v>
          </cell>
          <cell r="F8" t="str">
            <v>FIMCNG - Valor {0: G} {1} []</v>
          </cell>
          <cell r="G8" t="str">
            <v>Fim de congelamento de dados</v>
          </cell>
          <cell r="H8">
            <v>0</v>
          </cell>
          <cell r="I8">
            <v>0</v>
          </cell>
          <cell r="J8" t="str">
            <v>AnalogFlatline</v>
          </cell>
          <cell r="K8" t="str">
            <v>Severidade 15</v>
          </cell>
          <cell r="L8" t="str">
            <v>Severidade 16</v>
          </cell>
          <cell r="M8" t="b">
            <v>0</v>
          </cell>
        </row>
        <row r="9">
          <cell r="A9" t="str">
            <v>[Default] Alarm/Event Analog growth rate</v>
          </cell>
          <cell r="B9" t="str">
            <v/>
          </cell>
          <cell r="C9" t="str">
            <v>ALVARI</v>
          </cell>
          <cell r="D9" t="str">
            <v>Default_ROC_GROWTH</v>
          </cell>
          <cell r="E9" t="b">
            <v>1</v>
          </cell>
          <cell r="F9" t="str">
            <v>ALVARI - Valor {0: G} {1} {2} - Superior []</v>
          </cell>
          <cell r="G9" t="str">
            <v>Variação Brusca - ocorrência de ROC Superior</v>
          </cell>
          <cell r="H9">
            <v>0</v>
          </cell>
          <cell r="I9">
            <v>0</v>
          </cell>
          <cell r="J9" t="str">
            <v>AnalogGrowth</v>
          </cell>
          <cell r="K9" t="str">
            <v>Severidade 15</v>
          </cell>
          <cell r="L9" t="str">
            <v>Severidade 16</v>
          </cell>
          <cell r="M9" t="b">
            <v>0</v>
          </cell>
        </row>
        <row r="10">
          <cell r="A10" t="str">
            <v>[Default] Alarm/Event Analog high</v>
          </cell>
          <cell r="B10" t="str">
            <v/>
          </cell>
          <cell r="C10" t="str">
            <v/>
          </cell>
          <cell r="D10" t="str">
            <v>Default_HIGH</v>
          </cell>
          <cell r="E10" t="b">
            <v>1</v>
          </cell>
          <cell r="F10" t="str">
            <v>Valor = {0: G} {1} (acima do valor limite NÍVEL ALTO {2} {3: 0,00}) {4}</v>
          </cell>
          <cell r="G10" t="str">
            <v/>
          </cell>
          <cell r="H10">
            <v>0</v>
          </cell>
          <cell r="I10">
            <v>0</v>
          </cell>
          <cell r="J10" t="str">
            <v>AnalogHigh</v>
          </cell>
          <cell r="K10" t="str">
            <v>Severidade 11</v>
          </cell>
          <cell r="L10" t="str">
            <v>Severidade 16</v>
          </cell>
          <cell r="M10" t="b">
            <v>0</v>
          </cell>
        </row>
        <row r="11">
          <cell r="A11" t="str">
            <v>[Default] Alarm/Event Analog low</v>
          </cell>
          <cell r="B11" t="str">
            <v/>
          </cell>
          <cell r="C11" t="str">
            <v/>
          </cell>
          <cell r="D11" t="str">
            <v>Default_LOW</v>
          </cell>
          <cell r="E11" t="b">
            <v>1</v>
          </cell>
          <cell r="F11" t="str">
            <v>Valor = {0: G} {1} (abaixo do valor limite LOW LEVEL {2} {3: 0,00}) {4}</v>
          </cell>
          <cell r="G11" t="str">
            <v/>
          </cell>
          <cell r="H11">
            <v>0</v>
          </cell>
          <cell r="I11">
            <v>0</v>
          </cell>
          <cell r="J11" t="str">
            <v>AnalogLow</v>
          </cell>
          <cell r="K11" t="str">
            <v>Severidade 11</v>
          </cell>
          <cell r="L11" t="str">
            <v>Severidade 16</v>
          </cell>
          <cell r="M11" t="b">
            <v>0</v>
          </cell>
        </row>
        <row r="12">
          <cell r="A12" t="str">
            <v>[Default] Alarm/Event Analog return-to-normal</v>
          </cell>
          <cell r="B12" t="str">
            <v/>
          </cell>
          <cell r="C12" t="str">
            <v/>
          </cell>
          <cell r="D12" t="str">
            <v>Default_ANALOG_RTN</v>
          </cell>
          <cell r="E12" t="b">
            <v>1</v>
          </cell>
          <cell r="F12" t="str">
            <v>Valor = {0:G} {1} (estado NORMAL) {2}</v>
          </cell>
          <cell r="G12" t="str">
            <v/>
          </cell>
          <cell r="H12">
            <v>0</v>
          </cell>
          <cell r="I12">
            <v>0</v>
          </cell>
          <cell r="J12" t="str">
            <v>AnalogRTN</v>
          </cell>
          <cell r="K12" t="str">
            <v>Severidade 15</v>
          </cell>
          <cell r="L12" t="str">
            <v>Severidade 16</v>
          </cell>
          <cell r="M12" t="b">
            <v>0</v>
          </cell>
        </row>
        <row r="13">
          <cell r="A13" t="str">
            <v>[Default] Alarm/Event Discrete state</v>
          </cell>
          <cell r="B13" t="str">
            <v/>
          </cell>
          <cell r="C13" t="str">
            <v/>
          </cell>
          <cell r="D13" t="str">
            <v>Default_DISCRETE</v>
          </cell>
          <cell r="E13" t="b">
            <v>1</v>
          </cell>
          <cell r="F13" t="str">
            <v>{0} of state to {1} ({2} state)</v>
          </cell>
          <cell r="G13" t="str">
            <v/>
          </cell>
          <cell r="H13">
            <v>0</v>
          </cell>
          <cell r="I13">
            <v>0</v>
          </cell>
          <cell r="J13" t="str">
            <v>DiscreteState</v>
          </cell>
          <cell r="K13" t="str">
            <v>Severidade 15</v>
          </cell>
          <cell r="L13" t="str">
            <v>Severidade 16</v>
          </cell>
          <cell r="M13" t="b">
            <v>0</v>
          </cell>
        </row>
        <row r="14">
          <cell r="A14" t="str">
            <v>Abnormal ADC Failure alarm event catalog</v>
          </cell>
          <cell r="B14" t="str">
            <v/>
          </cell>
          <cell r="C14" t="str">
            <v/>
          </cell>
          <cell r="D14" t="str">
            <v>ADC_Failure</v>
          </cell>
          <cell r="E14" t="b">
            <v>1</v>
          </cell>
          <cell r="F14" t="str">
            <v>Falha no ADC detectada na RTU.</v>
          </cell>
          <cell r="G14" t="str">
            <v/>
          </cell>
          <cell r="H14">
            <v>0</v>
          </cell>
          <cell r="I14">
            <v>0</v>
          </cell>
          <cell r="J14" t="str">
            <v>ApplicationAlarm</v>
          </cell>
          <cell r="K14" t="str">
            <v>Severidade 6</v>
          </cell>
          <cell r="L14" t="str">
            <v>Severidade 16</v>
          </cell>
          <cell r="M14" t="b">
            <v>0</v>
          </cell>
        </row>
        <row r="15">
          <cell r="A15" t="str">
            <v>Acquisition queue limit exceeded</v>
          </cell>
          <cell r="B15" t="str">
            <v/>
          </cell>
          <cell r="C15" t="str">
            <v/>
          </cell>
          <cell r="D15" t="str">
            <v>FEP_ACQUISITION_QUEUE_LIMIT_EXCEEDED</v>
          </cell>
          <cell r="E15" t="b">
            <v>1</v>
          </cell>
          <cell r="F15" t="str">
            <v>A capacidade da fila de aquisição {0} excedeu com o tipo: {1}.</v>
          </cell>
          <cell r="G15" t="str">
            <v/>
          </cell>
          <cell r="H15">
            <v>0</v>
          </cell>
          <cell r="I15">
            <v>0</v>
          </cell>
          <cell r="J15" t="str">
            <v>ApplicationAlarm</v>
          </cell>
          <cell r="K15" t="str">
            <v>Severidade 9</v>
          </cell>
          <cell r="L15" t="str">
            <v>Severidade 16</v>
          </cell>
          <cell r="M15" t="b">
            <v>0</v>
          </cell>
        </row>
        <row r="16">
          <cell r="A16" t="str">
            <v>Activate Modem Link Failed</v>
          </cell>
          <cell r="B16" t="str">
            <v/>
          </cell>
          <cell r="C16" t="str">
            <v/>
          </cell>
          <cell r="D16" t="str">
            <v>FEP_MODEM_ACTIVATE_FAILED</v>
          </cell>
          <cell r="E16" t="b">
            <v>0</v>
          </cell>
          <cell r="F16" t="str">
            <v>Falha ao estabelecer a chamada discada para a RTU no número {0}.</v>
          </cell>
          <cell r="G16" t="str">
            <v/>
          </cell>
          <cell r="H16">
            <v>0</v>
          </cell>
          <cell r="I16">
            <v>0</v>
          </cell>
          <cell r="J16" t="str">
            <v>ApplicationAlarm</v>
          </cell>
          <cell r="K16" t="str">
            <v>Severidade 16</v>
          </cell>
          <cell r="L16" t="str">
            <v>Severidade 16</v>
          </cell>
          <cell r="M16" t="b">
            <v>0</v>
          </cell>
        </row>
        <row r="17">
          <cell r="A17" t="str">
            <v>ADC returned to normal</v>
          </cell>
          <cell r="B17" t="str">
            <v/>
          </cell>
          <cell r="C17" t="str">
            <v/>
          </cell>
          <cell r="D17" t="str">
            <v>MGMS_ADC_SUSPEND_MODE_RTN</v>
          </cell>
          <cell r="E17" t="b">
            <v>1</v>
          </cell>
          <cell r="F17" t="str">
            <v>A função ADC não está mais suspensa.</v>
          </cell>
          <cell r="G17" t="str">
            <v/>
          </cell>
          <cell r="H17">
            <v>0</v>
          </cell>
          <cell r="I17">
            <v>0</v>
          </cell>
          <cell r="J17" t="str">
            <v>ApplicationAlarm</v>
          </cell>
          <cell r="K17" t="str">
            <v>Severidade 8</v>
          </cell>
          <cell r="L17" t="str">
            <v>Severidade 16</v>
          </cell>
          <cell r="M17" t="b">
            <v>0</v>
          </cell>
        </row>
        <row r="18">
          <cell r="A18" t="str">
            <v>ADC suspended</v>
          </cell>
          <cell r="B18" t="str">
            <v/>
          </cell>
          <cell r="C18" t="str">
            <v/>
          </cell>
          <cell r="D18" t="str">
            <v>MGMS_ADC_SUSPEND_MODE</v>
          </cell>
          <cell r="E18" t="b">
            <v>1</v>
          </cell>
          <cell r="F18" t="str">
            <v>A função ADC está suspensa. {0}</v>
          </cell>
          <cell r="G18" t="str">
            <v/>
          </cell>
          <cell r="H18">
            <v>0</v>
          </cell>
          <cell r="I18">
            <v>0</v>
          </cell>
          <cell r="J18" t="str">
            <v>ApplicationAlarm</v>
          </cell>
          <cell r="K18" t="str">
            <v>Severidade 8</v>
          </cell>
          <cell r="L18" t="str">
            <v>Severidade 16</v>
          </cell>
          <cell r="M18" t="b">
            <v>0</v>
          </cell>
        </row>
        <row r="19">
          <cell r="A19" t="str">
            <v>Adequate protection settings</v>
          </cell>
          <cell r="B19" t="str">
            <v/>
          </cell>
          <cell r="C19" t="str">
            <v/>
          </cell>
          <cell r="D19" t="str">
            <v>DMS_CFS_PE_GOOD_SETTING</v>
          </cell>
          <cell r="E19" t="b">
            <v>0</v>
          </cell>
          <cell r="F19" t="str">
            <v>A configuração de proteção do dispositivo é adequada.</v>
          </cell>
          <cell r="G19" t="str">
            <v/>
          </cell>
          <cell r="H19">
            <v>0</v>
          </cell>
          <cell r="I19">
            <v>0</v>
          </cell>
          <cell r="J19" t="str">
            <v>ApplicationAlarm</v>
          </cell>
          <cell r="K19" t="str">
            <v>Severidade 10</v>
          </cell>
          <cell r="L19" t="str">
            <v>Severidade 16</v>
          </cell>
          <cell r="M19" t="b">
            <v>0</v>
          </cell>
        </row>
        <row r="20">
          <cell r="A20" t="str">
            <v>Admin Pager Error</v>
          </cell>
          <cell r="B20" t="str">
            <v/>
          </cell>
          <cell r="C20" t="str">
            <v/>
          </cell>
          <cell r="D20" t="str">
            <v>SYSTEM_ADMINPAGER_ADMINPAGERERROR_2</v>
          </cell>
          <cell r="E20" t="b">
            <v>0</v>
          </cell>
          <cell r="F20" t="str">
            <v>Mensagem de administrador inválida recebida para o tópico {0}. O mecanismo PubSub não está conectado.</v>
          </cell>
          <cell r="G20" t="str">
            <v/>
          </cell>
          <cell r="H20">
            <v>0</v>
          </cell>
          <cell r="I20">
            <v>0</v>
          </cell>
          <cell r="J20" t="str">
            <v>SystemAlarm</v>
          </cell>
          <cell r="K20" t="str">
            <v>Severidade 14</v>
          </cell>
          <cell r="L20" t="str">
            <v>Severidade 16</v>
          </cell>
          <cell r="M20" t="b">
            <v>0</v>
          </cell>
        </row>
        <row r="21">
          <cell r="A21" t="str">
            <v>Admin Pager Message</v>
          </cell>
          <cell r="B21" t="str">
            <v/>
          </cell>
          <cell r="C21" t="str">
            <v/>
          </cell>
          <cell r="D21" t="str">
            <v>SYSTEM_ADMINPAGER_ADMINPAGERMESSAGE_1</v>
          </cell>
          <cell r="E21" t="b">
            <v>0</v>
          </cell>
          <cell r="F21" t="str">
            <v>PubSub engine is connected. Any custom admin pager messageâ€¦</v>
          </cell>
          <cell r="G21" t="str">
            <v/>
          </cell>
          <cell r="H21">
            <v>0</v>
          </cell>
          <cell r="I21">
            <v>0</v>
          </cell>
          <cell r="J21" t="str">
            <v>SystemAlarm</v>
          </cell>
          <cell r="K21" t="str">
            <v>Severidade 14</v>
          </cell>
          <cell r="L21" t="str">
            <v>Severidade 16</v>
          </cell>
          <cell r="M21" t="b">
            <v>0</v>
          </cell>
        </row>
        <row r="22">
          <cell r="A22" t="str">
            <v>Admin Pager Uncategorized Event</v>
          </cell>
          <cell r="B22" t="str">
            <v/>
          </cell>
          <cell r="C22" t="str">
            <v/>
          </cell>
          <cell r="D22" t="str">
            <v>SYSTEM_ADMINPAGER_ADMINPAGERUNCATEGORIZEDEVENT_3</v>
          </cell>
          <cell r="E22" t="b">
            <v>0</v>
          </cell>
          <cell r="F22" t="str">
            <v>â€¦</v>
          </cell>
          <cell r="G22" t="str">
            <v/>
          </cell>
          <cell r="H22">
            <v>0</v>
          </cell>
          <cell r="I22">
            <v>0</v>
          </cell>
          <cell r="J22" t="str">
            <v>SystemAlarm</v>
          </cell>
          <cell r="K22" t="str">
            <v>Severidade 14</v>
          </cell>
          <cell r="L22" t="str">
            <v>Severidade 16</v>
          </cell>
          <cell r="M22" t="b">
            <v>0</v>
          </cell>
        </row>
        <row r="23">
          <cell r="A23" t="str">
            <v>AGC returned to normal</v>
          </cell>
          <cell r="B23" t="str">
            <v/>
          </cell>
          <cell r="C23" t="str">
            <v/>
          </cell>
          <cell r="D23" t="str">
            <v>GMS_AGC_SUSPEND_MODE_RTN</v>
          </cell>
          <cell r="E23" t="b">
            <v>1</v>
          </cell>
          <cell r="F23" t="str">
            <v>A função AGC não é mais suspensa.</v>
          </cell>
          <cell r="G23" t="str">
            <v/>
          </cell>
          <cell r="H23">
            <v>0</v>
          </cell>
          <cell r="I23">
            <v>0</v>
          </cell>
          <cell r="J23" t="str">
            <v>ApplicationAlarm</v>
          </cell>
          <cell r="K23" t="str">
            <v>Severidade 8</v>
          </cell>
          <cell r="L23" t="str">
            <v>Severidade 16</v>
          </cell>
          <cell r="M23" t="b">
            <v>0</v>
          </cell>
        </row>
        <row r="24">
          <cell r="A24" t="str">
            <v>AGC suspended</v>
          </cell>
          <cell r="B24" t="str">
            <v/>
          </cell>
          <cell r="C24" t="str">
            <v/>
          </cell>
          <cell r="D24" t="str">
            <v>GMS_AGC_SUSPEND_MODE</v>
          </cell>
          <cell r="E24" t="b">
            <v>1</v>
          </cell>
          <cell r="F24" t="str">
            <v>A função AGC está suspensa. {0}</v>
          </cell>
          <cell r="G24" t="str">
            <v/>
          </cell>
          <cell r="H24">
            <v>0</v>
          </cell>
          <cell r="I24">
            <v>0</v>
          </cell>
          <cell r="J24" t="str">
            <v>ApplicationAlarm</v>
          </cell>
          <cell r="K24" t="str">
            <v>Severidade 8</v>
          </cell>
          <cell r="L24" t="str">
            <v>Severidade 16</v>
          </cell>
          <cell r="M24" t="b">
            <v>0</v>
          </cell>
        </row>
        <row r="25">
          <cell r="A25" t="str">
            <v>Alarm/Event Analog Command Failed</v>
          </cell>
          <cell r="B25" t="str">
            <v/>
          </cell>
          <cell r="C25" t="str">
            <v>CNEXEC</v>
          </cell>
          <cell r="D25" t="str">
            <v>CMD_FAIL_ANALOG</v>
          </cell>
          <cell r="E25" t="b">
            <v>1</v>
          </cell>
          <cell r="F25" t="str">
            <v>CNEXEC - Ponto de ajuste para {0} Falhou devido a: {1}. O valor atual é: {2} []</v>
          </cell>
          <cell r="G25" t="str">
            <v/>
          </cell>
          <cell r="H25">
            <v>0</v>
          </cell>
          <cell r="I25">
            <v>0</v>
          </cell>
          <cell r="J25" t="str">
            <v>ApplicationAlarm</v>
          </cell>
          <cell r="K25" t="str">
            <v>Severidade 5</v>
          </cell>
          <cell r="L25" t="str">
            <v>Severidade 16</v>
          </cell>
          <cell r="M25" t="b">
            <v>0</v>
          </cell>
        </row>
        <row r="26">
          <cell r="A26" t="str">
            <v>Alarm/Event Analog flatline DoNotAlarm</v>
          </cell>
          <cell r="B26" t="str">
            <v/>
          </cell>
          <cell r="C26" t="str">
            <v/>
          </cell>
          <cell r="D26" t="str">
            <v>12ce3f88-7c61-46d8-8433-42e5b9f9d7db</v>
          </cell>
          <cell r="E26" t="b">
            <v>0</v>
          </cell>
          <cell r="F26" t="str">
            <v>Valor = {0: G} {1} (FLATLINE por {2} segundos)</v>
          </cell>
          <cell r="G26" t="str">
            <v/>
          </cell>
          <cell r="H26">
            <v>0</v>
          </cell>
          <cell r="I26">
            <v>0</v>
          </cell>
          <cell r="J26" t="str">
            <v>AnalogFlatline</v>
          </cell>
          <cell r="K26" t="str">
            <v>Severidade 15</v>
          </cell>
          <cell r="L26" t="str">
            <v>Severidade 16</v>
          </cell>
          <cell r="M26" t="b">
            <v>0</v>
          </cell>
        </row>
        <row r="27">
          <cell r="A27" t="str">
            <v>Alarm/Event Analog invalid value</v>
          </cell>
          <cell r="B27" t="str">
            <v/>
          </cell>
          <cell r="C27" t="str">
            <v/>
          </cell>
          <cell r="D27" t="str">
            <v>INVALID_ANALOG_VALUE</v>
          </cell>
          <cell r="E27" t="b">
            <v>1</v>
          </cell>
          <cell r="F27" t="str">
            <v>Valor = {0} {1} (RAZOÁVEL)</v>
          </cell>
          <cell r="G27" t="str">
            <v/>
          </cell>
          <cell r="H27">
            <v>0</v>
          </cell>
          <cell r="I27">
            <v>0</v>
          </cell>
          <cell r="J27" t="str">
            <v>AnalogReasonability</v>
          </cell>
          <cell r="K27" t="str">
            <v>Severidade 16</v>
          </cell>
          <cell r="L27" t="str">
            <v>Severidade 16</v>
          </cell>
          <cell r="M27" t="b">
            <v>0</v>
          </cell>
        </row>
        <row r="28">
          <cell r="A28" t="str">
            <v xml:space="preserve">Alarm/Event Discrete Command Failed </v>
          </cell>
          <cell r="B28" t="str">
            <v/>
          </cell>
          <cell r="C28" t="str">
            <v>CNEXEC</v>
          </cell>
          <cell r="D28" t="str">
            <v>CMD_FAIL_DISCRETE</v>
          </cell>
          <cell r="E28" t="b">
            <v>1</v>
          </cell>
          <cell r="F28" t="str">
            <v>CNEXEC - Falhou ({1}). Estado atual {2} []</v>
          </cell>
          <cell r="G28" t="str">
            <v>Comando não executado</v>
          </cell>
          <cell r="H28">
            <v>0</v>
          </cell>
          <cell r="I28">
            <v>0</v>
          </cell>
          <cell r="J28" t="str">
            <v>ApplicationAlarm</v>
          </cell>
          <cell r="K28" t="str">
            <v>Severidade 5</v>
          </cell>
          <cell r="L28" t="str">
            <v>Severidade 16</v>
          </cell>
          <cell r="M28" t="b">
            <v>0</v>
          </cell>
        </row>
        <row r="29">
          <cell r="A29" t="str">
            <v>Alarm/Event Discrete state</v>
          </cell>
          <cell r="B29" t="str">
            <v/>
          </cell>
          <cell r="C29" t="str">
            <v/>
          </cell>
          <cell r="D29" t="str">
            <v>90748a1d-b51f-43b2-af7c-7458073fafff</v>
          </cell>
          <cell r="E29" t="b">
            <v>1</v>
          </cell>
          <cell r="F29" t="str">
            <v>{0} do estado para {1} ({2} estado)</v>
          </cell>
          <cell r="G29" t="str">
            <v/>
          </cell>
          <cell r="H29">
            <v>0</v>
          </cell>
          <cell r="I29">
            <v>0</v>
          </cell>
          <cell r="J29" t="str">
            <v>DiscreteState</v>
          </cell>
          <cell r="K29" t="str">
            <v>Severidade 16</v>
          </cell>
          <cell r="L29" t="str">
            <v>Severidade 16</v>
          </cell>
          <cell r="M29" t="b">
            <v>0</v>
          </cell>
        </row>
        <row r="30">
          <cell r="A30" t="str">
            <v>Alarm/Event FEP Connection State Transition</v>
          </cell>
          <cell r="B30" t="str">
            <v/>
          </cell>
          <cell r="C30" t="str">
            <v/>
          </cell>
          <cell r="D30" t="str">
            <v>DMS_NDS_FEP_CONNECTION_STATE_TRANSITION</v>
          </cell>
          <cell r="E30" t="b">
            <v>1</v>
          </cell>
          <cell r="F30" t="str">
            <v>A conexão do FEP {0} foi alterado para {1}</v>
          </cell>
          <cell r="G30" t="str">
            <v>Mudança de estado da conexão do FEP</v>
          </cell>
          <cell r="H30">
            <v>0</v>
          </cell>
          <cell r="I30">
            <v>0</v>
          </cell>
          <cell r="J30" t="str">
            <v>ApplicationAlarm</v>
          </cell>
          <cell r="K30" t="str">
            <v>Severidade 16</v>
          </cell>
          <cell r="L30" t="str">
            <v>Severidade 16</v>
          </cell>
          <cell r="M30" t="b">
            <v>0</v>
          </cell>
        </row>
        <row r="31">
          <cell r="A31" t="str">
            <v>Alarm/Event FEP Connection State Transition Return To Normal</v>
          </cell>
          <cell r="B31" t="str">
            <v/>
          </cell>
          <cell r="C31" t="str">
            <v/>
          </cell>
          <cell r="D31" t="str">
            <v>DMS_NDS_FEP_CONNECTION_STATE_RTN_TRANSITION</v>
          </cell>
          <cell r="E31" t="b">
            <v>1</v>
          </cell>
          <cell r="F31" t="str">
            <v>O estado da conexão para FCS com o ID {0} foi alterado para {1}.</v>
          </cell>
          <cell r="G31" t="str">
            <v/>
          </cell>
          <cell r="H31">
            <v>0</v>
          </cell>
          <cell r="I31">
            <v>0</v>
          </cell>
          <cell r="J31" t="str">
            <v>ApplicationAlarm</v>
          </cell>
          <cell r="K31" t="str">
            <v>Severidade 16</v>
          </cell>
          <cell r="L31" t="str">
            <v>Severidade 16</v>
          </cell>
          <cell r="M31" t="b">
            <v>0</v>
          </cell>
        </row>
        <row r="32">
          <cell r="A32" t="str">
            <v>Alarm/Event FEP Model Alignment Failed</v>
          </cell>
          <cell r="B32" t="str">
            <v/>
          </cell>
          <cell r="C32" t="str">
            <v/>
          </cell>
          <cell r="D32" t="str">
            <v>Default_FCS_CONNECTION_FAIL</v>
          </cell>
          <cell r="E32" t="b">
            <v>1</v>
          </cell>
          <cell r="F32" t="str">
            <v>O alinhamento do modelo com o serviço de Comunicação de Campo falhou.</v>
          </cell>
          <cell r="G32" t="str">
            <v/>
          </cell>
          <cell r="H32">
            <v>0</v>
          </cell>
          <cell r="I32">
            <v>0</v>
          </cell>
          <cell r="J32" t="str">
            <v>SystemAlarm</v>
          </cell>
          <cell r="K32" t="str">
            <v>Severidade 15</v>
          </cell>
          <cell r="L32" t="str">
            <v>Severidade 16</v>
          </cell>
          <cell r="M32" t="b">
            <v>0</v>
          </cell>
        </row>
        <row r="33">
          <cell r="A33" t="str">
            <v>Alternative protection setting is adequate</v>
          </cell>
          <cell r="B33" t="str">
            <v/>
          </cell>
          <cell r="C33" t="str">
            <v/>
          </cell>
          <cell r="D33" t="str">
            <v>DMS_CFS_PE_SUSPICIOUS_SETTING</v>
          </cell>
          <cell r="E33" t="b">
            <v>0</v>
          </cell>
          <cell r="F33" t="str">
            <v>A configuração de proteção do dispositivo não é adequada, mas há uma configuração adequada alternativa.</v>
          </cell>
          <cell r="G33" t="str">
            <v/>
          </cell>
          <cell r="H33">
            <v>0</v>
          </cell>
          <cell r="I33">
            <v>0</v>
          </cell>
          <cell r="J33" t="str">
            <v>ApplicationAlarm</v>
          </cell>
          <cell r="K33" t="str">
            <v>Severidade 10</v>
          </cell>
          <cell r="L33" t="str">
            <v>Severidade 16</v>
          </cell>
          <cell r="M33" t="b">
            <v>0</v>
          </cell>
        </row>
        <row r="34">
          <cell r="A34" t="str">
            <v>Application calculation failed</v>
          </cell>
          <cell r="B34" t="str">
            <v/>
          </cell>
          <cell r="C34" t="str">
            <v/>
          </cell>
          <cell r="D34" t="str">
            <v>DMS_CFS_FUNC_CALC_FAIL</v>
          </cell>
          <cell r="E34" t="b">
            <v>0</v>
          </cell>
          <cell r="F34" t="str">
            <v>Falha ao executar {0}.</v>
          </cell>
          <cell r="G34" t="str">
            <v/>
          </cell>
          <cell r="H34">
            <v>0</v>
          </cell>
          <cell r="I34">
            <v>0</v>
          </cell>
          <cell r="J34" t="str">
            <v>ApplicationAlarm</v>
          </cell>
          <cell r="K34" t="str">
            <v>Severidade 15</v>
          </cell>
          <cell r="L34" t="str">
            <v>Severidade 16</v>
          </cell>
          <cell r="M34" t="b">
            <v>0</v>
          </cell>
        </row>
        <row r="35">
          <cell r="A35" t="str">
            <v>Application calculation failed on significant network part</v>
          </cell>
          <cell r="B35" t="str">
            <v/>
          </cell>
          <cell r="C35" t="str">
            <v/>
          </cell>
          <cell r="D35" t="str">
            <v>DMS_CFS_FUNC_CALC_FAIL_ON_SIGNIF_NETWORK_PART</v>
          </cell>
          <cell r="E35" t="b">
            <v>0</v>
          </cell>
          <cell r="F35" t="str">
            <v>Falha na execução de {0} para {1}% da rede.</v>
          </cell>
          <cell r="G35" t="str">
            <v/>
          </cell>
          <cell r="H35">
            <v>0</v>
          </cell>
          <cell r="I35">
            <v>0</v>
          </cell>
          <cell r="J35" t="str">
            <v>ApplicationAlarm</v>
          </cell>
          <cell r="K35" t="str">
            <v>Severidade 15</v>
          </cell>
          <cell r="L35" t="str">
            <v>Severidade 16</v>
          </cell>
          <cell r="M35" t="b">
            <v>0</v>
          </cell>
        </row>
        <row r="36">
          <cell r="A36" t="str">
            <v>Application calculation failed on significant network part returned to normal</v>
          </cell>
          <cell r="B36" t="str">
            <v/>
          </cell>
          <cell r="C36" t="str">
            <v/>
          </cell>
          <cell r="D36" t="str">
            <v>DMS_CFS_RTN_FUNC_CALC_FAIL_ON_SIGNIF_NETWORK_PART</v>
          </cell>
          <cell r="E36" t="b">
            <v>0</v>
          </cell>
          <cell r="F36" t="str">
            <v>A porcentagem de falha {0} é abaixo do limite.</v>
          </cell>
          <cell r="G36" t="str">
            <v/>
          </cell>
          <cell r="H36">
            <v>0</v>
          </cell>
          <cell r="I36">
            <v>0</v>
          </cell>
          <cell r="J36" t="str">
            <v>ApplicationAlarm</v>
          </cell>
          <cell r="K36" t="str">
            <v>Severidade 10</v>
          </cell>
          <cell r="L36" t="str">
            <v>Severidade 16</v>
          </cell>
          <cell r="M36" t="b">
            <v>0</v>
          </cell>
        </row>
        <row r="37">
          <cell r="A37" t="str">
            <v>Application calculation failed returned to normal</v>
          </cell>
          <cell r="B37" t="str">
            <v/>
          </cell>
          <cell r="C37" t="str">
            <v/>
          </cell>
          <cell r="D37" t="str">
            <v>DMS_CFS_RTN_FUNC_CALC_FAIL</v>
          </cell>
          <cell r="E37" t="b">
            <v>0</v>
          </cell>
          <cell r="F37" t="str">
            <v>{0} foi executado com sucesso.</v>
          </cell>
          <cell r="G37" t="str">
            <v/>
          </cell>
          <cell r="H37">
            <v>0</v>
          </cell>
          <cell r="I37">
            <v>0</v>
          </cell>
          <cell r="J37" t="str">
            <v>ApplicationAlarm</v>
          </cell>
          <cell r="K37" t="str">
            <v>Severidade 10</v>
          </cell>
          <cell r="L37" t="str">
            <v>Severidade 16</v>
          </cell>
          <cell r="M37" t="b">
            <v>0</v>
          </cell>
        </row>
        <row r="38">
          <cell r="A38" t="str">
            <v>Arbitration Both Hosts Hot</v>
          </cell>
          <cell r="B38" t="str">
            <v/>
          </cell>
          <cell r="C38" t="str">
            <v/>
          </cell>
          <cell r="D38" t="str">
            <v>SYSTEM_ARBITRATION_HOSTSTATEINFORMATION_9</v>
          </cell>
          <cell r="E38" t="b">
            <v>0</v>
          </cell>
          <cell r="F38" t="str">
            <v>Ambos os serviços são quentes! {1} irá parar.</v>
          </cell>
          <cell r="G38" t="str">
            <v/>
          </cell>
          <cell r="H38">
            <v>0</v>
          </cell>
          <cell r="I38">
            <v>0</v>
          </cell>
          <cell r="J38" t="str">
            <v>SystemAlarm</v>
          </cell>
          <cell r="K38" t="str">
            <v>Severidade 14</v>
          </cell>
          <cell r="L38" t="str">
            <v>Severidade 16</v>
          </cell>
          <cell r="M38" t="b">
            <v>0</v>
          </cell>
        </row>
        <row r="39">
          <cell r="A39" t="str">
            <v>Arbitration Child Script Command Failed</v>
          </cell>
          <cell r="B39" t="str">
            <v/>
          </cell>
          <cell r="C39" t="str">
            <v/>
          </cell>
          <cell r="D39" t="str">
            <v>SYSTEM_ARBITRATION_CHILDEXECUTABLESCRIPTFAILURE_24</v>
          </cell>
          <cell r="E39" t="b">
            <v>0</v>
          </cell>
          <cell r="F39" t="str">
            <v>O comando {0} falhou no serviço {1} no computador {2} (motivo '{3}').</v>
          </cell>
          <cell r="G39" t="str">
            <v/>
          </cell>
          <cell r="H39">
            <v>0</v>
          </cell>
          <cell r="I39">
            <v>0</v>
          </cell>
          <cell r="J39" t="str">
            <v>SystemAlarm</v>
          </cell>
          <cell r="K39" t="str">
            <v>Severidade 14</v>
          </cell>
          <cell r="L39" t="str">
            <v>Severidade 16</v>
          </cell>
          <cell r="M39" t="b">
            <v>0</v>
          </cell>
        </row>
        <row r="40">
          <cell r="A40" t="str">
            <v>Arbitration Child Script Failed</v>
          </cell>
          <cell r="B40" t="str">
            <v/>
          </cell>
          <cell r="C40" t="str">
            <v/>
          </cell>
          <cell r="D40" t="str">
            <v>SYSTEM_ARBITRATION_CHILDEXECUTABLESCRIPTFAILURE_38</v>
          </cell>
          <cell r="E40" t="b">
            <v>0</v>
          </cell>
          <cell r="F40" t="str">
            <v>{0} {1} falhou ao executar o serviço {2} no computador {3}. {4} foi retornado (0 = sucesso).</v>
          </cell>
          <cell r="G40" t="str">
            <v/>
          </cell>
          <cell r="H40">
            <v>0</v>
          </cell>
          <cell r="I40">
            <v>0</v>
          </cell>
          <cell r="J40" t="str">
            <v>SystemAlarm</v>
          </cell>
          <cell r="K40" t="str">
            <v>Severidade 14</v>
          </cell>
          <cell r="L40" t="str">
            <v>Severidade 16</v>
          </cell>
          <cell r="M40" t="b">
            <v>0</v>
          </cell>
        </row>
        <row r="41">
          <cell r="A41" t="str">
            <v>Arbitration Child Script Not Exist</v>
          </cell>
          <cell r="B41" t="str">
            <v/>
          </cell>
          <cell r="C41" t="str">
            <v/>
          </cell>
          <cell r="D41" t="str">
            <v>SYSTEM_ARBITRATION_CHILDEXECUTABLESCRIPTFAILURE_40</v>
          </cell>
          <cell r="E41" t="b">
            <v>0</v>
          </cell>
          <cell r="F41" t="str">
            <v>{0} {1} falhou ao executar o serviço {2} no computador {3}. {4} existe?</v>
          </cell>
          <cell r="G41" t="str">
            <v/>
          </cell>
          <cell r="H41">
            <v>0</v>
          </cell>
          <cell r="I41">
            <v>0</v>
          </cell>
          <cell r="J41" t="str">
            <v>SystemAlarm</v>
          </cell>
          <cell r="K41" t="str">
            <v>Severidade 14</v>
          </cell>
          <cell r="L41" t="str">
            <v>Severidade 16</v>
          </cell>
          <cell r="M41" t="b">
            <v>0</v>
          </cell>
        </row>
        <row r="42">
          <cell r="A42" t="str">
            <v>Arbitration Child Script Timeout</v>
          </cell>
          <cell r="B42" t="str">
            <v/>
          </cell>
          <cell r="C42" t="str">
            <v/>
          </cell>
          <cell r="D42" t="str">
            <v>SYSTEM_ARBITRATION_CHILDEXECUTABLESCRIPTFAILURE_39</v>
          </cell>
          <cell r="E42" t="b">
            <v>0</v>
          </cell>
          <cell r="F42" t="str">
            <v>{0} {1} falhou ao executar o serviço {2} no computador {3}. O processo levou mais do que o tempo limite de {4} segundos para ser concluído.</v>
          </cell>
          <cell r="G42" t="str">
            <v/>
          </cell>
          <cell r="H42">
            <v>0</v>
          </cell>
          <cell r="I42">
            <v>0</v>
          </cell>
          <cell r="J42" t="str">
            <v>SystemAlarm</v>
          </cell>
          <cell r="K42" t="str">
            <v>Severidade 14</v>
          </cell>
          <cell r="L42" t="str">
            <v>Severidade 16</v>
          </cell>
          <cell r="M42" t="b">
            <v>0</v>
          </cell>
        </row>
        <row r="43">
          <cell r="A43" t="str">
            <v>Arbitration Dependent Services Not Found</v>
          </cell>
          <cell r="B43" t="str">
            <v/>
          </cell>
          <cell r="C43" t="str">
            <v/>
          </cell>
          <cell r="D43" t="str">
            <v>SYSTEM_ARBITRATION_DNASERVICESHUTDOWN_21</v>
          </cell>
          <cell r="E43" t="b">
            <v>0</v>
          </cell>
          <cell r="F43" t="str">
            <v>Falha ao recuperar a lista de serviços dependentes do serviço {0} no computador {1}.</v>
          </cell>
          <cell r="G43" t="str">
            <v/>
          </cell>
          <cell r="H43">
            <v>0</v>
          </cell>
          <cell r="I43">
            <v>0</v>
          </cell>
          <cell r="J43" t="str">
            <v>SystemAlarm</v>
          </cell>
          <cell r="K43" t="str">
            <v>Severidade 14</v>
          </cell>
          <cell r="L43" t="str">
            <v>Severidade 16</v>
          </cell>
          <cell r="M43" t="b">
            <v>0</v>
          </cell>
        </row>
        <row r="44">
          <cell r="A44" t="str">
            <v>Arbitration Dependent Services Shut Down</v>
          </cell>
          <cell r="B44" t="str">
            <v/>
          </cell>
          <cell r="C44" t="str">
            <v/>
          </cell>
          <cell r="D44" t="str">
            <v>SYSTEM_ARBITRATION_DNASERVICESHUTDOWN_47</v>
          </cell>
          <cell r="E44" t="b">
            <v>0</v>
          </cell>
          <cell r="F44" t="str">
            <v>O serviço {0} e todos os serviços dependentes ({1}) no computador {2} agora estão parados (conforme solicitado pelo usuário {3} em {4}).</v>
          </cell>
          <cell r="G44" t="str">
            <v/>
          </cell>
          <cell r="H44">
            <v>0</v>
          </cell>
          <cell r="I44">
            <v>0</v>
          </cell>
          <cell r="J44" t="str">
            <v>SystemAlarm</v>
          </cell>
          <cell r="K44" t="str">
            <v>Severidade 14</v>
          </cell>
          <cell r="L44" t="str">
            <v>Severidade 16</v>
          </cell>
          <cell r="M44" t="b">
            <v>0</v>
          </cell>
        </row>
        <row r="45">
          <cell r="A45" t="str">
            <v>Arbitration Dependent Services Started</v>
          </cell>
          <cell r="B45" t="str">
            <v/>
          </cell>
          <cell r="C45" t="str">
            <v/>
          </cell>
          <cell r="D45" t="str">
            <v>SYSTEM_ARBITRATION_DNASERVICESTARTUP_45</v>
          </cell>
          <cell r="E45" t="b">
            <v>0</v>
          </cell>
          <cell r="F45" t="str">
            <v>O serviço {0} e todos os serviços dependentes ({1}) no computador {2} agora são iniciados (conforme solicitado pelo usuário {3} em {4}).</v>
          </cell>
          <cell r="G45" t="str">
            <v/>
          </cell>
          <cell r="H45">
            <v>0</v>
          </cell>
          <cell r="I45">
            <v>0</v>
          </cell>
          <cell r="J45" t="str">
            <v>SystemAlarm</v>
          </cell>
          <cell r="K45" t="str">
            <v>Severidade 14</v>
          </cell>
          <cell r="L45" t="str">
            <v>Severidade 16</v>
          </cell>
          <cell r="M45" t="b">
            <v>0</v>
          </cell>
        </row>
        <row r="46">
          <cell r="A46" t="str">
            <v>Arbitration Failover Rejected Cluster Error</v>
          </cell>
          <cell r="B46" t="str">
            <v/>
          </cell>
          <cell r="C46" t="str">
            <v/>
          </cell>
          <cell r="D46" t="str">
            <v>SYSTEM_ARBITRATION_FAILOVEREVENTS_65</v>
          </cell>
          <cell r="E46" t="b">
            <v>1</v>
          </cell>
          <cell r="F46" t="str">
            <v>O failover do serviço {0} no sistema {1} falhou. Consulte o log do MSCS Cluster para obter detalhes (conforme solicitado pelo usuário {2} em {3}).</v>
          </cell>
          <cell r="G46" t="str">
            <v/>
          </cell>
          <cell r="H46">
            <v>0</v>
          </cell>
          <cell r="I46">
            <v>0</v>
          </cell>
          <cell r="J46" t="str">
            <v>SystemAlarm</v>
          </cell>
          <cell r="K46" t="str">
            <v>Severidade 14</v>
          </cell>
          <cell r="L46" t="str">
            <v>Severidade 16</v>
          </cell>
          <cell r="M46" t="b">
            <v>0</v>
          </cell>
        </row>
        <row r="47">
          <cell r="A47" t="str">
            <v>Arbitration Failover Rejected Not Dual</v>
          </cell>
          <cell r="B47" t="str">
            <v/>
          </cell>
          <cell r="C47" t="str">
            <v/>
          </cell>
          <cell r="D47" t="str">
            <v>SYSTEM_ARBITRATION_FAILOVEREVENTS_51</v>
          </cell>
          <cell r="E47" t="b">
            <v>1</v>
          </cell>
          <cell r="F47" t="str">
            <v>O failover do serviço {0} no sistema {1} foi rejeitado porque o serviço não possui hospedagem dupla (conforme solicitado pelo usuário {2} em {3}).</v>
          </cell>
          <cell r="G47" t="str">
            <v/>
          </cell>
          <cell r="H47">
            <v>0</v>
          </cell>
          <cell r="I47">
            <v>0</v>
          </cell>
          <cell r="J47" t="str">
            <v>SystemAlarm</v>
          </cell>
          <cell r="K47" t="str">
            <v>Severidade 14</v>
          </cell>
          <cell r="L47" t="str">
            <v>Severidade 16</v>
          </cell>
          <cell r="M47" t="b">
            <v>0</v>
          </cell>
        </row>
        <row r="48">
          <cell r="A48" t="str">
            <v>Arbitration Failover Rejected Not Hot</v>
          </cell>
          <cell r="B48" t="str">
            <v/>
          </cell>
          <cell r="C48" t="str">
            <v/>
          </cell>
          <cell r="D48" t="str">
            <v>SYSTEM_ARBITRATION_FAILOVEREVENTS_52</v>
          </cell>
          <cell r="E48" t="b">
            <v>1</v>
          </cell>
          <cell r="F48" t="str">
            <v>O failover do serviço {0} no computador {1} foi rejeitado porque este serviço não está quente. Solicitações de failover devem ser feitas no computador HOT (conforme solicitado pelo usuário {2} em {3}).</v>
          </cell>
          <cell r="G48" t="str">
            <v/>
          </cell>
          <cell r="H48">
            <v>0</v>
          </cell>
          <cell r="I48">
            <v>0</v>
          </cell>
          <cell r="J48" t="str">
            <v>SystemAlarm</v>
          </cell>
          <cell r="K48" t="str">
            <v>Severidade 14</v>
          </cell>
          <cell r="L48" t="str">
            <v>Severidade 16</v>
          </cell>
          <cell r="M48" t="b">
            <v>0</v>
          </cell>
        </row>
        <row r="49">
          <cell r="A49" t="str">
            <v>Arbitration Failover Rejected Not Synchronized</v>
          </cell>
          <cell r="B49" t="str">
            <v/>
          </cell>
          <cell r="C49" t="str">
            <v/>
          </cell>
          <cell r="D49" t="str">
            <v>SYSTEM_ARBITRATION_FAILOVEREVENTS_53</v>
          </cell>
          <cell r="E49" t="b">
            <v>1</v>
          </cell>
          <cell r="F49" t="str">
            <v>O failover do serviço {0} no sistema {1} foi rejeitado porque o host do parceiro não está sincronizado. Failover manual somente pode ser realizado se o serviço estiver sincronizado (conforme solicitado pelo usuário {2} em {3}).</v>
          </cell>
          <cell r="G49" t="str">
            <v/>
          </cell>
          <cell r="H49">
            <v>0</v>
          </cell>
          <cell r="I49">
            <v>0</v>
          </cell>
          <cell r="J49" t="str">
            <v>SystemAlarm</v>
          </cell>
          <cell r="K49" t="str">
            <v>Severidade 14</v>
          </cell>
          <cell r="L49" t="str">
            <v>Severidade 16</v>
          </cell>
          <cell r="M49" t="b">
            <v>0</v>
          </cell>
        </row>
        <row r="50">
          <cell r="A50" t="str">
            <v>Arbitration Failover Rejected Script Busy</v>
          </cell>
          <cell r="B50" t="str">
            <v/>
          </cell>
          <cell r="C50" t="str">
            <v/>
          </cell>
          <cell r="D50" t="str">
            <v>SYSTEM_ARBITRATION_FAILOVEREVENTS_57</v>
          </cell>
          <cell r="E50" t="b">
            <v>1</v>
          </cell>
          <cell r="F50" t="str">
            <v>O failover do serviço {0} no sistema {1} foi rejeitado porque a arbitragem está executando o script '{2}' e, portanto, o failover manual não é permitido (conforme solicitado pelo usuário {3} em {4}).</v>
          </cell>
          <cell r="G50" t="str">
            <v/>
          </cell>
          <cell r="H50">
            <v>0</v>
          </cell>
          <cell r="I50">
            <v>0</v>
          </cell>
          <cell r="J50" t="str">
            <v>SystemAlarm</v>
          </cell>
          <cell r="K50" t="str">
            <v>Severidade 14</v>
          </cell>
          <cell r="L50" t="str">
            <v>Severidade 16</v>
          </cell>
          <cell r="M50" t="b">
            <v>0</v>
          </cell>
        </row>
        <row r="51">
          <cell r="A51" t="str">
            <v>Arbitration Failover Set DoSwitch Error</v>
          </cell>
          <cell r="B51" t="str">
            <v/>
          </cell>
          <cell r="C51" t="str">
            <v/>
          </cell>
          <cell r="D51" t="str">
            <v>SYSTEM_ARBITRATION_FAILOVEREVENTS_58</v>
          </cell>
          <cell r="E51" t="b">
            <v>1</v>
          </cell>
          <cell r="F51" t="str">
            <v>Não foi possível definir o estado do serviço {0} para doswitch.</v>
          </cell>
          <cell r="G51" t="str">
            <v/>
          </cell>
          <cell r="H51">
            <v>0</v>
          </cell>
          <cell r="I51">
            <v>0</v>
          </cell>
          <cell r="J51" t="str">
            <v>SystemAlarm</v>
          </cell>
          <cell r="K51" t="str">
            <v>Severidade 14</v>
          </cell>
          <cell r="L51" t="str">
            <v>Severidade 16</v>
          </cell>
          <cell r="M51" t="b">
            <v>0</v>
          </cell>
        </row>
        <row r="52">
          <cell r="A52" t="str">
            <v>Arbitration Failover Started</v>
          </cell>
          <cell r="B52" t="str">
            <v/>
          </cell>
          <cell r="C52" t="str">
            <v/>
          </cell>
          <cell r="D52" t="str">
            <v>SYSTEM_ARBITRATION_FAILOVEREVENTS_60</v>
          </cell>
          <cell r="E52" t="b">
            <v>1</v>
          </cell>
          <cell r="F52" t="str">
            <v>Failover do serviço '{0}' no sistema '{1}' iniciado pelo usuário '{2}' em '{3}'.</v>
          </cell>
          <cell r="G52" t="str">
            <v/>
          </cell>
          <cell r="H52">
            <v>0</v>
          </cell>
          <cell r="I52">
            <v>0</v>
          </cell>
          <cell r="J52" t="str">
            <v>SystemAlarm</v>
          </cell>
          <cell r="K52" t="str">
            <v>Severidade 14</v>
          </cell>
          <cell r="L52" t="str">
            <v>Severidade 16</v>
          </cell>
          <cell r="M52" t="b">
            <v>0</v>
          </cell>
        </row>
        <row r="53">
          <cell r="A53" t="str">
            <v>Arbitration Host Assert</v>
          </cell>
          <cell r="B53" t="str">
            <v/>
          </cell>
          <cell r="C53" t="str">
            <v/>
          </cell>
          <cell r="D53" t="str">
            <v>SYSTEM_ARBITRATION_HOSTSTATEINFORMATION_8</v>
          </cell>
          <cell r="E53" t="b">
            <v>0</v>
          </cell>
          <cell r="F53" t="str">
            <v>Nenhum serviço {0} está quente, {1} afirmará.</v>
          </cell>
          <cell r="G53" t="str">
            <v/>
          </cell>
          <cell r="H53">
            <v>0</v>
          </cell>
          <cell r="I53">
            <v>0</v>
          </cell>
          <cell r="J53" t="str">
            <v>SystemAlarm</v>
          </cell>
          <cell r="K53" t="str">
            <v>Severidade 14</v>
          </cell>
          <cell r="L53" t="str">
            <v>Severidade 16</v>
          </cell>
          <cell r="M53" t="b">
            <v>0</v>
          </cell>
        </row>
        <row r="54">
          <cell r="A54" t="str">
            <v>Arbitration Host Assert Failed</v>
          </cell>
          <cell r="B54" t="str">
            <v/>
          </cell>
          <cell r="C54" t="str">
            <v/>
          </cell>
          <cell r="D54" t="str">
            <v>SYSTEM_ARBITRATION_HOSTSTATEINFORMATION_4</v>
          </cell>
          <cell r="E54" t="b">
            <v>0</v>
          </cell>
          <cell r="F54" t="str">
            <v>O serviço {0} em {1} não foi afirmado completamente.</v>
          </cell>
          <cell r="G54" t="str">
            <v/>
          </cell>
          <cell r="H54">
            <v>0</v>
          </cell>
          <cell r="I54">
            <v>0</v>
          </cell>
          <cell r="J54" t="str">
            <v>SystemAlarm</v>
          </cell>
          <cell r="K54" t="str">
            <v>Severidade 14</v>
          </cell>
          <cell r="L54" t="str">
            <v>Severidade 16</v>
          </cell>
          <cell r="M54" t="b">
            <v>0</v>
          </cell>
        </row>
        <row r="55">
          <cell r="A55" t="str">
            <v>Arbitration Host Communication Lost</v>
          </cell>
          <cell r="B55" t="str">
            <v/>
          </cell>
          <cell r="C55" t="str">
            <v/>
          </cell>
          <cell r="D55" t="str">
            <v>SYSTEM_ARBITRATION_HOSTSTATEINFORMATION_2</v>
          </cell>
          <cell r="E55" t="b">
            <v>0</v>
          </cell>
          <cell r="F55" t="str">
            <v>O serviço {0} em {1} não está se comunicando com o serviço do parceiro em {2}. Configurando o estado do serviço {3} em {4} para FAIL.</v>
          </cell>
          <cell r="G55" t="str">
            <v/>
          </cell>
          <cell r="H55">
            <v>0</v>
          </cell>
          <cell r="I55">
            <v>0</v>
          </cell>
          <cell r="J55" t="str">
            <v>SystemAlarm</v>
          </cell>
          <cell r="K55" t="str">
            <v>Severidade 14</v>
          </cell>
          <cell r="L55" t="str">
            <v>Severidade 16</v>
          </cell>
          <cell r="M55" t="b">
            <v>0</v>
          </cell>
        </row>
        <row r="56">
          <cell r="A56" t="str">
            <v>Arbitration Host Communication Restored</v>
          </cell>
          <cell r="B56" t="str">
            <v/>
          </cell>
          <cell r="C56" t="str">
            <v/>
          </cell>
          <cell r="D56" t="str">
            <v>SYSTEM_ARBITRATION_HOSTSTATEINFORMATION_3</v>
          </cell>
          <cell r="E56" t="b">
            <v>0</v>
          </cell>
          <cell r="F56" t="str">
            <v>O serviço {0} em {1} agora está se comunicando com o parceiro em {2}.</v>
          </cell>
          <cell r="G56" t="str">
            <v/>
          </cell>
          <cell r="H56">
            <v>0</v>
          </cell>
          <cell r="I56">
            <v>0</v>
          </cell>
          <cell r="J56" t="str">
            <v>SystemAlarm</v>
          </cell>
          <cell r="K56" t="str">
            <v>Severidade 14</v>
          </cell>
          <cell r="L56" t="str">
            <v>Severidade 16</v>
          </cell>
          <cell r="M56" t="b">
            <v>0</v>
          </cell>
        </row>
        <row r="57">
          <cell r="A57" t="str">
            <v>Arbitration Host Failover Ignored</v>
          </cell>
          <cell r="B57" t="str">
            <v/>
          </cell>
          <cell r="C57" t="str">
            <v/>
          </cell>
          <cell r="D57" t="str">
            <v>SYSTEM_ARBITRATION_HOSTSTATEINFORMATION_10</v>
          </cell>
          <cell r="E57" t="b">
            <v>0</v>
          </cell>
          <cell r="F57" t="str">
            <v>O failover solicitado pelo usuário em {0} para {1} ignorou, {2} não está em espera.</v>
          </cell>
          <cell r="G57" t="str">
            <v/>
          </cell>
          <cell r="H57">
            <v>0</v>
          </cell>
          <cell r="I57">
            <v>0</v>
          </cell>
          <cell r="J57" t="str">
            <v>SystemAlarm</v>
          </cell>
          <cell r="K57" t="str">
            <v>Severidade 14</v>
          </cell>
          <cell r="L57" t="str">
            <v>Severidade 16</v>
          </cell>
          <cell r="M57" t="b">
            <v>0</v>
          </cell>
        </row>
        <row r="58">
          <cell r="A58" t="str">
            <v>Arbitration Host Reassert</v>
          </cell>
          <cell r="B58" t="str">
            <v/>
          </cell>
          <cell r="C58" t="str">
            <v/>
          </cell>
          <cell r="D58" t="str">
            <v>SYSTEM_ARBITRATION_HOSTSTATEINFORMATION_7</v>
          </cell>
          <cell r="E58" t="b">
            <v>0</v>
          </cell>
          <cell r="F58" t="str">
            <v>O serviço {0} em {1} não aqueceu, {2} será reafirmado.</v>
          </cell>
          <cell r="G58" t="str">
            <v/>
          </cell>
          <cell r="H58">
            <v>0</v>
          </cell>
          <cell r="I58">
            <v>0</v>
          </cell>
          <cell r="J58" t="str">
            <v>SystemAlarm</v>
          </cell>
          <cell r="K58" t="str">
            <v>Severidade 14</v>
          </cell>
          <cell r="L58" t="str">
            <v>Severidade 16</v>
          </cell>
          <cell r="M58" t="b">
            <v>0</v>
          </cell>
        </row>
        <row r="59">
          <cell r="A59" t="str">
            <v>Arbitration Host Stand Down Failed</v>
          </cell>
          <cell r="B59" t="str">
            <v/>
          </cell>
          <cell r="C59" t="str">
            <v/>
          </cell>
          <cell r="D59" t="str">
            <v>SYSTEM_ARBITRATION_HOSTSTATEINFORMATION_5</v>
          </cell>
          <cell r="E59" t="b">
            <v>0</v>
          </cell>
          <cell r="F59" t="str">
            <v>O serviço {0} em {1} não parou completamente.</v>
          </cell>
          <cell r="G59" t="str">
            <v/>
          </cell>
          <cell r="H59">
            <v>0</v>
          </cell>
          <cell r="I59">
            <v>0</v>
          </cell>
          <cell r="J59" t="str">
            <v>SystemAlarm</v>
          </cell>
          <cell r="K59" t="str">
            <v>Severidade 14</v>
          </cell>
          <cell r="L59" t="str">
            <v>Severidade 16</v>
          </cell>
          <cell r="M59" t="b">
            <v>0</v>
          </cell>
        </row>
        <row r="60">
          <cell r="A60" t="str">
            <v>Arbitration Host State Chenged</v>
          </cell>
          <cell r="B60" t="str">
            <v/>
          </cell>
          <cell r="C60" t="str">
            <v/>
          </cell>
          <cell r="D60" t="str">
            <v>SYSTEM_ARBITRATION_HOSTSTATEINFORMATION_6</v>
          </cell>
          <cell r="E60" t="b">
            <v>0</v>
          </cell>
          <cell r="F60" t="str">
            <v>O serviço {0} em {1} foi alterado de {2} para {3}.</v>
          </cell>
          <cell r="G60" t="str">
            <v/>
          </cell>
          <cell r="H60">
            <v>0</v>
          </cell>
          <cell r="I60">
            <v>0</v>
          </cell>
          <cell r="J60" t="str">
            <v>SystemAlarm</v>
          </cell>
          <cell r="K60" t="str">
            <v>Severidade 14</v>
          </cell>
          <cell r="L60" t="str">
            <v>Severidade 16</v>
          </cell>
          <cell r="M60" t="b">
            <v>0</v>
          </cell>
        </row>
        <row r="61">
          <cell r="A61" t="str">
            <v>Arbitration Process Monitor Registration Failed</v>
          </cell>
          <cell r="B61" t="str">
            <v/>
          </cell>
          <cell r="C61" t="str">
            <v/>
          </cell>
          <cell r="D61" t="str">
            <v>SYSTEM_ARBITRATION_CHILDEXECUTABLESCRIPTFAILURE_26</v>
          </cell>
          <cell r="E61" t="b">
            <v>0</v>
          </cell>
          <cell r="F61" t="str">
            <v>A inicialização do serviço {0} falhou no computador {1}. Falha ao registrar o serviço no monitor de processos.</v>
          </cell>
          <cell r="G61" t="str">
            <v/>
          </cell>
          <cell r="H61">
            <v>0</v>
          </cell>
          <cell r="I61">
            <v>0</v>
          </cell>
          <cell r="J61" t="str">
            <v>SystemAlarm</v>
          </cell>
          <cell r="K61" t="str">
            <v>Severidade 14</v>
          </cell>
          <cell r="L61" t="str">
            <v>Severidade 16</v>
          </cell>
          <cell r="M61" t="b">
            <v>0</v>
          </cell>
        </row>
        <row r="62">
          <cell r="A62" t="str">
            <v>Arbitration PubSub Checkin Failed</v>
          </cell>
          <cell r="B62" t="str">
            <v/>
          </cell>
          <cell r="C62" t="str">
            <v/>
          </cell>
          <cell r="D62" t="str">
            <v>SYSTEM_ARBITRATION_DNASERVICESTARTUP_27</v>
          </cell>
          <cell r="E62" t="b">
            <v>0</v>
          </cell>
          <cell r="F62" t="str">
            <v>A inicialização do serviço {0} falhou no computador {1}. Falha ao fazer check-in do mecanismo do pubsub (pid {2}) com o monitor do processo.</v>
          </cell>
          <cell r="G62" t="str">
            <v/>
          </cell>
          <cell r="H62">
            <v>0</v>
          </cell>
          <cell r="I62">
            <v>0</v>
          </cell>
          <cell r="J62" t="str">
            <v>SystemAlarm</v>
          </cell>
          <cell r="K62" t="str">
            <v>Severidade 14</v>
          </cell>
          <cell r="L62" t="str">
            <v>Severidade 16</v>
          </cell>
          <cell r="M62" t="b">
            <v>0</v>
          </cell>
        </row>
        <row r="63">
          <cell r="A63" t="str">
            <v>Arbitration PubSub Initialize Failed</v>
          </cell>
          <cell r="B63" t="str">
            <v/>
          </cell>
          <cell r="C63" t="str">
            <v/>
          </cell>
          <cell r="D63" t="str">
            <v>SYSTEM_ARBITRATION_CHILDEXECUTABLESCRIPTFAILURE_37</v>
          </cell>
          <cell r="E63" t="b">
            <v>0</v>
          </cell>
          <cell r="F63" t="str">
            <v>A inicialização do serviço {0} falhou no computador {1}. O PubSub falhou ao inicializar corretamente (argumentos = '{2}'). Consulte as mensagens anteriores (e o arquivo de log) para obter detalhes.</v>
          </cell>
          <cell r="G63" t="str">
            <v/>
          </cell>
          <cell r="H63">
            <v>0</v>
          </cell>
          <cell r="I63">
            <v>0</v>
          </cell>
          <cell r="J63" t="str">
            <v>SystemAlarm</v>
          </cell>
          <cell r="K63" t="str">
            <v>Severidade 14</v>
          </cell>
          <cell r="L63" t="str">
            <v>Severidade 16</v>
          </cell>
          <cell r="M63" t="b">
            <v>0</v>
          </cell>
        </row>
        <row r="64">
          <cell r="A64" t="str">
            <v>Arbitration Rejected Partner Not Standby</v>
          </cell>
          <cell r="B64" t="str">
            <v/>
          </cell>
          <cell r="C64" t="str">
            <v/>
          </cell>
          <cell r="D64" t="str">
            <v>SYSTEM_ARBITRATION_FAILOVEREVENTS_55</v>
          </cell>
          <cell r="E64" t="b">
            <v>1</v>
          </cell>
          <cell r="F64" t="str">
            <v>O failover do serviço {0} no sistema {1} foi rejeitado porque o host do parceiro não está em espera (conforme solicitado pelo usuário {2} em {3}).</v>
          </cell>
          <cell r="G64" t="str">
            <v/>
          </cell>
          <cell r="H64">
            <v>0</v>
          </cell>
          <cell r="I64">
            <v>0</v>
          </cell>
          <cell r="J64" t="str">
            <v>SystemAlarm</v>
          </cell>
          <cell r="K64" t="str">
            <v>Severidade 14</v>
          </cell>
          <cell r="L64" t="str">
            <v>Severidade 16</v>
          </cell>
          <cell r="M64" t="b">
            <v>0</v>
          </cell>
        </row>
        <row r="65">
          <cell r="A65" t="str">
            <v>Arbitration Service Already Running</v>
          </cell>
          <cell r="B65" t="str">
            <v/>
          </cell>
          <cell r="C65" t="str">
            <v/>
          </cell>
          <cell r="D65" t="str">
            <v>SYSTEM_ARBITRATION_DNASERVICESTARTUP_14</v>
          </cell>
          <cell r="E65" t="b">
            <v>0</v>
          </cell>
          <cell r="F65" t="str">
            <v>Ignorando a solicitação do usuário para iniciar o {0} no computador {1}, pois o serviço já está em execução.</v>
          </cell>
          <cell r="G65" t="str">
            <v/>
          </cell>
          <cell r="H65">
            <v>0</v>
          </cell>
          <cell r="I65">
            <v>0</v>
          </cell>
          <cell r="J65" t="str">
            <v>SystemAlarm</v>
          </cell>
          <cell r="K65" t="str">
            <v>Severidade 14</v>
          </cell>
          <cell r="L65" t="str">
            <v>Severidade 16</v>
          </cell>
          <cell r="M65" t="b">
            <v>0</v>
          </cell>
        </row>
        <row r="66">
          <cell r="A66" t="str">
            <v>Arbitration Service Already Shut Down</v>
          </cell>
          <cell r="B66" t="str">
            <v/>
          </cell>
          <cell r="C66" t="str">
            <v/>
          </cell>
          <cell r="D66" t="str">
            <v>SYSTEM_ARBITRATION_DNASERVICESHUTDOWN_15</v>
          </cell>
          <cell r="E66" t="b">
            <v>0</v>
          </cell>
          <cell r="F66" t="str">
            <v>Ignorando a solicitação do usuário para desligar o {0} no computador {1}, pois o serviço já está parado.</v>
          </cell>
          <cell r="G66" t="str">
            <v/>
          </cell>
          <cell r="H66">
            <v>0</v>
          </cell>
          <cell r="I66">
            <v>0</v>
          </cell>
          <cell r="J66" t="str">
            <v>SystemAlarm</v>
          </cell>
          <cell r="K66" t="str">
            <v>Severidade 14</v>
          </cell>
          <cell r="L66" t="str">
            <v>Severidade 16</v>
          </cell>
          <cell r="M66" t="b">
            <v>0</v>
          </cell>
        </row>
        <row r="67">
          <cell r="A67" t="str">
            <v>Arbitration Service Command Failed</v>
          </cell>
          <cell r="B67" t="str">
            <v/>
          </cell>
          <cell r="C67" t="str">
            <v/>
          </cell>
          <cell r="D67" t="str">
            <v>SYSTEM_ARBITRATION_DNASERVICESTARTUP_24</v>
          </cell>
          <cell r="E67" t="b">
            <v>0</v>
          </cell>
          <cell r="F67" t="str">
            <v>O comando {0} falhou no serviço {1} no computador {2} (motivo '{3}').</v>
          </cell>
          <cell r="G67" t="str">
            <v/>
          </cell>
          <cell r="H67">
            <v>0</v>
          </cell>
          <cell r="I67">
            <v>0</v>
          </cell>
          <cell r="J67" t="str">
            <v>SystemAlarm</v>
          </cell>
          <cell r="K67" t="str">
            <v>Severidade 14</v>
          </cell>
          <cell r="L67" t="str">
            <v>Severidade 16</v>
          </cell>
          <cell r="M67" t="b">
            <v>0</v>
          </cell>
        </row>
        <row r="68">
          <cell r="A68" t="str">
            <v>Arbitration Service Control Manager Open Failed</v>
          </cell>
          <cell r="B68" t="str">
            <v/>
          </cell>
          <cell r="C68" t="str">
            <v/>
          </cell>
          <cell r="D68" t="str">
            <v>SYSTEM_ARBITRATION_DNASERVICESTARTUP_23</v>
          </cell>
          <cell r="E68" t="b">
            <v>0</v>
          </cell>
          <cell r="F68" t="str">
            <v>Falha ao abrir o Service Control Manager para o serviço '{0}' no computador {1} (motivo '{2}').</v>
          </cell>
          <cell r="G68" t="str">
            <v/>
          </cell>
          <cell r="H68">
            <v>0</v>
          </cell>
          <cell r="I68">
            <v>0</v>
          </cell>
          <cell r="J68" t="str">
            <v>SystemAlarm</v>
          </cell>
          <cell r="K68" t="str">
            <v>Severidade 14</v>
          </cell>
          <cell r="L68" t="str">
            <v>Severidade 16</v>
          </cell>
          <cell r="M68" t="b">
            <v>0</v>
          </cell>
        </row>
        <row r="69">
          <cell r="A69" t="str">
            <v>Arbitration Service Name Transalation Failed</v>
          </cell>
          <cell r="B69" t="str">
            <v/>
          </cell>
          <cell r="C69" t="str">
            <v/>
          </cell>
          <cell r="D69" t="str">
            <v>SYSTEM_ARBITRATION_DNASERVICESHUTDOWN_20</v>
          </cell>
          <cell r="E69" t="b">
            <v>0</v>
          </cell>
          <cell r="F69" t="str">
            <v>Falha ao converter o nome do serviço de DNA '{0}' em um nome de serviço básico do Windows.</v>
          </cell>
          <cell r="G69" t="str">
            <v/>
          </cell>
          <cell r="H69">
            <v>0</v>
          </cell>
          <cell r="I69">
            <v>0</v>
          </cell>
          <cell r="J69" t="str">
            <v>SystemAlarm</v>
          </cell>
          <cell r="K69" t="str">
            <v>Severidade 14</v>
          </cell>
          <cell r="L69" t="str">
            <v>Severidade 16</v>
          </cell>
          <cell r="M69" t="b">
            <v>0</v>
          </cell>
        </row>
        <row r="70">
          <cell r="A70" t="str">
            <v>Arbitration Service Not Found On Failover</v>
          </cell>
          <cell r="B70" t="str">
            <v/>
          </cell>
          <cell r="C70" t="str">
            <v/>
          </cell>
          <cell r="D70" t="str">
            <v>SYSTEM_ARBITRATION_FAILOVEREVENTS_19</v>
          </cell>
          <cell r="E70" t="b">
            <v>1</v>
          </cell>
          <cell r="F70" t="str">
            <v>Falha ao converter o nome do serviço '{0}' em um número de tipo de serviço. Esse tipo de serviço foi registrado no armazenamento de dados de configuração?</v>
          </cell>
          <cell r="G70" t="str">
            <v/>
          </cell>
          <cell r="H70">
            <v>0</v>
          </cell>
          <cell r="I70">
            <v>0</v>
          </cell>
          <cell r="J70" t="str">
            <v>SystemAlarm</v>
          </cell>
          <cell r="K70" t="str">
            <v>Severidade 14</v>
          </cell>
          <cell r="L70" t="str">
            <v>Severidade 16</v>
          </cell>
          <cell r="M70" t="b">
            <v>0</v>
          </cell>
        </row>
        <row r="71">
          <cell r="A71" t="str">
            <v>Arbitration Service Not Found On Shutdown</v>
          </cell>
          <cell r="B71" t="str">
            <v/>
          </cell>
          <cell r="C71" t="str">
            <v/>
          </cell>
          <cell r="D71" t="str">
            <v>SYSTEM_ARBITRATION_DNASERVICESHUTDOWN_19</v>
          </cell>
          <cell r="E71" t="b">
            <v>0</v>
          </cell>
          <cell r="F71" t="str">
            <v>Falha ao converter o nome do serviço '{0}' em um número de tipo de serviço. Esse tipo de serviço foi registrado no armazenamento de dados de configuração?</v>
          </cell>
          <cell r="G71" t="str">
            <v/>
          </cell>
          <cell r="H71">
            <v>0</v>
          </cell>
          <cell r="I71">
            <v>0</v>
          </cell>
          <cell r="J71" t="str">
            <v>SystemAlarm</v>
          </cell>
          <cell r="K71" t="str">
            <v>Severidade 14</v>
          </cell>
          <cell r="L71" t="str">
            <v>Severidade 16</v>
          </cell>
          <cell r="M71" t="b">
            <v>0</v>
          </cell>
        </row>
        <row r="72">
          <cell r="A72" t="str">
            <v>Arbitration Service Not Found On Stratup</v>
          </cell>
          <cell r="B72" t="str">
            <v/>
          </cell>
          <cell r="C72" t="str">
            <v/>
          </cell>
          <cell r="D72" t="str">
            <v>SYSTEM_ARBITRATION_DNASERVICESTARTUP_19</v>
          </cell>
          <cell r="E72" t="b">
            <v>0</v>
          </cell>
          <cell r="F72" t="str">
            <v>Falha ao converter o nome do serviço '{0}' em um número de tipo de serviço. Esse tipo de serviço foi registrado no armazenamento de dados de configuração?</v>
          </cell>
          <cell r="G72" t="str">
            <v/>
          </cell>
          <cell r="H72">
            <v>0</v>
          </cell>
          <cell r="I72">
            <v>0</v>
          </cell>
          <cell r="J72" t="str">
            <v>SystemAlarm</v>
          </cell>
          <cell r="K72" t="str">
            <v>Severidade 14</v>
          </cell>
          <cell r="L72" t="str">
            <v>Severidade 16</v>
          </cell>
          <cell r="M72" t="b">
            <v>0</v>
          </cell>
        </row>
        <row r="73">
          <cell r="A73" t="str">
            <v>Arbitration Service Open Failed</v>
          </cell>
          <cell r="B73" t="str">
            <v/>
          </cell>
          <cell r="C73" t="str">
            <v/>
          </cell>
          <cell r="D73" t="str">
            <v>SYSTEM_ARBITRATION_DNASERVICESTARTUP_22</v>
          </cell>
          <cell r="E73" t="b">
            <v>0</v>
          </cell>
          <cell r="F73" t="str">
            <v>Falha ao abrir o serviço '{0}' no computador {1} (motivo '{2}'). Este serviço está registrado no painel de controle do Windows?</v>
          </cell>
          <cell r="G73" t="str">
            <v/>
          </cell>
          <cell r="H73">
            <v>0</v>
          </cell>
          <cell r="I73">
            <v>0</v>
          </cell>
          <cell r="J73" t="str">
            <v>SystemAlarm</v>
          </cell>
          <cell r="K73" t="str">
            <v>Severidade 14</v>
          </cell>
          <cell r="L73" t="str">
            <v>Severidade 16</v>
          </cell>
          <cell r="M73" t="b">
            <v>0</v>
          </cell>
        </row>
        <row r="74">
          <cell r="A74" t="str">
            <v>Arbitration Service Shut Down</v>
          </cell>
          <cell r="B74" t="str">
            <v/>
          </cell>
          <cell r="C74" t="str">
            <v/>
          </cell>
          <cell r="D74" t="str">
            <v>SYSTEM_ARBITRATION_DNASERVICESHUTDOWN_35</v>
          </cell>
          <cell r="E74" t="b">
            <v>1</v>
          </cell>
          <cell r="F74" t="str">
            <v>Parando o serviço {0} no computador {1}, conforme solicitado pelo painel de controle.</v>
          </cell>
          <cell r="G74" t="str">
            <v/>
          </cell>
          <cell r="H74">
            <v>0</v>
          </cell>
          <cell r="I74">
            <v>0</v>
          </cell>
          <cell r="J74" t="str">
            <v>SystemAlarm</v>
          </cell>
          <cell r="K74" t="str">
            <v>Severidade 14</v>
          </cell>
          <cell r="L74" t="str">
            <v>Severidade 16</v>
          </cell>
          <cell r="M74" t="b">
            <v>0</v>
          </cell>
        </row>
        <row r="75">
          <cell r="A75" t="str">
            <v>Arbitration Service Shutdown Failed</v>
          </cell>
          <cell r="B75" t="str">
            <v/>
          </cell>
          <cell r="C75" t="str">
            <v/>
          </cell>
          <cell r="D75" t="str">
            <v>SYSTEM_ARBITRATION_DNASERVICESHUTDOWN_63</v>
          </cell>
          <cell r="E75" t="b">
            <v>0</v>
          </cell>
          <cell r="F75" t="str">
            <v>O desligamento falhou no serviço {0} no computador {1}. Consulte as mensagens de log anteriores para obter detalhes.</v>
          </cell>
          <cell r="G75" t="str">
            <v/>
          </cell>
          <cell r="H75">
            <v>0</v>
          </cell>
          <cell r="I75">
            <v>0</v>
          </cell>
          <cell r="J75" t="str">
            <v>SystemAlarm</v>
          </cell>
          <cell r="K75" t="str">
            <v>Severidade 14</v>
          </cell>
          <cell r="L75" t="str">
            <v>Severidade 16</v>
          </cell>
          <cell r="M75" t="b">
            <v>0</v>
          </cell>
        </row>
        <row r="76">
          <cell r="A76" t="str">
            <v>Arbitration Service Shutdown Ignored</v>
          </cell>
          <cell r="B76" t="str">
            <v/>
          </cell>
          <cell r="C76" t="str">
            <v/>
          </cell>
          <cell r="D76" t="str">
            <v>SYSTEM_ARBITRATION_DNASERVICESHUTDOWN_18</v>
          </cell>
          <cell r="E76" t="b">
            <v>0</v>
          </cell>
          <cell r="F76" t="str">
            <v>Desligamento do {0} no computador {1} solicitado pelo usuário {2} em {3} ignorado, pois o serviço já está parado.</v>
          </cell>
          <cell r="G76" t="str">
            <v/>
          </cell>
          <cell r="H76">
            <v>0</v>
          </cell>
          <cell r="I76">
            <v>0</v>
          </cell>
          <cell r="J76" t="str">
            <v>SystemAlarm</v>
          </cell>
          <cell r="K76" t="str">
            <v>Severidade 14</v>
          </cell>
          <cell r="L76" t="str">
            <v>Severidade 16</v>
          </cell>
          <cell r="M76" t="b">
            <v>0</v>
          </cell>
        </row>
        <row r="77">
          <cell r="A77" t="str">
            <v>Arbitration Service Shutdown Request</v>
          </cell>
          <cell r="B77" t="str">
            <v/>
          </cell>
          <cell r="C77" t="str">
            <v/>
          </cell>
          <cell r="D77" t="str">
            <v>SYSTEM_ARBITRATION_DNASERVICESHUTDOWN_12</v>
          </cell>
          <cell r="E77" t="b">
            <v>1</v>
          </cell>
          <cell r="F77" t="str">
            <v>Encerramento do serviço {0} no computador {1} solicitado pelo usuário {2} em {3}.</v>
          </cell>
          <cell r="G77" t="str">
            <v/>
          </cell>
          <cell r="H77">
            <v>0</v>
          </cell>
          <cell r="I77">
            <v>0</v>
          </cell>
          <cell r="J77" t="str">
            <v>SystemAlarm</v>
          </cell>
          <cell r="K77" t="str">
            <v>Severidade 14</v>
          </cell>
          <cell r="L77" t="str">
            <v>Severidade 16</v>
          </cell>
          <cell r="M77" t="b">
            <v>0</v>
          </cell>
        </row>
        <row r="78">
          <cell r="A78" t="str">
            <v>Arbitration Service Shutdown Timeout</v>
          </cell>
          <cell r="B78" t="str">
            <v/>
          </cell>
          <cell r="C78" t="str">
            <v/>
          </cell>
          <cell r="D78" t="str">
            <v>SYSTEM_ARBITRATION_DNASERVICESHUTDOWN_64</v>
          </cell>
          <cell r="E78" t="b">
            <v>0</v>
          </cell>
          <cell r="F78" t="str">
            <v>O desligamento falhou no serviço {0} no computador {1} devido ao tempo limite.</v>
          </cell>
          <cell r="G78" t="str">
            <v/>
          </cell>
          <cell r="H78">
            <v>0</v>
          </cell>
          <cell r="I78">
            <v>0</v>
          </cell>
          <cell r="J78" t="str">
            <v>SystemAlarm</v>
          </cell>
          <cell r="K78" t="str">
            <v>Severidade 14</v>
          </cell>
          <cell r="L78" t="str">
            <v>Severidade 16</v>
          </cell>
          <cell r="M78" t="b">
            <v>0</v>
          </cell>
        </row>
        <row r="79">
          <cell r="A79" t="str">
            <v>Arbitration Service Started</v>
          </cell>
          <cell r="B79" t="str">
            <v/>
          </cell>
          <cell r="C79" t="str">
            <v/>
          </cell>
          <cell r="D79" t="str">
            <v>SYSTEM_ARBITRATION_DNASERVICESTARTUP_46</v>
          </cell>
          <cell r="E79" t="b">
            <v>0</v>
          </cell>
          <cell r="F79" t="str">
            <v>O serviço {0} no computador {1} foi iniciado (conforme solicitado pelo usuário {2} em {3}).</v>
          </cell>
          <cell r="G79" t="str">
            <v/>
          </cell>
          <cell r="H79">
            <v>0</v>
          </cell>
          <cell r="I79">
            <v>0</v>
          </cell>
          <cell r="J79" t="str">
            <v>SystemAlarm</v>
          </cell>
          <cell r="K79" t="str">
            <v>Severidade 14</v>
          </cell>
          <cell r="L79" t="str">
            <v>Severidade 16</v>
          </cell>
          <cell r="M79" t="b">
            <v>0</v>
          </cell>
        </row>
        <row r="80">
          <cell r="A80" t="str">
            <v>Arbitration Service Starting</v>
          </cell>
          <cell r="B80" t="str">
            <v/>
          </cell>
          <cell r="C80" t="str">
            <v/>
          </cell>
          <cell r="D80" t="str">
            <v>SYSTEM_ARBITRATION_DNASERVICESTARTUP_34</v>
          </cell>
          <cell r="E80" t="b">
            <v>0</v>
          </cell>
          <cell r="F80" t="str">
            <v>Iniciando o serviço {0} no computador {1}, conforme solicitado pelo painel de controle.</v>
          </cell>
          <cell r="G80" t="str">
            <v/>
          </cell>
          <cell r="H80">
            <v>0</v>
          </cell>
          <cell r="I80">
            <v>0</v>
          </cell>
          <cell r="J80" t="str">
            <v>SystemAlarm</v>
          </cell>
          <cell r="K80" t="str">
            <v>Severidade 14</v>
          </cell>
          <cell r="L80" t="str">
            <v>Severidade 16</v>
          </cell>
          <cell r="M80" t="b">
            <v>0</v>
          </cell>
        </row>
        <row r="81">
          <cell r="A81" t="str">
            <v>Arbitration Service Startup Failed</v>
          </cell>
          <cell r="B81" t="str">
            <v/>
          </cell>
          <cell r="C81" t="str">
            <v/>
          </cell>
          <cell r="D81" t="str">
            <v>SYSTEM_ARBITRATION_DNASERVICESTARTUP_61</v>
          </cell>
          <cell r="E81" t="b">
            <v>0</v>
          </cell>
          <cell r="F81" t="str">
            <v>Falha na inicialização do serviço {0} no computador {1}. Consulte as mensagens de log anteriores para obter detalhes.</v>
          </cell>
          <cell r="G81" t="str">
            <v/>
          </cell>
          <cell r="H81">
            <v>0</v>
          </cell>
          <cell r="I81">
            <v>0</v>
          </cell>
          <cell r="J81" t="str">
            <v>SystemAlarm</v>
          </cell>
          <cell r="K81" t="str">
            <v>Severidade 14</v>
          </cell>
          <cell r="L81" t="str">
            <v>Severidade 16</v>
          </cell>
          <cell r="M81" t="b">
            <v>0</v>
          </cell>
        </row>
        <row r="82">
          <cell r="A82" t="str">
            <v>Arbitration Service Startup Ignored</v>
          </cell>
          <cell r="B82" t="str">
            <v/>
          </cell>
          <cell r="C82" t="str">
            <v/>
          </cell>
          <cell r="D82" t="str">
            <v>SYSTEM_ARBITRATION_DNASERVICESTARTUP_17</v>
          </cell>
          <cell r="E82" t="b">
            <v>0</v>
          </cell>
          <cell r="F82" t="str">
            <v>A inicialização do {0} no computador {1} solicitada pelo usuário {2} em {3} é ignorada, pois o serviço já está em execução.</v>
          </cell>
          <cell r="G82" t="str">
            <v/>
          </cell>
          <cell r="H82">
            <v>0</v>
          </cell>
          <cell r="I82">
            <v>0</v>
          </cell>
          <cell r="J82" t="str">
            <v>SystemAlarm</v>
          </cell>
          <cell r="K82" t="str">
            <v>Severidade 14</v>
          </cell>
          <cell r="L82" t="str">
            <v>Severidade 16</v>
          </cell>
          <cell r="M82" t="b">
            <v>0</v>
          </cell>
        </row>
        <row r="83">
          <cell r="A83" t="str">
            <v>Arbitration Service Startup Requested</v>
          </cell>
          <cell r="B83" t="str">
            <v/>
          </cell>
          <cell r="C83" t="str">
            <v/>
          </cell>
          <cell r="D83" t="str">
            <v>SYSTEM_ARBITRATION_DNASERVICESTARTUP_13</v>
          </cell>
          <cell r="E83" t="b">
            <v>1</v>
          </cell>
          <cell r="F83" t="str">
            <v>Inicialização do serviço {0} no computador {1} solicitado pelo usuário {2} em {3}.</v>
          </cell>
          <cell r="G83" t="str">
            <v/>
          </cell>
          <cell r="H83">
            <v>0</v>
          </cell>
          <cell r="I83">
            <v>0</v>
          </cell>
          <cell r="J83" t="str">
            <v>SystemAlarm</v>
          </cell>
          <cell r="K83" t="str">
            <v>Severidade 14</v>
          </cell>
          <cell r="L83" t="str">
            <v>Severidade 16</v>
          </cell>
          <cell r="M83" t="b">
            <v>0</v>
          </cell>
        </row>
        <row r="84">
          <cell r="A84" t="str">
            <v>Arbitration Service Startup Timeout</v>
          </cell>
          <cell r="B84" t="str">
            <v/>
          </cell>
          <cell r="C84" t="str">
            <v/>
          </cell>
          <cell r="D84" t="str">
            <v>SYSTEM_ARBITRATION_DNASERVICESTARTUP_62</v>
          </cell>
          <cell r="E84" t="b">
            <v>0</v>
          </cell>
          <cell r="F84" t="str">
            <v>A inicialização falhou no serviço {0} no computador {1} devido ao tempo limite.</v>
          </cell>
          <cell r="G84" t="str">
            <v/>
          </cell>
          <cell r="H84">
            <v>0</v>
          </cell>
          <cell r="I84">
            <v>0</v>
          </cell>
          <cell r="J84" t="str">
            <v>SystemAlarm</v>
          </cell>
          <cell r="K84" t="str">
            <v>Severidade 14</v>
          </cell>
          <cell r="L84" t="str">
            <v>Severidade 16</v>
          </cell>
          <cell r="M84" t="b">
            <v>0</v>
          </cell>
        </row>
        <row r="85">
          <cell r="A85" t="str">
            <v>Arbitration Service Stopped</v>
          </cell>
          <cell r="B85" t="str">
            <v/>
          </cell>
          <cell r="C85" t="str">
            <v/>
          </cell>
          <cell r="D85" t="str">
            <v>SYSTEM_ARBITRATION_DNASERVICESHUTDOWN_48</v>
          </cell>
          <cell r="E85" t="b">
            <v>0</v>
          </cell>
          <cell r="F85" t="str">
            <v>O serviço {0} no computador {1} agora está parado (conforme solicitado pelo usuário {2} em {3}).</v>
          </cell>
          <cell r="G85" t="str">
            <v/>
          </cell>
          <cell r="H85">
            <v>0</v>
          </cell>
          <cell r="I85">
            <v>0</v>
          </cell>
          <cell r="J85" t="str">
            <v>SystemAlarm</v>
          </cell>
          <cell r="K85" t="str">
            <v>Severidade 14</v>
          </cell>
          <cell r="L85" t="str">
            <v>Severidade 16</v>
          </cell>
          <cell r="M85" t="b">
            <v>0</v>
          </cell>
        </row>
        <row r="86">
          <cell r="A86" t="str">
            <v>Arbitration Service Stopping</v>
          </cell>
          <cell r="B86" t="str">
            <v/>
          </cell>
          <cell r="C86" t="str">
            <v/>
          </cell>
          <cell r="D86" t="str">
            <v>SYSTEM_ARBITRATION_DNASERVICESHUTDOWN_43</v>
          </cell>
          <cell r="E86" t="b">
            <v>0</v>
          </cell>
          <cell r="F86" t="str">
            <v>Parando o serviço {0} e todos os serviços dependentes ({1}) no computador {2} conforme solicitado pelo usuário {3} em {4}.</v>
          </cell>
          <cell r="G86" t="str">
            <v/>
          </cell>
          <cell r="H86">
            <v>0</v>
          </cell>
          <cell r="I86">
            <v>0</v>
          </cell>
          <cell r="J86" t="str">
            <v>SystemAlarm</v>
          </cell>
          <cell r="K86" t="str">
            <v>Severidade 14</v>
          </cell>
          <cell r="L86" t="str">
            <v>Severidade 16</v>
          </cell>
          <cell r="M86" t="b">
            <v>0</v>
          </cell>
        </row>
        <row r="87">
          <cell r="A87" t="str">
            <v>Arbitration Shutdown Child Script Failed</v>
          </cell>
          <cell r="B87" t="str">
            <v/>
          </cell>
          <cell r="C87" t="str">
            <v/>
          </cell>
          <cell r="D87" t="str">
            <v>SYSTEM_ARBITRATION_CHILDEXECUTABLESCRIPTFAILURE_36</v>
          </cell>
          <cell r="E87" t="b">
            <v>0</v>
          </cell>
          <cell r="F87" t="str">
            <v>O desligamento do serviço {0} falhou no computador {1}. {2} falhou ao executar. Consulte as mensagens anteriores (e o arquivo de log) para obter detalhes.</v>
          </cell>
          <cell r="G87" t="str">
            <v/>
          </cell>
          <cell r="H87">
            <v>0</v>
          </cell>
          <cell r="I87">
            <v>0</v>
          </cell>
          <cell r="J87" t="str">
            <v>SystemAlarm</v>
          </cell>
          <cell r="K87" t="str">
            <v>Severidade 14</v>
          </cell>
          <cell r="L87" t="str">
            <v>Severidade 16</v>
          </cell>
          <cell r="M87" t="b">
            <v>0</v>
          </cell>
        </row>
        <row r="88">
          <cell r="A88" t="str">
            <v>Arbitration Shutdown Ok</v>
          </cell>
          <cell r="B88" t="str">
            <v/>
          </cell>
          <cell r="C88" t="str">
            <v/>
          </cell>
          <cell r="D88" t="str">
            <v>SYSTEM_ARBITRATION_DNASERVICESHUTDOWN_33</v>
          </cell>
          <cell r="E88" t="b">
            <v>0</v>
          </cell>
          <cell r="F88" t="str">
            <v>O serviço {0} no computador {1} agora está parado (conforme solicitado pelo painel de controle).</v>
          </cell>
          <cell r="G88" t="str">
            <v/>
          </cell>
          <cell r="H88">
            <v>0</v>
          </cell>
          <cell r="I88">
            <v>0</v>
          </cell>
          <cell r="J88" t="str">
            <v>SystemAlarm</v>
          </cell>
          <cell r="K88" t="str">
            <v>Severidade 14</v>
          </cell>
          <cell r="L88" t="str">
            <v>Severidade 16</v>
          </cell>
          <cell r="M88" t="b">
            <v>0</v>
          </cell>
        </row>
        <row r="89">
          <cell r="A89" t="str">
            <v>Arbitration Shutdown Script Failed</v>
          </cell>
          <cell r="B89" t="str">
            <v/>
          </cell>
          <cell r="C89" t="str">
            <v/>
          </cell>
          <cell r="D89" t="str">
            <v>SYSTEM_ARBITRATION_DNASERVICESTARTUP_29</v>
          </cell>
          <cell r="E89" t="b">
            <v>0</v>
          </cell>
          <cell r="F89" t="str">
            <v>O script de encerramento do serviço {0} falhou no computador {1}. Falha ao limpar os recursos antigos. Interrompendo a inicialização do serviço.</v>
          </cell>
          <cell r="G89" t="str">
            <v/>
          </cell>
          <cell r="H89">
            <v>0</v>
          </cell>
          <cell r="I89">
            <v>0</v>
          </cell>
          <cell r="J89" t="str">
            <v>SystemAlarm</v>
          </cell>
          <cell r="K89" t="str">
            <v>Severidade 14</v>
          </cell>
          <cell r="L89" t="str">
            <v>Severidade 16</v>
          </cell>
          <cell r="M89" t="b">
            <v>0</v>
          </cell>
        </row>
        <row r="90">
          <cell r="A90" t="str">
            <v>Arbitration Shutdown Script Succeeded</v>
          </cell>
          <cell r="B90" t="str">
            <v/>
          </cell>
          <cell r="C90" t="str">
            <v/>
          </cell>
          <cell r="D90" t="str">
            <v>SYSTEM_ARBITRATION_DNASERVICESTARTUP_30</v>
          </cell>
          <cell r="E90" t="b">
            <v>0</v>
          </cell>
          <cell r="F90" t="str">
            <v>O script de desligamento do serviço {0} foi bem-sucedido no computador {1}. Recursos foram liberados. Tentando novamente a inicialização do serviço.</v>
          </cell>
          <cell r="G90" t="str">
            <v/>
          </cell>
          <cell r="H90">
            <v>0</v>
          </cell>
          <cell r="I90">
            <v>0</v>
          </cell>
          <cell r="J90" t="str">
            <v>SystemAlarm</v>
          </cell>
          <cell r="K90" t="str">
            <v>Severidade 14</v>
          </cell>
          <cell r="L90" t="str">
            <v>Severidade 16</v>
          </cell>
          <cell r="M90" t="b">
            <v>0</v>
          </cell>
        </row>
        <row r="91">
          <cell r="A91" t="str">
            <v>Arbitration Shutdown Service Busy</v>
          </cell>
          <cell r="B91" t="str">
            <v/>
          </cell>
          <cell r="C91" t="str">
            <v/>
          </cell>
          <cell r="D91" t="str">
            <v>SYSTEM_ARBITRATION_DNASERVICESHUTDOWN_42</v>
          </cell>
          <cell r="E91" t="b">
            <v>0</v>
          </cell>
          <cell r="F91" t="str">
            <v>Encerramento do serviço {0} no computador {1} rejeitado porque o serviço está ocupado (estado atual = '{2}').</v>
          </cell>
          <cell r="G91" t="str">
            <v/>
          </cell>
          <cell r="H91">
            <v>0</v>
          </cell>
          <cell r="I91">
            <v>0</v>
          </cell>
          <cell r="J91" t="str">
            <v>SystemAlarm</v>
          </cell>
          <cell r="K91" t="str">
            <v>Severidade 14</v>
          </cell>
          <cell r="L91" t="str">
            <v>Severidade 16</v>
          </cell>
          <cell r="M91" t="b">
            <v>0</v>
          </cell>
        </row>
        <row r="92">
          <cell r="A92" t="str">
            <v>Arbitration Shutdown Service Busy_1</v>
          </cell>
          <cell r="B92" t="str">
            <v/>
          </cell>
          <cell r="C92" t="str">
            <v/>
          </cell>
          <cell r="D92" t="str">
            <v>SYSTEM_ARBITRATION_DNASERVICESHUTDOWN_41</v>
          </cell>
          <cell r="E92" t="b">
            <v>0</v>
          </cell>
          <cell r="F92" t="str">
            <v>Pedido para encerrar o serviço {0} no computador {1} pelo usuário {2} em {3} rejeitado porque o serviço está ocupado (estado atual = '{4}').</v>
          </cell>
          <cell r="G92" t="str">
            <v/>
          </cell>
          <cell r="H92">
            <v>0</v>
          </cell>
          <cell r="I92">
            <v>0</v>
          </cell>
          <cell r="J92" t="str">
            <v>SystemAlarm</v>
          </cell>
          <cell r="K92" t="str">
            <v>Severidade 14</v>
          </cell>
          <cell r="L92" t="str">
            <v>Severidade 16</v>
          </cell>
          <cell r="M92" t="b">
            <v>0</v>
          </cell>
        </row>
        <row r="93">
          <cell r="A93" t="str">
            <v>Arbitration Shutdown Service Command Failed</v>
          </cell>
          <cell r="B93" t="str">
            <v/>
          </cell>
          <cell r="C93" t="str">
            <v/>
          </cell>
          <cell r="D93" t="str">
            <v>SYSTEM_ARBITRATION_DNASERVICESHUTDOWN_24</v>
          </cell>
          <cell r="E93" t="b">
            <v>0</v>
          </cell>
          <cell r="F93" t="str">
            <v>O comando {0} falhou no serviço {1} no computador {2} (motivo '{Motivo}').</v>
          </cell>
          <cell r="G93" t="str">
            <v/>
          </cell>
          <cell r="H93">
            <v>0</v>
          </cell>
          <cell r="I93">
            <v>0</v>
          </cell>
          <cell r="J93" t="str">
            <v>SystemAlarm</v>
          </cell>
          <cell r="K93" t="str">
            <v>Severidade 14</v>
          </cell>
          <cell r="L93" t="str">
            <v>Severidade 16</v>
          </cell>
          <cell r="M93" t="b">
            <v>0</v>
          </cell>
        </row>
        <row r="94">
          <cell r="A94" t="str">
            <v>Arbitration Shutdown Service Open Failed</v>
          </cell>
          <cell r="B94" t="str">
            <v/>
          </cell>
          <cell r="C94" t="str">
            <v/>
          </cell>
          <cell r="D94" t="str">
            <v>SYSTEM_ARBITRATION_DNASERVICESHUTDOWN_22</v>
          </cell>
          <cell r="E94" t="b">
            <v>0</v>
          </cell>
          <cell r="F94" t="str">
            <v>Falha ao abrir o serviço '{0}' no computador {1} (motivo '{2}'). Este serviço está registrado no painel de controle do Windows?</v>
          </cell>
          <cell r="G94" t="str">
            <v/>
          </cell>
          <cell r="H94">
            <v>0</v>
          </cell>
          <cell r="I94">
            <v>0</v>
          </cell>
          <cell r="J94" t="str">
            <v>SystemAlarm</v>
          </cell>
          <cell r="K94" t="str">
            <v>Severidade 14</v>
          </cell>
          <cell r="L94" t="str">
            <v>Severidade 16</v>
          </cell>
          <cell r="M94" t="b">
            <v>0</v>
          </cell>
        </row>
        <row r="95">
          <cell r="A95" t="str">
            <v>Arbitration Startup Child Script Failed</v>
          </cell>
          <cell r="B95" t="str">
            <v/>
          </cell>
          <cell r="C95" t="str">
            <v/>
          </cell>
          <cell r="D95" t="str">
            <v>SYSTEM_ARBITRATION_CHILDEXECUTABLESCRIPTFAILURE_25</v>
          </cell>
          <cell r="E95" t="b">
            <v>0</v>
          </cell>
          <cell r="F95" t="str">
            <v>A inicialização do serviço {0} falhou no computador {1}. {2} falhou ao executar. Consulte as mensagens anteriores (e o arquivo de log) para obter detalhes.</v>
          </cell>
          <cell r="G95" t="str">
            <v/>
          </cell>
          <cell r="H95">
            <v>0</v>
          </cell>
          <cell r="I95">
            <v>0</v>
          </cell>
          <cell r="J95" t="str">
            <v>SystemAlarm</v>
          </cell>
          <cell r="K95" t="str">
            <v>Severidade 14</v>
          </cell>
          <cell r="L95" t="str">
            <v>Severidade 16</v>
          </cell>
          <cell r="M95" t="b">
            <v>0</v>
          </cell>
        </row>
        <row r="96">
          <cell r="A96" t="str">
            <v>Arbitration Startup Dependent Services</v>
          </cell>
          <cell r="B96" t="str">
            <v/>
          </cell>
          <cell r="C96" t="str">
            <v/>
          </cell>
          <cell r="D96" t="str">
            <v>SYSTEM_ARBITRATION_DNASERVICESTARTUP_44</v>
          </cell>
          <cell r="E96" t="b">
            <v>0</v>
          </cell>
          <cell r="F96" t="str">
            <v>Iniciando o serviço {0} e todos os serviços dependentes {1} no computador {2} conforme solicitado pelo usuário {3} em {4}.</v>
          </cell>
          <cell r="G96" t="str">
            <v/>
          </cell>
          <cell r="H96">
            <v>0</v>
          </cell>
          <cell r="I96">
            <v>0</v>
          </cell>
          <cell r="J96" t="str">
            <v>SystemAlarm</v>
          </cell>
          <cell r="K96" t="str">
            <v>Severidade 14</v>
          </cell>
          <cell r="L96" t="str">
            <v>Severidade 16</v>
          </cell>
          <cell r="M96" t="b">
            <v>0</v>
          </cell>
        </row>
        <row r="97">
          <cell r="A97" t="str">
            <v>Arbitration Startup Ok</v>
          </cell>
          <cell r="B97" t="str">
            <v/>
          </cell>
          <cell r="C97" t="str">
            <v/>
          </cell>
          <cell r="D97" t="str">
            <v>SYSTEM_ARBITRATION_DNASERVICESTARTUP_32</v>
          </cell>
          <cell r="E97" t="b">
            <v>1</v>
          </cell>
          <cell r="F97" t="str">
            <v>O serviço {0} no computador {1} foi iniciado (conforme solicitado pelo painel de controle).</v>
          </cell>
          <cell r="G97" t="str">
            <v/>
          </cell>
          <cell r="H97">
            <v>0</v>
          </cell>
          <cell r="I97">
            <v>0</v>
          </cell>
          <cell r="J97" t="str">
            <v>SystemAlarm</v>
          </cell>
          <cell r="K97" t="str">
            <v>Severidade 14</v>
          </cell>
          <cell r="L97" t="str">
            <v>Severidade 16</v>
          </cell>
          <cell r="M97" t="b">
            <v>0</v>
          </cell>
        </row>
        <row r="98">
          <cell r="A98" t="str">
            <v>Arbitration Startup Script Failed</v>
          </cell>
          <cell r="B98" t="str">
            <v/>
          </cell>
          <cell r="C98" t="str">
            <v/>
          </cell>
          <cell r="D98" t="str">
            <v>SYSTEM_ARBITRATION_DNASERVICESTARTUP_28</v>
          </cell>
          <cell r="E98" t="b">
            <v>0</v>
          </cell>
          <cell r="F98" t="str">
            <v>{ScriptName} para o serviço {0} falhou no computador {1}. Executando o script de desligamento para limpar todos os recursos antigos.</v>
          </cell>
          <cell r="G98" t="str">
            <v/>
          </cell>
          <cell r="H98">
            <v>0</v>
          </cell>
          <cell r="I98">
            <v>0</v>
          </cell>
          <cell r="J98" t="str">
            <v>SystemAlarm</v>
          </cell>
          <cell r="K98" t="str">
            <v>Severidade 14</v>
          </cell>
          <cell r="L98" t="str">
            <v>Severidade 16</v>
          </cell>
          <cell r="M98" t="b">
            <v>0</v>
          </cell>
        </row>
        <row r="99">
          <cell r="A99" t="str">
            <v>Arbitration Startup Script Second Attempt Failed</v>
          </cell>
          <cell r="B99" t="str">
            <v/>
          </cell>
          <cell r="C99" t="str">
            <v/>
          </cell>
          <cell r="D99" t="str">
            <v>SYSTEM_ARBITRATION_DNASERVICESTARTUP_31</v>
          </cell>
          <cell r="E99" t="b">
            <v>0</v>
          </cell>
          <cell r="F99" t="str">
            <v>A segunda tentativa de script de inicialização para o serviço {0} falhou no computador {1}. Interrompendo a inicialização do serviço.</v>
          </cell>
          <cell r="G99" t="str">
            <v/>
          </cell>
          <cell r="H99">
            <v>0</v>
          </cell>
          <cell r="I99">
            <v>0</v>
          </cell>
          <cell r="J99" t="str">
            <v>SystemAlarm</v>
          </cell>
          <cell r="K99" t="str">
            <v>Severidade 14</v>
          </cell>
          <cell r="L99" t="str">
            <v>Severidade 16</v>
          </cell>
          <cell r="M99" t="b">
            <v>0</v>
          </cell>
        </row>
        <row r="100">
          <cell r="A100" t="str">
            <v>Arbitration Windows Service Control Manager Open Failed</v>
          </cell>
          <cell r="B100" t="str">
            <v/>
          </cell>
          <cell r="C100" t="str">
            <v/>
          </cell>
          <cell r="D100" t="str">
            <v>SYSTEM_ARBITRATION_WINDOWSSERVICESTATE_23</v>
          </cell>
          <cell r="E100" t="b">
            <v>0</v>
          </cell>
          <cell r="F100" t="str">
            <v>Falha ao abrir o Service Control Manager para o serviço '{0}' no computador {1} (motivo '{2}').</v>
          </cell>
          <cell r="G100" t="str">
            <v/>
          </cell>
          <cell r="H100">
            <v>0</v>
          </cell>
          <cell r="I100">
            <v>0</v>
          </cell>
          <cell r="J100" t="str">
            <v>SystemAlarm</v>
          </cell>
          <cell r="K100" t="str">
            <v>Severidade 14</v>
          </cell>
          <cell r="L100" t="str">
            <v>Severidade 16</v>
          </cell>
          <cell r="M100" t="b">
            <v>0</v>
          </cell>
        </row>
        <row r="101">
          <cell r="A101" t="str">
            <v>Arbitration Windows Service Open Failed</v>
          </cell>
          <cell r="B101" t="str">
            <v/>
          </cell>
          <cell r="C101" t="str">
            <v/>
          </cell>
          <cell r="D101" t="str">
            <v>SYSTEM_ARBITRATION_WINDOWSSERVICESTATE_22</v>
          </cell>
          <cell r="E101" t="b">
            <v>0</v>
          </cell>
          <cell r="F101" t="str">
            <v>Falha ao abrir o serviço '{0}' no computador {1} (motivo '{2}'). Este serviço está registrado no painel de controle do Windows?</v>
          </cell>
          <cell r="G101" t="str">
            <v/>
          </cell>
          <cell r="H101">
            <v>0</v>
          </cell>
          <cell r="I101">
            <v>0</v>
          </cell>
          <cell r="J101" t="str">
            <v>SystemAlarm</v>
          </cell>
          <cell r="K101" t="str">
            <v>Severidade 14</v>
          </cell>
          <cell r="L101" t="str">
            <v>Severidade 16</v>
          </cell>
          <cell r="M101" t="b">
            <v>0</v>
          </cell>
        </row>
        <row r="102">
          <cell r="A102" t="str">
            <v>Archive Copy Failed</v>
          </cell>
          <cell r="B102" t="str">
            <v/>
          </cell>
          <cell r="C102" t="str">
            <v/>
          </cell>
          <cell r="D102" t="str">
            <v>SYSTEM_ARCHIVE_ARCHIVEEVENTS_-5</v>
          </cell>
          <cell r="E102" t="b">
            <v>0</v>
          </cell>
          <cell r="F102" t="str">
            <v>Failed to copy to {0} failed â€“ {1}.</v>
          </cell>
          <cell r="G102" t="str">
            <v/>
          </cell>
          <cell r="H102">
            <v>0</v>
          </cell>
          <cell r="I102">
            <v>0</v>
          </cell>
          <cell r="J102" t="str">
            <v>SystemAlarm</v>
          </cell>
          <cell r="K102" t="str">
            <v>Severidade 14</v>
          </cell>
          <cell r="L102" t="str">
            <v>Severidade 16</v>
          </cell>
          <cell r="M102" t="b">
            <v>0</v>
          </cell>
        </row>
        <row r="103">
          <cell r="A103" t="str">
            <v>Archive Device Not Mounted</v>
          </cell>
          <cell r="B103" t="str">
            <v/>
          </cell>
          <cell r="C103" t="str">
            <v/>
          </cell>
          <cell r="D103" t="str">
            <v>SYSTEM_ARCHIVE_ARCHIVEEVENTS_-1</v>
          </cell>
          <cell r="E103" t="b">
            <v>0</v>
          </cell>
          <cell r="F103" t="str">
            <v>Monte e inicialize a mídia em {1}.</v>
          </cell>
          <cell r="G103" t="str">
            <v/>
          </cell>
          <cell r="H103">
            <v>0</v>
          </cell>
          <cell r="I103">
            <v>0</v>
          </cell>
          <cell r="J103" t="str">
            <v>SystemAlarm</v>
          </cell>
          <cell r="K103" t="str">
            <v>Severidade 14</v>
          </cell>
          <cell r="L103" t="str">
            <v>Severidade 16</v>
          </cell>
          <cell r="M103" t="b">
            <v>0</v>
          </cell>
        </row>
        <row r="104">
          <cell r="A104" t="str">
            <v>Archive Device Unavailable</v>
          </cell>
          <cell r="B104" t="str">
            <v/>
          </cell>
          <cell r="C104" t="str">
            <v/>
          </cell>
          <cell r="D104" t="str">
            <v>SYSTEM_ARCHIVE_ARCHIVEEVENTS_-12</v>
          </cell>
          <cell r="E104" t="b">
            <v>0</v>
          </cell>
          <cell r="F104" t="str">
            <v>O dispositivo de arquivamento {0} está indisponível.</v>
          </cell>
          <cell r="G104" t="str">
            <v/>
          </cell>
          <cell r="H104">
            <v>0</v>
          </cell>
          <cell r="I104">
            <v>0</v>
          </cell>
          <cell r="J104" t="str">
            <v>SystemAlarm</v>
          </cell>
          <cell r="K104" t="str">
            <v>Severidade 14</v>
          </cell>
          <cell r="L104" t="str">
            <v>Severidade 16</v>
          </cell>
          <cell r="M104" t="b">
            <v>0</v>
          </cell>
        </row>
        <row r="105">
          <cell r="A105" t="str">
            <v>Archive Device Unknown</v>
          </cell>
          <cell r="B105" t="str">
            <v/>
          </cell>
          <cell r="C105" t="str">
            <v/>
          </cell>
          <cell r="D105" t="str">
            <v>SYSTEM_ARCHIVE_ARCHIVEEVENTS_-11</v>
          </cell>
          <cell r="E105" t="b">
            <v>0</v>
          </cell>
          <cell r="F105" t="str">
            <v>Dispositivo de arquivamento desconhecido {0}.</v>
          </cell>
          <cell r="G105" t="str">
            <v/>
          </cell>
          <cell r="H105">
            <v>0</v>
          </cell>
          <cell r="I105">
            <v>0</v>
          </cell>
          <cell r="J105" t="str">
            <v>SystemAlarm</v>
          </cell>
          <cell r="K105" t="str">
            <v>Severidade 14</v>
          </cell>
          <cell r="L105" t="str">
            <v>Severidade 16</v>
          </cell>
          <cell r="M105" t="b">
            <v>0</v>
          </cell>
        </row>
        <row r="106">
          <cell r="A106" t="str">
            <v>Archive Failed To Close EOM</v>
          </cell>
          <cell r="B106" t="str">
            <v/>
          </cell>
          <cell r="C106" t="str">
            <v/>
          </cell>
          <cell r="D106" t="str">
            <v>SYSTEM_ARCHIVE_ARCHIVEEVENTS_-14</v>
          </cell>
          <cell r="E106" t="b">
            <v>0</v>
          </cell>
          <cell r="F106" t="str">
            <v>Failed to close end-of-media file {0} â€“ {1}.</v>
          </cell>
          <cell r="G106" t="str">
            <v/>
          </cell>
          <cell r="H106">
            <v>0</v>
          </cell>
          <cell r="I106">
            <v>0</v>
          </cell>
          <cell r="J106" t="str">
            <v>SystemAlarm</v>
          </cell>
          <cell r="K106" t="str">
            <v>Severidade 14</v>
          </cell>
          <cell r="L106" t="str">
            <v>Severidade 16</v>
          </cell>
          <cell r="M106" t="b">
            <v>0</v>
          </cell>
        </row>
        <row r="107">
          <cell r="A107" t="str">
            <v>Archive Failed To Get File System Info</v>
          </cell>
          <cell r="B107" t="str">
            <v/>
          </cell>
          <cell r="C107" t="str">
            <v/>
          </cell>
          <cell r="D107" t="str">
            <v>SYSTEM_ARCHIVE_ARCHIVEEVENTS_-7</v>
          </cell>
          <cell r="E107" t="b">
            <v>0</v>
          </cell>
          <cell r="F107" t="str">
            <v>Failed to get file system info. For {0} â€“ {1}.</v>
          </cell>
          <cell r="G107" t="str">
            <v/>
          </cell>
          <cell r="H107">
            <v>0</v>
          </cell>
          <cell r="I107">
            <v>0</v>
          </cell>
          <cell r="J107" t="str">
            <v>SystemAlarm</v>
          </cell>
          <cell r="K107" t="str">
            <v>Severidade 14</v>
          </cell>
          <cell r="L107" t="str">
            <v>Severidade 16</v>
          </cell>
          <cell r="M107" t="b">
            <v>0</v>
          </cell>
        </row>
        <row r="108">
          <cell r="A108" t="str">
            <v>Archive Failed To Write EOM</v>
          </cell>
          <cell r="B108" t="str">
            <v/>
          </cell>
          <cell r="C108" t="str">
            <v/>
          </cell>
          <cell r="D108" t="str">
            <v>SYSTEM_ARCHIVE_ARCHIVEEVENTS_-13</v>
          </cell>
          <cell r="E108" t="b">
            <v>0</v>
          </cell>
          <cell r="F108" t="str">
            <v>Failed to write end-of-media file {0} â€“ {1}.</v>
          </cell>
          <cell r="G108" t="str">
            <v/>
          </cell>
          <cell r="H108">
            <v>0</v>
          </cell>
          <cell r="I108">
            <v>0</v>
          </cell>
          <cell r="J108" t="str">
            <v>SystemAlarm</v>
          </cell>
          <cell r="K108" t="str">
            <v>Severidade 14</v>
          </cell>
          <cell r="L108" t="str">
            <v>Severidade 16</v>
          </cell>
          <cell r="M108" t="b">
            <v>0</v>
          </cell>
        </row>
        <row r="109">
          <cell r="A109" t="str">
            <v>Archive File Too Big</v>
          </cell>
          <cell r="B109" t="str">
            <v/>
          </cell>
          <cell r="C109" t="str">
            <v/>
          </cell>
          <cell r="D109" t="str">
            <v>SYSTEM_ARCHIVE_ARCHIVEEVENTS_-4</v>
          </cell>
          <cell r="E109" t="b">
            <v>0</v>
          </cell>
          <cell r="F109" t="str">
            <v>Arquivar arquivo maior que o espaço livre disponível em {0}.</v>
          </cell>
          <cell r="G109" t="str">
            <v/>
          </cell>
          <cell r="H109">
            <v>0</v>
          </cell>
          <cell r="I109">
            <v>0</v>
          </cell>
          <cell r="J109" t="str">
            <v>SystemAlarm</v>
          </cell>
          <cell r="K109" t="str">
            <v>Severidade 14</v>
          </cell>
          <cell r="L109" t="str">
            <v>Severidade 16</v>
          </cell>
          <cell r="M109" t="b">
            <v>0</v>
          </cell>
        </row>
        <row r="110">
          <cell r="A110" t="str">
            <v>Archive Invalid Physical Device</v>
          </cell>
          <cell r="B110" t="str">
            <v/>
          </cell>
          <cell r="C110" t="str">
            <v/>
          </cell>
          <cell r="D110" t="str">
            <v>SYSTEM_ARCHIVE_ARCHIVEEVENTS_-15</v>
          </cell>
          <cell r="E110" t="b">
            <v>0</v>
          </cell>
          <cell r="F110" t="str">
            <v>Dispositivo físico inválido especificado para {0}: {1}.</v>
          </cell>
          <cell r="G110" t="str">
            <v/>
          </cell>
          <cell r="H110">
            <v>0</v>
          </cell>
          <cell r="I110">
            <v>0</v>
          </cell>
          <cell r="J110" t="str">
            <v>SystemAlarm</v>
          </cell>
          <cell r="K110" t="str">
            <v>Severidade 14</v>
          </cell>
          <cell r="L110" t="str">
            <v>Severidade 16</v>
          </cell>
          <cell r="M110" t="b">
            <v>0</v>
          </cell>
        </row>
        <row r="111">
          <cell r="A111" t="str">
            <v>Archive Label Corrupt</v>
          </cell>
          <cell r="B111" t="str">
            <v/>
          </cell>
          <cell r="C111" t="str">
            <v/>
          </cell>
          <cell r="D111" t="str">
            <v>SYSTEM_ARCHIVE_ARCHIVEEVENTS_-9</v>
          </cell>
          <cell r="E111" t="b">
            <v>0</v>
          </cell>
          <cell r="F111" t="str">
            <v>O arquivo de etiqueta de archive {0} pode estar corrompido.</v>
          </cell>
          <cell r="G111" t="str">
            <v/>
          </cell>
          <cell r="H111">
            <v>0</v>
          </cell>
          <cell r="I111">
            <v>0</v>
          </cell>
          <cell r="J111" t="str">
            <v>SystemAlarm</v>
          </cell>
          <cell r="K111" t="str">
            <v>Severidade 14</v>
          </cell>
          <cell r="L111" t="str">
            <v>Severidade 16</v>
          </cell>
          <cell r="M111" t="b">
            <v>0</v>
          </cell>
        </row>
        <row r="112">
          <cell r="A112" t="str">
            <v>Archive Label Mismatch</v>
          </cell>
          <cell r="B112" t="str">
            <v/>
          </cell>
          <cell r="C112" t="str">
            <v/>
          </cell>
          <cell r="D112" t="str">
            <v>SYSTEM_ARCHIVE_ARCHIVEEVENTS_-10</v>
          </cell>
          <cell r="E112" t="b">
            <v>0</v>
          </cell>
          <cell r="F112" t="str">
            <v>O rótulo do arquivo morto não corresponde ao rótulo esperado.</v>
          </cell>
          <cell r="G112" t="str">
            <v/>
          </cell>
          <cell r="H112">
            <v>0</v>
          </cell>
          <cell r="I112">
            <v>0</v>
          </cell>
          <cell r="J112" t="str">
            <v>SystemAlarm</v>
          </cell>
          <cell r="K112" t="str">
            <v>Severidade 14</v>
          </cell>
          <cell r="L112" t="str">
            <v>Severidade 16</v>
          </cell>
          <cell r="M112" t="b">
            <v>0</v>
          </cell>
        </row>
        <row r="113">
          <cell r="A113" t="str">
            <v>Archive Media Full</v>
          </cell>
          <cell r="B113" t="str">
            <v/>
          </cell>
          <cell r="C113" t="str">
            <v/>
          </cell>
          <cell r="D113" t="str">
            <v>SYSTEM_ARCHIVE_ARCHIVEEVENTS_-3</v>
          </cell>
          <cell r="E113" t="b">
            <v>0</v>
          </cell>
          <cell r="F113" t="str">
            <v>{0} a mídia está cheia.</v>
          </cell>
          <cell r="G113" t="str">
            <v/>
          </cell>
          <cell r="H113">
            <v>0</v>
          </cell>
          <cell r="I113">
            <v>0</v>
          </cell>
          <cell r="J113" t="str">
            <v>SystemAlarm</v>
          </cell>
          <cell r="K113" t="str">
            <v>Severidade 14</v>
          </cell>
          <cell r="L113" t="str">
            <v>Severidade 16</v>
          </cell>
          <cell r="M113" t="b">
            <v>0</v>
          </cell>
        </row>
        <row r="114">
          <cell r="A114" t="str">
            <v>Archive Mount Label</v>
          </cell>
          <cell r="B114" t="str">
            <v/>
          </cell>
          <cell r="C114" t="str">
            <v/>
          </cell>
          <cell r="D114" t="str">
            <v>SYSTEM_ARCHIVE_ARCHIVEEVENTS_-6</v>
          </cell>
          <cell r="E114" t="b">
            <v>0</v>
          </cell>
          <cell r="F114" t="str">
            <v>Monte a mídia de arquivamento com o rótulo {0} no dispositivo {1}.</v>
          </cell>
          <cell r="G114" t="str">
            <v/>
          </cell>
          <cell r="H114">
            <v>0</v>
          </cell>
          <cell r="I114">
            <v>0</v>
          </cell>
          <cell r="J114" t="str">
            <v>SystemAlarm</v>
          </cell>
          <cell r="K114" t="str">
            <v>Severidade 14</v>
          </cell>
          <cell r="L114" t="str">
            <v>Severidade 16</v>
          </cell>
          <cell r="M114" t="b">
            <v>0</v>
          </cell>
        </row>
        <row r="115">
          <cell r="A115" t="str">
            <v>Archive Open Label Failed</v>
          </cell>
          <cell r="B115" t="str">
            <v/>
          </cell>
          <cell r="C115" t="str">
            <v/>
          </cell>
          <cell r="D115" t="str">
            <v>SYSTEM_ARCHIVE_ARCHIVEEVENTS_-8</v>
          </cell>
          <cell r="E115" t="b">
            <v>0</v>
          </cell>
          <cell r="F115" t="str">
            <v>Failed to open archive label file {0} â€“ {1}.</v>
          </cell>
          <cell r="G115" t="str">
            <v/>
          </cell>
          <cell r="H115">
            <v>0</v>
          </cell>
          <cell r="I115">
            <v>0</v>
          </cell>
          <cell r="J115" t="str">
            <v>SystemAlarm</v>
          </cell>
          <cell r="K115" t="str">
            <v>Severidade 14</v>
          </cell>
          <cell r="L115" t="str">
            <v>Severidade 16</v>
          </cell>
          <cell r="M115" t="b">
            <v>0</v>
          </cell>
        </row>
        <row r="116">
          <cell r="A116" t="str">
            <v>Area Control Error over limits</v>
          </cell>
          <cell r="B116" t="str">
            <v/>
          </cell>
          <cell r="C116" t="str">
            <v/>
          </cell>
          <cell r="D116" t="str">
            <v>GMS_AGC_ACE</v>
          </cell>
          <cell r="E116" t="b">
            <v>1</v>
          </cell>
          <cell r="F116" t="str">
            <v>O filtro ACE {0} está acima do seu limite {1} pelo valor absoluto.</v>
          </cell>
          <cell r="G116" t="str">
            <v/>
          </cell>
          <cell r="H116">
            <v>0</v>
          </cell>
          <cell r="I116">
            <v>0</v>
          </cell>
          <cell r="J116" t="str">
            <v>ApplicationAlarm</v>
          </cell>
          <cell r="K116" t="str">
            <v>Severidade 10</v>
          </cell>
          <cell r="L116" t="str">
            <v>Severidade 16</v>
          </cell>
          <cell r="M116" t="b">
            <v>0</v>
          </cell>
        </row>
        <row r="117">
          <cell r="A117" t="str">
            <v>Area Control Error over limits_1</v>
          </cell>
          <cell r="B117" t="str">
            <v/>
          </cell>
          <cell r="C117" t="str">
            <v/>
          </cell>
          <cell r="D117" t="str">
            <v>MGMS_ADC_ACE</v>
          </cell>
          <cell r="E117" t="b">
            <v>1</v>
          </cell>
          <cell r="F117" t="str">
            <v>O filtro ACE {0} está acima do seu limite {1} pelo valor absoluto.</v>
          </cell>
          <cell r="G117" t="str">
            <v/>
          </cell>
          <cell r="H117">
            <v>0</v>
          </cell>
          <cell r="I117">
            <v>0</v>
          </cell>
          <cell r="J117" t="str">
            <v>ApplicationAlarm</v>
          </cell>
          <cell r="K117" t="str">
            <v>Severidade 10</v>
          </cell>
          <cell r="L117" t="str">
            <v>Severidade 16</v>
          </cell>
          <cell r="M117" t="b">
            <v>0</v>
          </cell>
        </row>
        <row r="118">
          <cell r="A118" t="str">
            <v>Area Control Error returned to normal</v>
          </cell>
          <cell r="B118" t="str">
            <v/>
          </cell>
          <cell r="C118" t="str">
            <v/>
          </cell>
          <cell r="D118" t="str">
            <v>GMS_AGC_ACE_RTN</v>
          </cell>
          <cell r="E118" t="b">
            <v>1</v>
          </cell>
          <cell r="F118" t="str">
            <v>O filtro ACE {0} está dentro do seu limite.</v>
          </cell>
          <cell r="G118" t="str">
            <v/>
          </cell>
          <cell r="H118">
            <v>0</v>
          </cell>
          <cell r="I118">
            <v>0</v>
          </cell>
          <cell r="J118" t="str">
            <v>ApplicationAlarm</v>
          </cell>
          <cell r="K118" t="str">
            <v>Severidade 10</v>
          </cell>
          <cell r="L118" t="str">
            <v>Severidade 16</v>
          </cell>
          <cell r="M118" t="b">
            <v>0</v>
          </cell>
        </row>
        <row r="119">
          <cell r="A119" t="str">
            <v>Area Control Error returned to normal_1</v>
          </cell>
          <cell r="B119" t="str">
            <v/>
          </cell>
          <cell r="C119" t="str">
            <v/>
          </cell>
          <cell r="D119" t="str">
            <v>MGMS_ADC_ACE_RTN</v>
          </cell>
          <cell r="E119" t="b">
            <v>1</v>
          </cell>
          <cell r="F119" t="str">
            <v>O filtro ACE {0} está dentro do seu limite.</v>
          </cell>
          <cell r="G119" t="str">
            <v/>
          </cell>
          <cell r="H119">
            <v>0</v>
          </cell>
          <cell r="I119">
            <v>0</v>
          </cell>
          <cell r="J119" t="str">
            <v>ApplicationAlarm</v>
          </cell>
          <cell r="K119" t="str">
            <v>Severidade 10</v>
          </cell>
          <cell r="L119" t="str">
            <v>Severidade 16</v>
          </cell>
          <cell r="M119" t="b">
            <v>0</v>
          </cell>
        </row>
        <row r="120">
          <cell r="A120" t="str">
            <v>Auto FLISR started or finished</v>
          </cell>
          <cell r="B120" t="str">
            <v/>
          </cell>
          <cell r="C120" t="str">
            <v>FLISR inicio</v>
          </cell>
          <cell r="D120" t="str">
            <v>DMS_OPS_AUTO_FLISR_START</v>
          </cell>
          <cell r="E120" t="b">
            <v>1</v>
          </cell>
          <cell r="F120" t="str">
            <v>{0} - Automático {1} []</v>
          </cell>
          <cell r="G120" t="str">
            <v/>
          </cell>
          <cell r="H120">
            <v>0</v>
          </cell>
          <cell r="I120">
            <v>0</v>
          </cell>
          <cell r="J120" t="str">
            <v>ApplicationAlarm</v>
          </cell>
          <cell r="K120" t="str">
            <v>Severidade 15</v>
          </cell>
          <cell r="L120" t="str">
            <v>Severidade 16</v>
          </cell>
          <cell r="M120" t="b">
            <v>0</v>
          </cell>
        </row>
        <row r="121">
          <cell r="A121" t="str">
            <v>Auto FLISR stopped by contradictory fault indicators</v>
          </cell>
          <cell r="B121" t="str">
            <v/>
          </cell>
          <cell r="C121" t="str">
            <v>FLISR stop</v>
          </cell>
          <cell r="D121" t="str">
            <v>DMS_OPS_CONTRADICTORY_FI_STOPPED_AUTO_FLISR</v>
          </cell>
          <cell r="E121" t="b">
            <v>0</v>
          </cell>
          <cell r="F121" t="str">
            <v>FLISR - automático interrompido porque status contraditório de Indicação de Falha detectado no alimentador com falha []</v>
          </cell>
          <cell r="G121" t="str">
            <v/>
          </cell>
          <cell r="H121">
            <v>0</v>
          </cell>
          <cell r="I121">
            <v>0</v>
          </cell>
          <cell r="J121" t="str">
            <v>ApplicationAlarm</v>
          </cell>
          <cell r="K121" t="str">
            <v>Severidade 15</v>
          </cell>
          <cell r="L121" t="str">
            <v>Severidade 16</v>
          </cell>
          <cell r="M121" t="b">
            <v>0</v>
          </cell>
        </row>
        <row r="122">
          <cell r="A122" t="str">
            <v>Auto FLISR/LAR globally enabled</v>
          </cell>
          <cell r="B122" t="str">
            <v/>
          </cell>
          <cell r="C122" t="str">
            <v xml:space="preserve">FLISR </v>
          </cell>
          <cell r="D122" t="str">
            <v>DMS_OPS_AUTO_FLISR_LAR_GLOBALLY_ENABLED</v>
          </cell>
          <cell r="E122" t="b">
            <v>1</v>
          </cell>
          <cell r="F122" t="str">
            <v>FLISR / LAR - automático está {0} []</v>
          </cell>
          <cell r="G122" t="str">
            <v/>
          </cell>
          <cell r="H122">
            <v>0</v>
          </cell>
          <cell r="I122">
            <v>0</v>
          </cell>
          <cell r="J122" t="str">
            <v>ApplicationAlarm</v>
          </cell>
          <cell r="K122" t="str">
            <v>Severidade 15</v>
          </cell>
          <cell r="L122" t="str">
            <v>Severidade 16</v>
          </cell>
          <cell r="M122" t="b">
            <v>0</v>
          </cell>
        </row>
        <row r="123">
          <cell r="A123" t="str">
            <v>Bad generator data for ED</v>
          </cell>
          <cell r="B123" t="str">
            <v/>
          </cell>
          <cell r="C123" t="str">
            <v/>
          </cell>
          <cell r="D123" t="str">
            <v>GMS_ED_BAD_INPUT</v>
          </cell>
          <cell r="E123" t="b">
            <v>1</v>
          </cell>
          <cell r="F123" t="str">
            <v>Dados inválidos para cálculo de ED. {0}</v>
          </cell>
          <cell r="G123" t="str">
            <v/>
          </cell>
          <cell r="H123">
            <v>0</v>
          </cell>
          <cell r="I123">
            <v>0</v>
          </cell>
          <cell r="J123" t="str">
            <v>ApplicationAlarm</v>
          </cell>
          <cell r="K123" t="str">
            <v>Severidade 10</v>
          </cell>
          <cell r="L123" t="str">
            <v>Severidade 16</v>
          </cell>
          <cell r="M123" t="b">
            <v>0</v>
          </cell>
        </row>
        <row r="124">
          <cell r="A124" t="str">
            <v>Block auto-sectionalizing disabled</v>
          </cell>
          <cell r="B124" t="str">
            <v/>
          </cell>
          <cell r="C124" t="str">
            <v/>
          </cell>
          <cell r="D124" t="str">
            <v>DMS_OPS_LS_BLOCKING_DISABLED</v>
          </cell>
          <cell r="E124" t="b">
            <v>0</v>
          </cell>
          <cell r="F124" t="str">
            <v>Bloqueio de dispositivos de corte automático desativados</v>
          </cell>
          <cell r="G124" t="str">
            <v/>
          </cell>
          <cell r="H124">
            <v>0</v>
          </cell>
          <cell r="I124">
            <v>0</v>
          </cell>
          <cell r="J124" t="str">
            <v>ApplicationAlarm</v>
          </cell>
          <cell r="K124" t="str">
            <v>Severidade 10</v>
          </cell>
          <cell r="L124" t="str">
            <v>Severidade 16</v>
          </cell>
          <cell r="M124" t="b">
            <v>0</v>
          </cell>
        </row>
        <row r="125">
          <cell r="A125" t="str">
            <v>Block auto-sectionalizing failed</v>
          </cell>
          <cell r="B125" t="str">
            <v/>
          </cell>
          <cell r="C125" t="str">
            <v/>
          </cell>
          <cell r="D125" t="str">
            <v>DMS_OPS_BLOCKING_OF_AS_FAILED</v>
          </cell>
          <cell r="E125" t="b">
            <v>0</v>
          </cell>
          <cell r="F125" t="str">
            <v>Falha no bloqueio do dispositivo de corte automático</v>
          </cell>
          <cell r="G125" t="str">
            <v/>
          </cell>
          <cell r="H125">
            <v>0</v>
          </cell>
          <cell r="I125">
            <v>0</v>
          </cell>
          <cell r="J125" t="str">
            <v>ApplicationAlarm</v>
          </cell>
          <cell r="K125" t="str">
            <v>Severidade 10</v>
          </cell>
          <cell r="L125" t="str">
            <v>Severidade 16</v>
          </cell>
          <cell r="M125" t="b">
            <v>0</v>
          </cell>
        </row>
        <row r="126">
          <cell r="A126" t="str">
            <v>BLTHost Execution Too Long</v>
          </cell>
          <cell r="B126" t="str">
            <v/>
          </cell>
          <cell r="C126" t="str">
            <v/>
          </cell>
          <cell r="D126" t="str">
            <v>SYSTEM_BLTHOST_BLTTIMEOUT_1</v>
          </cell>
          <cell r="E126" t="b">
            <v>0</v>
          </cell>
          <cell r="F126" t="str">
            <v>{0} detectou que {1} está demorando muito para ser executado.</v>
          </cell>
          <cell r="G126" t="str">
            <v/>
          </cell>
          <cell r="H126">
            <v>0</v>
          </cell>
          <cell r="I126">
            <v>0</v>
          </cell>
          <cell r="J126" t="str">
            <v>SystemAlarm</v>
          </cell>
          <cell r="K126" t="str">
            <v>Severidade 14</v>
          </cell>
          <cell r="L126" t="str">
            <v>Severidade 16</v>
          </cell>
          <cell r="M126" t="b">
            <v>0</v>
          </cell>
        </row>
        <row r="127">
          <cell r="A127" t="str">
            <v>Calculation execution timeout expired</v>
          </cell>
          <cell r="B127" t="str">
            <v/>
          </cell>
          <cell r="C127" t="str">
            <v/>
          </cell>
          <cell r="D127" t="str">
            <v>GCSCalculationTimeOutAlarm</v>
          </cell>
          <cell r="E127" t="b">
            <v>0</v>
          </cell>
          <cell r="F127" t="str">
            <v>O cálculo falhou. O tempo limite da execução expirou.</v>
          </cell>
          <cell r="G127" t="str">
            <v/>
          </cell>
          <cell r="H127">
            <v>0</v>
          </cell>
          <cell r="I127">
            <v>0</v>
          </cell>
          <cell r="J127" t="str">
            <v>ApplicationAlarm</v>
          </cell>
          <cell r="K127" t="str">
            <v>Severidade 16</v>
          </cell>
          <cell r="L127" t="str">
            <v>Severidade 16</v>
          </cell>
          <cell r="M127" t="b">
            <v>0</v>
          </cell>
        </row>
        <row r="128">
          <cell r="A128" t="str">
            <v>Calculation has failed</v>
          </cell>
          <cell r="B128" t="str">
            <v/>
          </cell>
          <cell r="C128" t="str">
            <v/>
          </cell>
          <cell r="D128" t="str">
            <v>GCSCalculationFailAlarm</v>
          </cell>
          <cell r="E128" t="b">
            <v>0</v>
          </cell>
          <cell r="F128" t="str">
            <v>O cálculo falhou. Ocorreu uma exceção não tratada durante a execução deste cálculo.</v>
          </cell>
          <cell r="G128" t="str">
            <v/>
          </cell>
          <cell r="H128">
            <v>0</v>
          </cell>
          <cell r="I128">
            <v>0</v>
          </cell>
          <cell r="J128" t="str">
            <v>ApplicationAlarm</v>
          </cell>
          <cell r="K128" t="str">
            <v>Severidade 16</v>
          </cell>
          <cell r="L128" t="str">
            <v>Severidade 16</v>
          </cell>
          <cell r="M128" t="b">
            <v>0</v>
          </cell>
        </row>
        <row r="129">
          <cell r="A129" t="str">
            <v>Call from critical customer</v>
          </cell>
          <cell r="B129" t="str">
            <v/>
          </cell>
          <cell r="C129" t="str">
            <v/>
          </cell>
          <cell r="D129" t="str">
            <v>OMS_ALARM_CRITICAL_CUST_CALL_ADDED_TO_INC</v>
          </cell>
          <cell r="E129" t="b">
            <v>0</v>
          </cell>
          <cell r="F129" t="str">
            <v>Nova chamada de um cliente crítico adicionada ao incidente {0}</v>
          </cell>
          <cell r="G129" t="str">
            <v/>
          </cell>
          <cell r="H129">
            <v>0</v>
          </cell>
          <cell r="I129">
            <v>0</v>
          </cell>
          <cell r="J129" t="str">
            <v>ApplicationAlarm</v>
          </cell>
          <cell r="K129" t="str">
            <v>Severidade 8</v>
          </cell>
          <cell r="L129" t="str">
            <v>Severidade 16</v>
          </cell>
          <cell r="M129" t="b">
            <v>0</v>
          </cell>
        </row>
        <row r="130">
          <cell r="A130" t="str">
            <v>Callback profile changed</v>
          </cell>
          <cell r="B130" t="str">
            <v/>
          </cell>
          <cell r="C130" t="str">
            <v/>
          </cell>
          <cell r="D130" t="str">
            <v>OMS_ALARM_PROFILE_CONFIG_CHANGED_CALLBACK_PROF</v>
          </cell>
          <cell r="E130" t="b">
            <v>0</v>
          </cell>
          <cell r="F130" t="str">
            <v>A configuração do OMS para o perfil de retorno de chamada foi alterada de {0} para {1}</v>
          </cell>
          <cell r="G130" t="str">
            <v/>
          </cell>
          <cell r="H130">
            <v>0</v>
          </cell>
          <cell r="I130">
            <v>0</v>
          </cell>
          <cell r="J130" t="str">
            <v>ApplicationAlarm</v>
          </cell>
          <cell r="K130" t="str">
            <v>Severidade 10</v>
          </cell>
          <cell r="L130" t="str">
            <v>Severidade 16</v>
          </cell>
          <cell r="M130" t="b">
            <v>0</v>
          </cell>
        </row>
        <row r="131">
          <cell r="A131" t="str">
            <v>Cannot connect microgrid to grid</v>
          </cell>
          <cell r="B131" t="str">
            <v/>
          </cell>
          <cell r="C131" t="str">
            <v/>
          </cell>
          <cell r="D131" t="str">
            <v>GMS_AGC_CANNOT_CONNECT_TO_GRID</v>
          </cell>
          <cell r="E131" t="b">
            <v>1</v>
          </cell>
          <cell r="F131" t="str">
            <v>Não é possível conectar a microrrede à rede.</v>
          </cell>
          <cell r="G131" t="str">
            <v/>
          </cell>
          <cell r="H131">
            <v>0</v>
          </cell>
          <cell r="I131">
            <v>0</v>
          </cell>
          <cell r="J131" t="str">
            <v>ApplicationAlarm</v>
          </cell>
          <cell r="K131" t="str">
            <v>Severidade 10</v>
          </cell>
          <cell r="L131" t="str">
            <v>Severidade 16</v>
          </cell>
          <cell r="M131" t="b">
            <v>0</v>
          </cell>
        </row>
        <row r="132">
          <cell r="A132" t="str">
            <v>Cannot connect microgrid to grid_1</v>
          </cell>
          <cell r="B132" t="str">
            <v/>
          </cell>
          <cell r="C132" t="str">
            <v/>
          </cell>
          <cell r="D132" t="str">
            <v>MGMS_ADC_CANNOT_CONNECT_TO_GRID</v>
          </cell>
          <cell r="E132" t="b">
            <v>1</v>
          </cell>
          <cell r="F132" t="str">
            <v>Não é possível conectar a microrrede à rede.</v>
          </cell>
          <cell r="G132" t="str">
            <v/>
          </cell>
          <cell r="H132">
            <v>0</v>
          </cell>
          <cell r="I132">
            <v>0</v>
          </cell>
          <cell r="J132" t="str">
            <v>ApplicationAlarm</v>
          </cell>
          <cell r="K132" t="str">
            <v>Severidade 10</v>
          </cell>
          <cell r="L132" t="str">
            <v>Severidade 16</v>
          </cell>
          <cell r="M132" t="b">
            <v>0</v>
          </cell>
        </row>
        <row r="133">
          <cell r="A133" t="str">
            <v>Cannot separate microgrid from grid</v>
          </cell>
          <cell r="B133" t="str">
            <v/>
          </cell>
          <cell r="C133" t="str">
            <v/>
          </cell>
          <cell r="D133" t="str">
            <v>MGMS_ADC_CANNOT_SEPARATE_FROM_GRID</v>
          </cell>
          <cell r="E133" t="b">
            <v>1</v>
          </cell>
          <cell r="F133" t="str">
            <v>Não é possível separar a microrrede da rede.</v>
          </cell>
          <cell r="G133" t="str">
            <v/>
          </cell>
          <cell r="H133">
            <v>0</v>
          </cell>
          <cell r="I133">
            <v>0</v>
          </cell>
          <cell r="J133" t="str">
            <v>ApplicationAlarm</v>
          </cell>
          <cell r="K133" t="str">
            <v>Severidade 10</v>
          </cell>
          <cell r="L133" t="str">
            <v>Severidade 16</v>
          </cell>
          <cell r="M133" t="b">
            <v>0</v>
          </cell>
        </row>
        <row r="134">
          <cell r="A134" t="str">
            <v>Cannot separate microgrid from grid_1</v>
          </cell>
          <cell r="B134" t="str">
            <v/>
          </cell>
          <cell r="C134" t="str">
            <v/>
          </cell>
          <cell r="D134" t="str">
            <v>GMS_AGC_CANNOT_SEPARATE_FROM_GRID</v>
          </cell>
          <cell r="E134" t="b">
            <v>1</v>
          </cell>
          <cell r="F134" t="str">
            <v>Não é possível separar a microrrede da rede.</v>
          </cell>
          <cell r="G134" t="str">
            <v/>
          </cell>
          <cell r="H134">
            <v>0</v>
          </cell>
          <cell r="I134">
            <v>0</v>
          </cell>
          <cell r="J134" t="str">
            <v>ApplicationAlarm</v>
          </cell>
          <cell r="K134" t="str">
            <v>Severidade 10</v>
          </cell>
          <cell r="L134" t="str">
            <v>Severidade 16</v>
          </cell>
          <cell r="M134" t="b">
            <v>0</v>
          </cell>
        </row>
        <row r="135">
          <cell r="A135" t="str">
            <v>Communication Link connection lost</v>
          </cell>
          <cell r="B135" t="str">
            <v/>
          </cell>
          <cell r="C135" t="str">
            <v>LNKNR</v>
          </cell>
          <cell r="D135" t="str">
            <v>CONNECTION_LOST</v>
          </cell>
          <cell r="E135" t="b">
            <v>0</v>
          </cell>
          <cell r="F135" t="str">
            <v>LNKNR - Conexão perdida.</v>
          </cell>
          <cell r="G135" t="str">
            <v>Link de comunicação não responde</v>
          </cell>
          <cell r="H135">
            <v>180</v>
          </cell>
          <cell r="I135">
            <v>0</v>
          </cell>
          <cell r="J135" t="str">
            <v>ApplicationAlarm</v>
          </cell>
          <cell r="K135" t="str">
            <v>Severidade 9</v>
          </cell>
          <cell r="L135" t="str">
            <v>Severidade 16</v>
          </cell>
          <cell r="M135" t="b">
            <v>0</v>
          </cell>
        </row>
        <row r="136">
          <cell r="A136" t="str">
            <v>Communication Link failed connection establishment</v>
          </cell>
          <cell r="B136" t="str">
            <v/>
          </cell>
          <cell r="C136" t="str">
            <v>LNKFAL</v>
          </cell>
          <cell r="D136" t="str">
            <v>FAILED_TO_CONNECT</v>
          </cell>
          <cell r="E136" t="b">
            <v>0</v>
          </cell>
          <cell r="F136" t="str">
            <v>LNKFAL - Falha ao estabelecer a conexão.</v>
          </cell>
          <cell r="G136" t="str">
            <v>Link de comunicação não estabelecido</v>
          </cell>
          <cell r="H136">
            <v>180</v>
          </cell>
          <cell r="I136">
            <v>0</v>
          </cell>
          <cell r="J136" t="str">
            <v>ApplicationAlarm</v>
          </cell>
          <cell r="K136" t="str">
            <v>Severidade 9</v>
          </cell>
          <cell r="L136" t="str">
            <v>Severidade 16</v>
          </cell>
          <cell r="M136" t="b">
            <v>0</v>
          </cell>
        </row>
        <row r="137">
          <cell r="A137" t="str">
            <v>Communication Link return to normal</v>
          </cell>
          <cell r="B137" t="str">
            <v/>
          </cell>
          <cell r="C137" t="str">
            <v>LNKRES</v>
          </cell>
          <cell r="D137" t="str">
            <v>FAILED_TO_CONNECT_RTN</v>
          </cell>
          <cell r="E137" t="b">
            <v>0</v>
          </cell>
          <cell r="F137" t="str">
            <v>LNKRES - O link agora é {0}.</v>
          </cell>
          <cell r="G137" t="str">
            <v>Link de comunicação voltou a resopnder</v>
          </cell>
          <cell r="H137">
            <v>0</v>
          </cell>
          <cell r="I137">
            <v>0</v>
          </cell>
          <cell r="J137" t="str">
            <v>ApplicationAlarm</v>
          </cell>
          <cell r="K137" t="str">
            <v>Severidade 9</v>
          </cell>
          <cell r="L137" t="str">
            <v>Severidade 16</v>
          </cell>
          <cell r="M137" t="b">
            <v>0</v>
          </cell>
        </row>
        <row r="138">
          <cell r="A138" t="str">
            <v>Control Sequence State Change To Abnormal</v>
          </cell>
          <cell r="B138" t="str">
            <v/>
          </cell>
          <cell r="C138" t="str">
            <v/>
          </cell>
          <cell r="D138" t="str">
            <v>CON_SEQ_STATE_ABNORMAL</v>
          </cell>
          <cell r="E138" t="b">
            <v>1</v>
          </cell>
          <cell r="F138" t="str">
            <v>A sequência de controle '{0}' está no estado {1}</v>
          </cell>
          <cell r="G138" t="str">
            <v/>
          </cell>
          <cell r="H138">
            <v>0</v>
          </cell>
          <cell r="I138">
            <v>0</v>
          </cell>
          <cell r="J138" t="str">
            <v>ApplicationAlarm</v>
          </cell>
          <cell r="K138" t="str">
            <v>Severidade 16</v>
          </cell>
          <cell r="L138" t="str">
            <v>Severidade 16</v>
          </cell>
          <cell r="M138" t="b">
            <v>0</v>
          </cell>
        </row>
        <row r="139">
          <cell r="A139" t="str">
            <v>Control Sequence State Change To Locked</v>
          </cell>
          <cell r="B139" t="str">
            <v/>
          </cell>
          <cell r="C139" t="str">
            <v/>
          </cell>
          <cell r="D139" t="str">
            <v>CON_SEQ_STATE_LOCKED</v>
          </cell>
          <cell r="E139" t="b">
            <v>1</v>
          </cell>
          <cell r="F139" t="str">
            <v>A sequência de controle '{0}' está no estado {1}</v>
          </cell>
          <cell r="G139" t="str">
            <v/>
          </cell>
          <cell r="H139">
            <v>0</v>
          </cell>
          <cell r="I139">
            <v>0</v>
          </cell>
          <cell r="J139" t="str">
            <v>ApplicationAlarm</v>
          </cell>
          <cell r="K139" t="str">
            <v>Severidade 16</v>
          </cell>
          <cell r="L139" t="str">
            <v>Severidade 16</v>
          </cell>
          <cell r="M139" t="b">
            <v>0</v>
          </cell>
        </row>
        <row r="140">
          <cell r="A140" t="str">
            <v>Control Sequence State Change To Normal</v>
          </cell>
          <cell r="B140" t="str">
            <v/>
          </cell>
          <cell r="C140" t="str">
            <v/>
          </cell>
          <cell r="D140" t="str">
            <v>CON_SEQ_STATE_NORMAL</v>
          </cell>
          <cell r="E140" t="b">
            <v>1</v>
          </cell>
          <cell r="F140" t="str">
            <v>A sequência de controle '{0}' está no estado {1}</v>
          </cell>
          <cell r="G140" t="str">
            <v/>
          </cell>
          <cell r="H140">
            <v>0</v>
          </cell>
          <cell r="I140">
            <v>0</v>
          </cell>
          <cell r="J140" t="str">
            <v>ApplicationAlarm</v>
          </cell>
          <cell r="K140" t="str">
            <v>Severidade 16</v>
          </cell>
          <cell r="L140" t="str">
            <v>Severidade 16</v>
          </cell>
          <cell r="M140" t="b">
            <v>0</v>
          </cell>
        </row>
        <row r="141">
          <cell r="A141" t="str">
            <v>Crew assignment rejected</v>
          </cell>
          <cell r="B141" t="str">
            <v/>
          </cell>
          <cell r="C141" t="str">
            <v/>
          </cell>
          <cell r="D141" t="str">
            <v>OMS_CREW_ASSIGNMENT_REJECTED</v>
          </cell>
          <cell r="E141" t="b">
            <v>0</v>
          </cell>
          <cell r="F141" t="str">
            <v>A equipe {0} rejeitou a tarefa {1}. Tipo de rejeição: {2}. Motivo da rejeição: {3}</v>
          </cell>
          <cell r="G141" t="str">
            <v/>
          </cell>
          <cell r="H141">
            <v>0</v>
          </cell>
          <cell r="I141">
            <v>0</v>
          </cell>
          <cell r="J141" t="str">
            <v>ApplicationAlarm</v>
          </cell>
          <cell r="K141" t="str">
            <v>Severidade 10</v>
          </cell>
          <cell r="L141" t="str">
            <v>Severidade 16</v>
          </cell>
          <cell r="M141" t="b">
            <v>0</v>
          </cell>
        </row>
        <row r="142">
          <cell r="A142" t="str">
            <v>Crew not responded to assignment</v>
          </cell>
          <cell r="B142" t="str">
            <v/>
          </cell>
          <cell r="C142" t="str">
            <v/>
          </cell>
          <cell r="D142" t="str">
            <v>OMS_CREW_ASSIGNMENT_NOT_ACKNOWLEDGED</v>
          </cell>
          <cell r="E142" t="b">
            <v>0</v>
          </cell>
          <cell r="F142" t="str">
            <v>A equipe {0} não respondeu à tarefa no incidente {1} por mais de {2} minutos.</v>
          </cell>
          <cell r="G142" t="str">
            <v/>
          </cell>
          <cell r="H142">
            <v>0</v>
          </cell>
          <cell r="I142">
            <v>0</v>
          </cell>
          <cell r="J142" t="str">
            <v>ApplicationAlarm</v>
          </cell>
          <cell r="K142" t="str">
            <v>Severidade 10</v>
          </cell>
          <cell r="L142" t="str">
            <v>Severidade 16</v>
          </cell>
          <cell r="M142" t="b">
            <v>0</v>
          </cell>
        </row>
        <row r="143">
          <cell r="A143" t="str">
            <v>Crew reasigned after merge</v>
          </cell>
          <cell r="B143" t="str">
            <v/>
          </cell>
          <cell r="C143" t="str">
            <v/>
          </cell>
          <cell r="D143" t="str">
            <v>OMS_ALARM_CREW_REASIGNED_AFTER_MERGE</v>
          </cell>
          <cell r="E143" t="b">
            <v>0</v>
          </cell>
          <cell r="F143" t="str">
            <v>Incidente (s) {0} são mesclados ao incidente {1}, equipe (s) redirecionada (s): {2}.</v>
          </cell>
          <cell r="G143" t="str">
            <v/>
          </cell>
          <cell r="H143">
            <v>0</v>
          </cell>
          <cell r="I143">
            <v>0</v>
          </cell>
          <cell r="J143" t="str">
            <v>ApplicationAlarm</v>
          </cell>
          <cell r="K143" t="str">
            <v>Severidade 10</v>
          </cell>
          <cell r="L143" t="str">
            <v>Severidade 16</v>
          </cell>
          <cell r="M143" t="b">
            <v>0</v>
          </cell>
        </row>
        <row r="144">
          <cell r="A144" t="str">
            <v>Crew reasigned after rolldown</v>
          </cell>
          <cell r="B144" t="str">
            <v/>
          </cell>
          <cell r="C144" t="str">
            <v/>
          </cell>
          <cell r="D144" t="str">
            <v>OMS_ALARM_CREW_REASIGNED_AFTER_ROLLDOWN</v>
          </cell>
          <cell r="E144" t="b">
            <v>0</v>
          </cell>
          <cell r="F144" t="str">
            <v>O incidente {0} foi a jusante para o incidente {1}, equipe redirecionada: {2}</v>
          </cell>
          <cell r="G144" t="str">
            <v/>
          </cell>
          <cell r="H144">
            <v>0</v>
          </cell>
          <cell r="I144">
            <v>0</v>
          </cell>
          <cell r="J144" t="str">
            <v>ApplicationAlarm</v>
          </cell>
          <cell r="K144" t="str">
            <v>Severidade 10</v>
          </cell>
          <cell r="L144" t="str">
            <v>Severidade 16</v>
          </cell>
          <cell r="M144" t="b">
            <v>0</v>
          </cell>
        </row>
        <row r="145">
          <cell r="A145" t="str">
            <v>Crew working limit approaching</v>
          </cell>
          <cell r="B145" t="str">
            <v/>
          </cell>
          <cell r="C145" t="str">
            <v/>
          </cell>
          <cell r="D145" t="str">
            <v>OMS_CREW_WORKING_LIMIT_APPROACHING</v>
          </cell>
          <cell r="E145" t="b">
            <v>0</v>
          </cell>
          <cell r="F145" t="str">
            <v>A equipe {0} deve fazer uma pausa em menos de {1} minutos.</v>
          </cell>
          <cell r="G145" t="str">
            <v/>
          </cell>
          <cell r="H145">
            <v>0</v>
          </cell>
          <cell r="I145">
            <v>0</v>
          </cell>
          <cell r="J145" t="str">
            <v>ApplicationAlarm</v>
          </cell>
          <cell r="K145" t="str">
            <v>Severidade 10</v>
          </cell>
          <cell r="L145" t="str">
            <v>Severidade 16</v>
          </cell>
          <cell r="M145" t="b">
            <v>0</v>
          </cell>
        </row>
        <row r="146">
          <cell r="A146" t="str">
            <v>Current transfomer overload returned to normal</v>
          </cell>
          <cell r="B146" t="str">
            <v/>
          </cell>
          <cell r="C146" t="str">
            <v/>
          </cell>
          <cell r="D146" t="str">
            <v>DMS_CFS_RTN_OVERLOAD_CURRENT_TRANSFORMER</v>
          </cell>
          <cell r="E146" t="b">
            <v>0</v>
          </cell>
          <cell r="F146" t="str">
            <v>Carga do transformador de corrente dentro dos limites.</v>
          </cell>
          <cell r="G146" t="str">
            <v/>
          </cell>
          <cell r="H146">
            <v>0</v>
          </cell>
          <cell r="I146">
            <v>0</v>
          </cell>
          <cell r="J146" t="str">
            <v>ApplicationAlarm</v>
          </cell>
          <cell r="K146" t="str">
            <v>Severidade 14</v>
          </cell>
          <cell r="L146" t="str">
            <v>Severidade 16</v>
          </cell>
          <cell r="M146" t="b">
            <v>0</v>
          </cell>
        </row>
        <row r="147">
          <cell r="A147" t="str">
            <v>Current transformer overload</v>
          </cell>
          <cell r="B147" t="str">
            <v/>
          </cell>
          <cell r="C147" t="str">
            <v/>
          </cell>
          <cell r="D147" t="str">
            <v>DMS_CFS_OVERLOAD_CURRENT_TRANSFORMER</v>
          </cell>
          <cell r="E147" t="b">
            <v>0</v>
          </cell>
          <cell r="F147" t="str">
            <v>Carga do transformador de corrente acima do limite de {0} {1}.</v>
          </cell>
          <cell r="G147" t="str">
            <v/>
          </cell>
          <cell r="H147">
            <v>0</v>
          </cell>
          <cell r="I147">
            <v>0</v>
          </cell>
          <cell r="J147" t="str">
            <v>ApplicationAlarm</v>
          </cell>
          <cell r="K147" t="str">
            <v>Severidade 14</v>
          </cell>
          <cell r="L147" t="str">
            <v>Severidade 16</v>
          </cell>
          <cell r="M147" t="b">
            <v>0</v>
          </cell>
        </row>
        <row r="148">
          <cell r="A148" t="str">
            <v>Datapump Alarm</v>
          </cell>
          <cell r="B148" t="str">
            <v/>
          </cell>
          <cell r="C148" t="str">
            <v/>
          </cell>
          <cell r="D148" t="str">
            <v>SYSTEM_DATAPUMP_DATAPUMPALARM_1</v>
          </cell>
          <cell r="E148" t="b">
            <v>0</v>
          </cell>
          <cell r="F148" t="str">
            <v>Datapump [para {0}]: {1}.</v>
          </cell>
          <cell r="G148" t="str">
            <v/>
          </cell>
          <cell r="H148">
            <v>0</v>
          </cell>
          <cell r="I148">
            <v>0</v>
          </cell>
          <cell r="J148" t="str">
            <v>SystemAlarm</v>
          </cell>
          <cell r="K148" t="str">
            <v>Severidade 14</v>
          </cell>
          <cell r="L148" t="str">
            <v>Severidade 16</v>
          </cell>
          <cell r="M148" t="b">
            <v>0</v>
          </cell>
        </row>
        <row r="149">
          <cell r="A149" t="str">
            <v>Datapump Fatal Error</v>
          </cell>
          <cell r="B149" t="str">
            <v/>
          </cell>
          <cell r="C149" t="str">
            <v/>
          </cell>
          <cell r="D149" t="str">
            <v>SYSTEM_DATAPUMP_DATAPUMPFATALERROR_2</v>
          </cell>
          <cell r="E149" t="b">
            <v>0</v>
          </cell>
          <cell r="F149" t="str">
            <v>Datapump [para {0}]: {1}.</v>
          </cell>
          <cell r="G149" t="str">
            <v/>
          </cell>
          <cell r="H149">
            <v>0</v>
          </cell>
          <cell r="I149">
            <v>0</v>
          </cell>
          <cell r="J149" t="str">
            <v>SystemAlarm</v>
          </cell>
          <cell r="K149" t="str">
            <v>Severidade 14</v>
          </cell>
          <cell r="L149" t="str">
            <v>Severidade 16</v>
          </cell>
          <cell r="M149" t="b">
            <v>0</v>
          </cell>
        </row>
        <row r="150">
          <cell r="A150" t="str">
            <v>DDS area recovered</v>
          </cell>
          <cell r="B150" t="str">
            <v/>
          </cell>
          <cell r="C150" t="str">
            <v/>
          </cell>
          <cell r="D150" t="str">
            <v>DMS_DDS_AREA_RECOVERED</v>
          </cell>
          <cell r="E150" t="b">
            <v>0</v>
          </cell>
          <cell r="F150" t="str">
            <v>A área {0} é coberta.</v>
          </cell>
          <cell r="G150" t="str">
            <v/>
          </cell>
          <cell r="H150">
            <v>0</v>
          </cell>
          <cell r="I150">
            <v>0</v>
          </cell>
          <cell r="J150" t="str">
            <v>SystemAlarm</v>
          </cell>
          <cell r="K150" t="str">
            <v>Severidade 12</v>
          </cell>
          <cell r="L150" t="str">
            <v>Severidade 16</v>
          </cell>
          <cell r="M150" t="b">
            <v>0</v>
          </cell>
        </row>
        <row r="151">
          <cell r="A151" t="str">
            <v>DDS area uncovered</v>
          </cell>
          <cell r="B151" t="str">
            <v/>
          </cell>
          <cell r="C151" t="str">
            <v/>
          </cell>
          <cell r="D151" t="str">
            <v>DMS_DDS_AREA_UNCOVERED</v>
          </cell>
          <cell r="E151" t="b">
            <v>0</v>
          </cell>
          <cell r="F151" t="str">
            <v>A área {0} é descoberta.</v>
          </cell>
          <cell r="G151" t="str">
            <v/>
          </cell>
          <cell r="H151">
            <v>0</v>
          </cell>
          <cell r="I151">
            <v>0</v>
          </cell>
          <cell r="J151" t="str">
            <v>SystemAlarm</v>
          </cell>
          <cell r="K151" t="str">
            <v>Severidade 6</v>
          </cell>
          <cell r="L151" t="str">
            <v>Severidade 16</v>
          </cell>
          <cell r="M151" t="b">
            <v>0</v>
          </cell>
        </row>
        <row r="152">
          <cell r="A152" t="str">
            <v>DNP3 IIN Alarm</v>
          </cell>
          <cell r="B152" t="str">
            <v/>
          </cell>
          <cell r="C152" t="str">
            <v/>
          </cell>
          <cell r="D152" t="str">
            <v>DNP3_IIN_ALARM_RECEIVED</v>
          </cell>
          <cell r="E152" t="b">
            <v>0</v>
          </cell>
          <cell r="F152" t="str">
            <v>Bit {0} IIN recebido.</v>
          </cell>
          <cell r="G152" t="str">
            <v/>
          </cell>
          <cell r="H152">
            <v>0</v>
          </cell>
          <cell r="I152">
            <v>0</v>
          </cell>
          <cell r="J152" t="str">
            <v>ApplicationAlarm</v>
          </cell>
          <cell r="K152" t="str">
            <v>Severidade 15</v>
          </cell>
          <cell r="L152" t="str">
            <v>Severidade 16</v>
          </cell>
          <cell r="M152" t="b">
            <v>0</v>
          </cell>
        </row>
        <row r="153">
          <cell r="A153" t="str">
            <v>DNP3 IIN Event</v>
          </cell>
          <cell r="B153" t="str">
            <v/>
          </cell>
          <cell r="C153" t="str">
            <v/>
          </cell>
          <cell r="D153" t="str">
            <v>DNP3_IIN_RECEIVED</v>
          </cell>
          <cell r="E153" t="b">
            <v>0</v>
          </cell>
          <cell r="F153" t="str">
            <v>{0} bit IIN {1}.</v>
          </cell>
          <cell r="G153" t="str">
            <v/>
          </cell>
          <cell r="H153">
            <v>0</v>
          </cell>
          <cell r="I153">
            <v>0</v>
          </cell>
          <cell r="J153" t="str">
            <v>ApplicationAlarm</v>
          </cell>
          <cell r="K153" t="str">
            <v>Severidade 15</v>
          </cell>
          <cell r="L153" t="str">
            <v>Severidade 16</v>
          </cell>
          <cell r="M153" t="b">
            <v>0</v>
          </cell>
        </row>
        <row r="154">
          <cell r="A154" t="str">
            <v>Do not miss an incident</v>
          </cell>
          <cell r="B154" t="str">
            <v/>
          </cell>
          <cell r="C154" t="str">
            <v/>
          </cell>
          <cell r="D154" t="str">
            <v>OMS_ALARM_MISSED_INCIDENT</v>
          </cell>
          <cell r="E154" t="b">
            <v>0</v>
          </cell>
          <cell r="F154" t="str">
            <v>O incidente {0} está no estado inicial por mais de {1} minutos</v>
          </cell>
          <cell r="G154" t="str">
            <v/>
          </cell>
          <cell r="H154">
            <v>0</v>
          </cell>
          <cell r="I154">
            <v>0</v>
          </cell>
          <cell r="J154" t="str">
            <v>ApplicationAlarm</v>
          </cell>
          <cell r="K154" t="str">
            <v>Severidade 10</v>
          </cell>
          <cell r="L154" t="str">
            <v>Severidade 16</v>
          </cell>
          <cell r="M154" t="b">
            <v>0</v>
          </cell>
        </row>
        <row r="155">
          <cell r="A155" t="str">
            <v>DOM alarm limit reached.</v>
          </cell>
          <cell r="B155" t="str">
            <v/>
          </cell>
          <cell r="C155" t="str">
            <v>-</v>
          </cell>
          <cell r="D155" t="str">
            <v>DOM_ALARM_LIMIT_REACHED</v>
          </cell>
          <cell r="E155" t="b">
            <v>1</v>
          </cell>
          <cell r="F155" t="str">
            <v>Contador total de DOM = {0} (acima do valor limite de alarme configurado {1}).</v>
          </cell>
          <cell r="G155" t="str">
            <v/>
          </cell>
          <cell r="H155">
            <v>0</v>
          </cell>
          <cell r="I155">
            <v>0</v>
          </cell>
          <cell r="J155" t="str">
            <v>AnalogHigh</v>
          </cell>
          <cell r="K155" t="str">
            <v>Severidade 15</v>
          </cell>
          <cell r="L155" t="str">
            <v>Severidade 16</v>
          </cell>
          <cell r="M155" t="b">
            <v>0</v>
          </cell>
        </row>
        <row r="156">
          <cell r="A156" t="str">
            <v>DOM limit return to normal.</v>
          </cell>
          <cell r="B156" t="str">
            <v/>
          </cell>
          <cell r="C156" t="str">
            <v>-</v>
          </cell>
          <cell r="D156" t="str">
            <v>DOM_LIMIT_RETURN_TO_NORMAL</v>
          </cell>
          <cell r="E156" t="b">
            <v>1</v>
          </cell>
          <cell r="F156" t="str">
            <v>O contador total do DOM = {0} caiu abaixo ou é igual ao limite do DOM = {1}. O contador DOM não está mais em alarme.</v>
          </cell>
          <cell r="G156" t="str">
            <v/>
          </cell>
          <cell r="H156">
            <v>0</v>
          </cell>
          <cell r="I156">
            <v>0</v>
          </cell>
          <cell r="J156" t="str">
            <v>AnalogHigh</v>
          </cell>
          <cell r="K156" t="str">
            <v>Severidade 15</v>
          </cell>
          <cell r="L156" t="str">
            <v>Severidade 16</v>
          </cell>
          <cell r="M156" t="b">
            <v>0</v>
          </cell>
        </row>
        <row r="157">
          <cell r="A157" t="str">
            <v>DOM warning limit reached.</v>
          </cell>
          <cell r="B157" t="str">
            <v/>
          </cell>
          <cell r="C157" t="str">
            <v>-</v>
          </cell>
          <cell r="D157" t="str">
            <v>DOM_WARNING_LIMIT_REACHED</v>
          </cell>
          <cell r="E157" t="b">
            <v>1</v>
          </cell>
          <cell r="F157" t="str">
            <v>Contador total de DOM = {0} (acima do valor limite de aviso configurado {1}).</v>
          </cell>
          <cell r="G157" t="str">
            <v/>
          </cell>
          <cell r="H157">
            <v>0</v>
          </cell>
          <cell r="I157">
            <v>0</v>
          </cell>
          <cell r="J157" t="str">
            <v>AnalogHigh</v>
          </cell>
          <cell r="K157" t="str">
            <v>Severidade 15</v>
          </cell>
          <cell r="L157" t="str">
            <v>Severidade 16</v>
          </cell>
          <cell r="M157" t="b">
            <v>0</v>
          </cell>
        </row>
        <row r="158">
          <cell r="A158" t="str">
            <v>EMS active power reserve for base case above limit</v>
          </cell>
          <cell r="B158" t="str">
            <v/>
          </cell>
          <cell r="C158" t="str">
            <v/>
          </cell>
          <cell r="D158" t="str">
            <v>EMS_VS_RTN_ACTIVE_POWER_RESERVE</v>
          </cell>
          <cell r="E158" t="b">
            <v>0</v>
          </cell>
          <cell r="F158" t="str">
            <v>A reserva de energia do valor estimado é maior que {0} {1}.</v>
          </cell>
          <cell r="G158" t="str">
            <v/>
          </cell>
          <cell r="H158">
            <v>0</v>
          </cell>
          <cell r="I158">
            <v>0</v>
          </cell>
          <cell r="J158" t="str">
            <v>ApplicationAlarm</v>
          </cell>
          <cell r="K158" t="str">
            <v>Severidade 12</v>
          </cell>
          <cell r="L158" t="str">
            <v>Severidade 16</v>
          </cell>
          <cell r="M158" t="b">
            <v>0</v>
          </cell>
        </row>
        <row r="159">
          <cell r="A159" t="str">
            <v>EMS active power reserve for base case below limit</v>
          </cell>
          <cell r="B159" t="str">
            <v/>
          </cell>
          <cell r="C159" t="str">
            <v/>
          </cell>
          <cell r="D159" t="str">
            <v>EMS_VS_ACTIVE_POWER_RESERVE</v>
          </cell>
          <cell r="E159" t="b">
            <v>0</v>
          </cell>
          <cell r="F159" t="str">
            <v>O caso base do VS possui nível de gravidade {0}.</v>
          </cell>
          <cell r="G159" t="str">
            <v/>
          </cell>
          <cell r="H159">
            <v>0</v>
          </cell>
          <cell r="I159">
            <v>0</v>
          </cell>
          <cell r="J159" t="str">
            <v>ApplicationAlarm</v>
          </cell>
          <cell r="K159" t="str">
            <v>Severidade 12</v>
          </cell>
          <cell r="L159" t="str">
            <v>Severidade 16</v>
          </cell>
          <cell r="M159" t="b">
            <v>0</v>
          </cell>
        </row>
        <row r="160">
          <cell r="A160" t="str">
            <v>EMS active power reserve for outages above limit</v>
          </cell>
          <cell r="B160" t="str">
            <v/>
          </cell>
          <cell r="C160" t="str">
            <v/>
          </cell>
          <cell r="D160" t="str">
            <v>EMS_CFS_RTN_VS_OUTAGE</v>
          </cell>
          <cell r="E160" t="b">
            <v>0</v>
          </cell>
          <cell r="F160" t="str">
            <v>A reserva de energia do valor estimado para interrupções é maior que {0} {1}.</v>
          </cell>
          <cell r="G160" t="str">
            <v/>
          </cell>
          <cell r="H160">
            <v>0</v>
          </cell>
          <cell r="I160">
            <v>0</v>
          </cell>
          <cell r="J160" t="str">
            <v>ApplicationAlarm</v>
          </cell>
          <cell r="K160" t="str">
            <v>Severidade 14</v>
          </cell>
          <cell r="L160" t="str">
            <v>Severidade 16</v>
          </cell>
          <cell r="M160" t="b">
            <v>0</v>
          </cell>
        </row>
        <row r="161">
          <cell r="A161" t="str">
            <v>EMS active power reserve for outages below limit</v>
          </cell>
          <cell r="B161" t="str">
            <v/>
          </cell>
          <cell r="C161" t="str">
            <v/>
          </cell>
          <cell r="D161" t="str">
            <v>EMS_CFS_VS_OUTAGE</v>
          </cell>
          <cell r="E161" t="b">
            <v>0</v>
          </cell>
          <cell r="F161" t="str">
            <v>As interrupções do VS têm nível de gravidade {0}.</v>
          </cell>
          <cell r="G161" t="str">
            <v/>
          </cell>
          <cell r="H161">
            <v>0</v>
          </cell>
          <cell r="I161">
            <v>0</v>
          </cell>
          <cell r="J161" t="str">
            <v>ApplicationAlarm</v>
          </cell>
          <cell r="K161" t="str">
            <v>Severidade 14</v>
          </cell>
          <cell r="L161" t="str">
            <v>Severidade 16</v>
          </cell>
          <cell r="M161" t="b">
            <v>0</v>
          </cell>
        </row>
        <row r="162">
          <cell r="A162" t="str">
            <v>EMS BC checking</v>
          </cell>
          <cell r="B162" t="str">
            <v/>
          </cell>
          <cell r="C162" t="str">
            <v/>
          </cell>
          <cell r="D162" t="str">
            <v>EMS_CFS_BC_CHECKING</v>
          </cell>
          <cell r="E162" t="b">
            <v>0</v>
          </cell>
          <cell r="F162" t="str">
            <v>A capacidade do dispositivo de comutação é insuficiente.</v>
          </cell>
          <cell r="G162" t="str">
            <v/>
          </cell>
          <cell r="H162">
            <v>0</v>
          </cell>
          <cell r="I162">
            <v>0</v>
          </cell>
          <cell r="J162" t="str">
            <v>ApplicationAlarm</v>
          </cell>
          <cell r="K162" t="str">
            <v>Severidade 12</v>
          </cell>
          <cell r="L162" t="str">
            <v>Severidade 16</v>
          </cell>
          <cell r="M162" t="b">
            <v>0</v>
          </cell>
        </row>
        <row r="163">
          <cell r="A163" t="str">
            <v>EMS BC checking group</v>
          </cell>
          <cell r="B163" t="str">
            <v/>
          </cell>
          <cell r="C163" t="str">
            <v/>
          </cell>
          <cell r="D163" t="str">
            <v>EMS_CFS_BC_CHECKING_GROUP</v>
          </cell>
          <cell r="E163" t="b">
            <v>0</v>
          </cell>
          <cell r="F163" t="str">
            <v>O número de alarmes de BC é maior que o número máximo de alarmes especificado.</v>
          </cell>
          <cell r="G163" t="str">
            <v/>
          </cell>
          <cell r="H163">
            <v>0</v>
          </cell>
          <cell r="I163">
            <v>0</v>
          </cell>
          <cell r="J163" t="str">
            <v>ApplicationAlarm</v>
          </cell>
          <cell r="K163" t="str">
            <v>Severidade 12</v>
          </cell>
          <cell r="L163" t="str">
            <v>Severidade 16</v>
          </cell>
          <cell r="M163" t="b">
            <v>0</v>
          </cell>
        </row>
        <row r="164">
          <cell r="A164" t="str">
            <v>EMS BC checking returned to normal</v>
          </cell>
          <cell r="B164" t="str">
            <v/>
          </cell>
          <cell r="C164" t="str">
            <v/>
          </cell>
          <cell r="D164" t="str">
            <v>EMS_CFS_RTN_BC_CHECKING</v>
          </cell>
          <cell r="E164" t="b">
            <v>0</v>
          </cell>
          <cell r="F164" t="str">
            <v>A capacidade do dispositivo de comutação é suficiente.</v>
          </cell>
          <cell r="G164" t="str">
            <v/>
          </cell>
          <cell r="H164">
            <v>0</v>
          </cell>
          <cell r="I164">
            <v>0</v>
          </cell>
          <cell r="J164" t="str">
            <v>ApplicationAlarm</v>
          </cell>
          <cell r="K164" t="str">
            <v>Severidade 12</v>
          </cell>
          <cell r="L164" t="str">
            <v>Severidade 16</v>
          </cell>
          <cell r="M164" t="b">
            <v>0</v>
          </cell>
        </row>
        <row r="165">
          <cell r="A165" t="str">
            <v>EMS CA outage above limit</v>
          </cell>
          <cell r="B165" t="str">
            <v/>
          </cell>
          <cell r="C165" t="str">
            <v/>
          </cell>
          <cell r="D165" t="str">
            <v>EMS_CFS_CA_OUTAGE</v>
          </cell>
          <cell r="E165" t="b">
            <v>0</v>
          </cell>
          <cell r="F165" t="str">
            <v>CO [{0}, {1}] possui nível de gravidade {2}.</v>
          </cell>
          <cell r="G165" t="str">
            <v/>
          </cell>
          <cell r="H165">
            <v>0</v>
          </cell>
          <cell r="I165">
            <v>0</v>
          </cell>
          <cell r="J165" t="str">
            <v>ApplicationAlarm</v>
          </cell>
          <cell r="K165" t="str">
            <v>Severidade 10</v>
          </cell>
          <cell r="L165" t="str">
            <v>Severidade 16</v>
          </cell>
          <cell r="M165" t="b">
            <v>0</v>
          </cell>
        </row>
        <row r="166">
          <cell r="A166" t="str">
            <v>EMS CA outage group above limits</v>
          </cell>
          <cell r="B166" t="str">
            <v/>
          </cell>
          <cell r="C166" t="str">
            <v/>
          </cell>
          <cell r="D166" t="str">
            <v>EMS_CFS_CA_OUTAGE_GROUP</v>
          </cell>
          <cell r="E166" t="b">
            <v>0</v>
          </cell>
          <cell r="F166" t="str">
            <v>O perfil da análise de contigência {0} possui {1} interrupções.</v>
          </cell>
          <cell r="G166" t="str">
            <v/>
          </cell>
          <cell r="H166">
            <v>0</v>
          </cell>
          <cell r="I166">
            <v>0</v>
          </cell>
          <cell r="J166" t="str">
            <v>ApplicationAlarm</v>
          </cell>
          <cell r="K166" t="str">
            <v>Severidade 10</v>
          </cell>
          <cell r="L166" t="str">
            <v>Severidade 16</v>
          </cell>
          <cell r="M166" t="b">
            <v>0</v>
          </cell>
        </row>
        <row r="167">
          <cell r="A167" t="str">
            <v>EMS CA outage group within limits</v>
          </cell>
          <cell r="B167" t="str">
            <v/>
          </cell>
          <cell r="C167" t="str">
            <v/>
          </cell>
          <cell r="D167" t="str">
            <v>EMS_CFS_RTN_CA_OUTAGE_GROUP</v>
          </cell>
          <cell r="E167" t="b">
            <v>0</v>
          </cell>
          <cell r="F167" t="str">
            <v>O perfil da CA {0} não possui interrupções críticas.</v>
          </cell>
          <cell r="G167" t="str">
            <v/>
          </cell>
          <cell r="H167">
            <v>0</v>
          </cell>
          <cell r="I167">
            <v>0</v>
          </cell>
          <cell r="J167" t="str">
            <v>ApplicationAlarm</v>
          </cell>
          <cell r="K167" t="str">
            <v>Severidade 10</v>
          </cell>
          <cell r="L167" t="str">
            <v>Severidade 16</v>
          </cell>
          <cell r="M167" t="b">
            <v>0</v>
          </cell>
        </row>
        <row r="168">
          <cell r="A168" t="str">
            <v>EMS CA outage within limits</v>
          </cell>
          <cell r="B168" t="str">
            <v/>
          </cell>
          <cell r="C168" t="str">
            <v/>
          </cell>
          <cell r="D168" t="str">
            <v>EMS_CFS_RTN_CA_OUTAGE</v>
          </cell>
          <cell r="E168" t="b">
            <v>0</v>
          </cell>
          <cell r="F168" t="str">
            <v>CO [{0}, {1}] tem nível de gravidade bom.</v>
          </cell>
          <cell r="G168" t="str">
            <v/>
          </cell>
          <cell r="H168">
            <v>0</v>
          </cell>
          <cell r="I168">
            <v>0</v>
          </cell>
          <cell r="J168" t="str">
            <v>ApplicationAlarm</v>
          </cell>
          <cell r="K168" t="str">
            <v>Severidade 10</v>
          </cell>
          <cell r="L168" t="str">
            <v>Severidade 16</v>
          </cell>
          <cell r="M168" t="b">
            <v>0</v>
          </cell>
        </row>
        <row r="169">
          <cell r="A169" t="str">
            <v>EMS overvoltage aggregated returned to normal</v>
          </cell>
          <cell r="B169" t="str">
            <v/>
          </cell>
          <cell r="C169" t="str">
            <v/>
          </cell>
          <cell r="D169" t="str">
            <v>EMS_CFS_RTN_OVERVOLTAGE</v>
          </cell>
          <cell r="E169" t="b">
            <v>0</v>
          </cell>
          <cell r="F169" t="str">
            <v>Tensão do nó do barramento dentro dos limites.</v>
          </cell>
          <cell r="G169" t="str">
            <v/>
          </cell>
          <cell r="H169">
            <v>0</v>
          </cell>
          <cell r="I169">
            <v>0</v>
          </cell>
          <cell r="J169" t="str">
            <v>ApplicationAlarm</v>
          </cell>
          <cell r="K169" t="str">
            <v>Severidade 10</v>
          </cell>
          <cell r="L169" t="str">
            <v>Severidade 16</v>
          </cell>
          <cell r="M169" t="b">
            <v>0</v>
          </cell>
        </row>
        <row r="170">
          <cell r="A170" t="str">
            <v>EMS SE active power of energy storage</v>
          </cell>
          <cell r="B170" t="str">
            <v/>
          </cell>
          <cell r="C170" t="str">
            <v/>
          </cell>
          <cell r="D170" t="str">
            <v>EMS_CFS_ENERGY_STORAGE_P</v>
          </cell>
          <cell r="E170" t="b">
            <v>0</v>
          </cell>
          <cell r="F170" t="str">
            <v>A potência ativa do armazenamento de energia está fora do limite de {0}</v>
          </cell>
          <cell r="G170" t="str">
            <v/>
          </cell>
          <cell r="H170">
            <v>0</v>
          </cell>
          <cell r="I170">
            <v>0</v>
          </cell>
          <cell r="J170" t="str">
            <v>ApplicationAlarm</v>
          </cell>
          <cell r="K170" t="str">
            <v>Severidade 12</v>
          </cell>
          <cell r="L170" t="str">
            <v>Severidade 16</v>
          </cell>
          <cell r="M170" t="b">
            <v>0</v>
          </cell>
        </row>
        <row r="171">
          <cell r="A171" t="str">
            <v>EMS SE active power of energy storage returned to normal</v>
          </cell>
          <cell r="B171" t="str">
            <v/>
          </cell>
          <cell r="C171" t="str">
            <v/>
          </cell>
          <cell r="D171" t="str">
            <v>EMS_CFS_RTN_ENERGY_STORAGE_P</v>
          </cell>
          <cell r="E171" t="b">
            <v>0</v>
          </cell>
          <cell r="F171" t="str">
            <v>A potência ativa do armazenamento de energia está dentro dos limites</v>
          </cell>
          <cell r="G171" t="str">
            <v/>
          </cell>
          <cell r="H171">
            <v>0</v>
          </cell>
          <cell r="I171">
            <v>0</v>
          </cell>
          <cell r="J171" t="str">
            <v>ApplicationAlarm</v>
          </cell>
          <cell r="K171" t="str">
            <v>Severidade 12</v>
          </cell>
          <cell r="L171" t="str">
            <v>Severidade 16</v>
          </cell>
          <cell r="M171" t="b">
            <v>0</v>
          </cell>
        </row>
        <row r="172">
          <cell r="A172" t="str">
            <v>EMS SE bad measurement</v>
          </cell>
          <cell r="B172" t="str">
            <v/>
          </cell>
          <cell r="C172" t="str">
            <v/>
          </cell>
          <cell r="D172" t="str">
            <v>EMS_CFS_BAD_MEASUREMENT</v>
          </cell>
          <cell r="E172" t="b">
            <v>0</v>
          </cell>
          <cell r="F172" t="str">
            <v>A medição tem qualidade BAD SE e é usada no cálculo</v>
          </cell>
          <cell r="G172" t="str">
            <v/>
          </cell>
          <cell r="H172">
            <v>0</v>
          </cell>
          <cell r="I172">
            <v>0</v>
          </cell>
          <cell r="J172" t="str">
            <v>ApplicationAlarm</v>
          </cell>
          <cell r="K172" t="str">
            <v>Severidade 12</v>
          </cell>
          <cell r="L172" t="str">
            <v>Severidade 16</v>
          </cell>
          <cell r="M172" t="b">
            <v>0</v>
          </cell>
        </row>
        <row r="173">
          <cell r="A173" t="str">
            <v>EMS SE bad measurement group</v>
          </cell>
          <cell r="B173" t="str">
            <v/>
          </cell>
          <cell r="C173" t="str">
            <v/>
          </cell>
          <cell r="D173" t="str">
            <v>EMS_CFS_BAD_MEASUREMENT_GROUP</v>
          </cell>
          <cell r="E173" t="b">
            <v>0</v>
          </cell>
          <cell r="F173" t="str">
            <v>O número de medições incorretas é maior que o número máximo especificado de alarme</v>
          </cell>
          <cell r="G173" t="str">
            <v/>
          </cell>
          <cell r="H173">
            <v>0</v>
          </cell>
          <cell r="I173">
            <v>0</v>
          </cell>
          <cell r="J173" t="str">
            <v>ApplicationAlarm</v>
          </cell>
          <cell r="K173" t="str">
            <v>Severidade 12</v>
          </cell>
          <cell r="L173" t="str">
            <v>Severidade 16</v>
          </cell>
          <cell r="M173" t="b">
            <v>0</v>
          </cell>
        </row>
        <row r="174">
          <cell r="A174" t="str">
            <v>EMS SE bad measurement group obsolete</v>
          </cell>
          <cell r="B174" t="str">
            <v/>
          </cell>
          <cell r="C174" t="str">
            <v/>
          </cell>
          <cell r="D174" t="str">
            <v>EMS_CFS_BAD_MEASUREMENT_GROUP_OBSOLETE</v>
          </cell>
          <cell r="E174" t="b">
            <v>0</v>
          </cell>
          <cell r="F174" t="str">
            <v>O número de medições incorretas agora é menor que o número máximo especificado de alarme</v>
          </cell>
          <cell r="G174" t="str">
            <v/>
          </cell>
          <cell r="H174">
            <v>0</v>
          </cell>
          <cell r="I174">
            <v>0</v>
          </cell>
          <cell r="J174" t="str">
            <v>ApplicationAlarm</v>
          </cell>
          <cell r="K174" t="str">
            <v>Severidade 12</v>
          </cell>
          <cell r="L174" t="str">
            <v>Severidade 16</v>
          </cell>
          <cell r="M174" t="b">
            <v>0</v>
          </cell>
        </row>
        <row r="175">
          <cell r="A175" t="str">
            <v>EMS SE bad measurement returned to normal according to SE quality</v>
          </cell>
          <cell r="B175" t="str">
            <v/>
          </cell>
          <cell r="C175" t="str">
            <v/>
          </cell>
          <cell r="D175" t="str">
            <v>EMS_CFS_RTN_SE_QUALITY_BAD_MEASUREMENT</v>
          </cell>
          <cell r="E175" t="b">
            <v>0</v>
          </cell>
          <cell r="F175" t="str">
            <v>A medição não tem qualidade BAD SE</v>
          </cell>
          <cell r="G175" t="str">
            <v/>
          </cell>
          <cell r="H175">
            <v>0</v>
          </cell>
          <cell r="I175">
            <v>0</v>
          </cell>
          <cell r="J175" t="str">
            <v>ApplicationAlarm</v>
          </cell>
          <cell r="K175" t="str">
            <v>Severidade 12</v>
          </cell>
          <cell r="L175" t="str">
            <v>Severidade 16</v>
          </cell>
          <cell r="M175" t="b">
            <v>0</v>
          </cell>
        </row>
        <row r="176">
          <cell r="A176" t="str">
            <v>EMS SE bad measurement returned to normal according to trust factor</v>
          </cell>
          <cell r="B176" t="str">
            <v/>
          </cell>
          <cell r="C176" t="str">
            <v/>
          </cell>
          <cell r="D176" t="str">
            <v>EMS_CFS_RTN_TRUST_FACTOR_BAD_MEASUREMENT</v>
          </cell>
          <cell r="E176" t="b">
            <v>0</v>
          </cell>
          <cell r="F176" t="str">
            <v>A medição tem qualidade BAD SE, mas não é usada no cálculo</v>
          </cell>
          <cell r="G176" t="str">
            <v/>
          </cell>
          <cell r="H176">
            <v>0</v>
          </cell>
          <cell r="I176">
            <v>0</v>
          </cell>
          <cell r="J176" t="str">
            <v>ApplicationAlarm</v>
          </cell>
          <cell r="K176" t="str">
            <v>Severidade 12</v>
          </cell>
          <cell r="L176" t="str">
            <v>Severidade 16</v>
          </cell>
          <cell r="M176" t="b">
            <v>0</v>
          </cell>
        </row>
        <row r="177">
          <cell r="A177" t="str">
            <v>EMS SE bus voltage violations group</v>
          </cell>
          <cell r="B177" t="str">
            <v/>
          </cell>
          <cell r="C177" t="str">
            <v/>
          </cell>
          <cell r="D177" t="str">
            <v>EMS_CFS_SE_BUS_VOLTAGE_GROUP</v>
          </cell>
          <cell r="E177" t="b">
            <v>0</v>
          </cell>
          <cell r="F177" t="str">
            <v>O número de violações da tensão do barramento é maior que o número máximo especificado de alarme.</v>
          </cell>
          <cell r="G177" t="str">
            <v/>
          </cell>
          <cell r="H177">
            <v>0</v>
          </cell>
          <cell r="I177">
            <v>0</v>
          </cell>
          <cell r="J177" t="str">
            <v>ApplicationAlarm</v>
          </cell>
          <cell r="K177" t="str">
            <v>Severidade 10</v>
          </cell>
          <cell r="L177" t="str">
            <v>Severidade 16</v>
          </cell>
          <cell r="M177" t="b">
            <v>0</v>
          </cell>
        </row>
        <row r="178">
          <cell r="A178" t="str">
            <v>EMS SE energy storage group</v>
          </cell>
          <cell r="B178" t="str">
            <v/>
          </cell>
          <cell r="C178" t="str">
            <v/>
          </cell>
          <cell r="D178" t="str">
            <v>EMS_CFS_ENERGY_STORAGE_GROUP</v>
          </cell>
          <cell r="E178" t="b">
            <v>0</v>
          </cell>
          <cell r="F178" t="str">
            <v>O número de armazenamentos de energia violados é maior que o número máximo especificado de alarme</v>
          </cell>
          <cell r="G178" t="str">
            <v/>
          </cell>
          <cell r="H178">
            <v>0</v>
          </cell>
          <cell r="I178">
            <v>0</v>
          </cell>
          <cell r="J178" t="str">
            <v>ApplicationAlarm</v>
          </cell>
          <cell r="K178" t="str">
            <v>Severidade 12</v>
          </cell>
          <cell r="L178" t="str">
            <v>Severidade 16</v>
          </cell>
          <cell r="M178" t="b">
            <v>0</v>
          </cell>
        </row>
        <row r="179">
          <cell r="A179" t="str">
            <v>EMS SE generator violations group</v>
          </cell>
          <cell r="B179" t="str">
            <v/>
          </cell>
          <cell r="C179" t="str">
            <v/>
          </cell>
          <cell r="D179" t="str">
            <v>EMS_CFS_SE_GENERATOR_GROUP</v>
          </cell>
          <cell r="E179" t="b">
            <v>0</v>
          </cell>
          <cell r="F179" t="str">
            <v>O número de violações do gerador é maior que o número máximo especificado de alarme.</v>
          </cell>
          <cell r="G179" t="str">
            <v/>
          </cell>
          <cell r="H179">
            <v>0</v>
          </cell>
          <cell r="I179">
            <v>0</v>
          </cell>
          <cell r="J179" t="str">
            <v>ApplicationAlarm</v>
          </cell>
          <cell r="K179" t="str">
            <v>Severidade 10</v>
          </cell>
          <cell r="L179" t="str">
            <v>Severidade 16</v>
          </cell>
          <cell r="M179" t="b">
            <v>0</v>
          </cell>
        </row>
        <row r="180">
          <cell r="A180" t="str">
            <v>EMS SE interchange schedule</v>
          </cell>
          <cell r="B180" t="str">
            <v/>
          </cell>
          <cell r="C180" t="str">
            <v/>
          </cell>
          <cell r="D180" t="str">
            <v>EMS_CFS_INTERCHANGE_SCHEDULE</v>
          </cell>
          <cell r="E180" t="b">
            <v>0</v>
          </cell>
          <cell r="F180" t="str">
            <v>Troque a energia fora do limite {0}.</v>
          </cell>
          <cell r="G180" t="str">
            <v/>
          </cell>
          <cell r="H180">
            <v>0</v>
          </cell>
          <cell r="I180">
            <v>0</v>
          </cell>
          <cell r="J180" t="str">
            <v>ApplicationAlarm</v>
          </cell>
          <cell r="K180" t="str">
            <v>Severidade 12</v>
          </cell>
          <cell r="L180" t="str">
            <v>Severidade 16</v>
          </cell>
          <cell r="M180" t="b">
            <v>0</v>
          </cell>
        </row>
        <row r="181">
          <cell r="A181" t="str">
            <v>EMS SE interchange schedule group</v>
          </cell>
          <cell r="B181" t="str">
            <v/>
          </cell>
          <cell r="C181" t="str">
            <v/>
          </cell>
          <cell r="D181" t="str">
            <v>EMS_CFS_INTERCHANGE_SCHEDULE_GROUP</v>
          </cell>
          <cell r="E181" t="b">
            <v>0</v>
          </cell>
          <cell r="F181" t="str">
            <v>O número de agendas de intercâmbio violadas é maior que o número máximo especificado de alarme</v>
          </cell>
          <cell r="G181" t="str">
            <v/>
          </cell>
          <cell r="H181">
            <v>0</v>
          </cell>
          <cell r="I181">
            <v>0</v>
          </cell>
          <cell r="J181" t="str">
            <v>ApplicationAlarm</v>
          </cell>
          <cell r="K181" t="str">
            <v>Severidade 12</v>
          </cell>
          <cell r="L181" t="str">
            <v>Severidade 16</v>
          </cell>
          <cell r="M181" t="b">
            <v>0</v>
          </cell>
        </row>
        <row r="182">
          <cell r="A182" t="str">
            <v>EMS SE interchange schedule group obsolete</v>
          </cell>
          <cell r="B182" t="str">
            <v/>
          </cell>
          <cell r="C182" t="str">
            <v/>
          </cell>
          <cell r="D182" t="str">
            <v>EMS_CFS_INTERCHANGE_SCHEDULE_GROUP_OBSOLETE</v>
          </cell>
          <cell r="E182" t="b">
            <v>0</v>
          </cell>
          <cell r="F182" t="str">
            <v>O número de agendas de intercâmbio violadas agora é menor que o número máximo especificado de alarme</v>
          </cell>
          <cell r="G182" t="str">
            <v/>
          </cell>
          <cell r="H182">
            <v>0</v>
          </cell>
          <cell r="I182">
            <v>0</v>
          </cell>
          <cell r="J182" t="str">
            <v>ApplicationAlarm</v>
          </cell>
          <cell r="K182" t="str">
            <v>Severidade 12</v>
          </cell>
          <cell r="L182" t="str">
            <v>Severidade 16</v>
          </cell>
          <cell r="M182" t="b">
            <v>0</v>
          </cell>
        </row>
        <row r="183">
          <cell r="A183" t="str">
            <v>EMS SE interchange schedule returned to normal</v>
          </cell>
          <cell r="B183" t="str">
            <v/>
          </cell>
          <cell r="C183" t="str">
            <v/>
          </cell>
          <cell r="D183" t="str">
            <v>EMS_CFS_RTN_INTERCHANGE_CONTRACT</v>
          </cell>
          <cell r="E183" t="b">
            <v>0</v>
          </cell>
          <cell r="F183" t="str">
            <v>O poder do intercâmbio está dentro dos limites</v>
          </cell>
          <cell r="G183" t="str">
            <v/>
          </cell>
          <cell r="H183">
            <v>0</v>
          </cell>
          <cell r="I183">
            <v>0</v>
          </cell>
          <cell r="J183" t="str">
            <v>ApplicationAlarm</v>
          </cell>
          <cell r="K183" t="str">
            <v>Severidade 12</v>
          </cell>
          <cell r="L183" t="str">
            <v>Severidade 16</v>
          </cell>
          <cell r="M183" t="b">
            <v>0</v>
          </cell>
        </row>
        <row r="184">
          <cell r="A184" t="str">
            <v>EMS SE net position</v>
          </cell>
          <cell r="B184" t="str">
            <v/>
          </cell>
          <cell r="C184" t="str">
            <v/>
          </cell>
          <cell r="D184" t="str">
            <v>EMS_CFS_NET_POSITION</v>
          </cell>
          <cell r="E184" t="b">
            <v>0</v>
          </cell>
          <cell r="F184" t="str">
            <v>A posição líquida está fora do limite de {0}</v>
          </cell>
          <cell r="G184" t="str">
            <v/>
          </cell>
          <cell r="H184">
            <v>0</v>
          </cell>
          <cell r="I184">
            <v>0</v>
          </cell>
          <cell r="J184" t="str">
            <v>ApplicationAlarm</v>
          </cell>
          <cell r="K184" t="str">
            <v>Severidade 12</v>
          </cell>
          <cell r="L184" t="str">
            <v>Severidade 16</v>
          </cell>
          <cell r="M184" t="b">
            <v>0</v>
          </cell>
        </row>
        <row r="185">
          <cell r="A185" t="str">
            <v>EMS SE net position returned to normal</v>
          </cell>
          <cell r="B185" t="str">
            <v/>
          </cell>
          <cell r="C185" t="str">
            <v/>
          </cell>
          <cell r="D185" t="str">
            <v>EMS_CFS_RTN_NET_POSITION</v>
          </cell>
          <cell r="E185" t="b">
            <v>0</v>
          </cell>
          <cell r="F185" t="str">
            <v>A posição líquida está dentro dos limites</v>
          </cell>
          <cell r="G185" t="str">
            <v/>
          </cell>
          <cell r="H185">
            <v>0</v>
          </cell>
          <cell r="I185">
            <v>0</v>
          </cell>
          <cell r="J185" t="str">
            <v>ApplicationAlarm</v>
          </cell>
          <cell r="K185" t="str">
            <v>Severidade 12</v>
          </cell>
          <cell r="L185" t="str">
            <v>Severidade 16</v>
          </cell>
          <cell r="M185" t="b">
            <v>0</v>
          </cell>
        </row>
        <row r="186">
          <cell r="A186" t="str">
            <v>EMS SE power factor of energy storage</v>
          </cell>
          <cell r="B186" t="str">
            <v/>
          </cell>
          <cell r="C186" t="str">
            <v/>
          </cell>
          <cell r="D186" t="str">
            <v>EMS_CFS_ENERGY_STORAGE_PF</v>
          </cell>
          <cell r="E186" t="b">
            <v>0</v>
          </cell>
          <cell r="F186" t="str">
            <v>O fator de potência do armazenamento de energia está fora do limite de {0}</v>
          </cell>
          <cell r="G186" t="str">
            <v/>
          </cell>
          <cell r="H186">
            <v>0</v>
          </cell>
          <cell r="I186">
            <v>0</v>
          </cell>
          <cell r="J186" t="str">
            <v>ApplicationAlarm</v>
          </cell>
          <cell r="K186" t="str">
            <v>Severidade 12</v>
          </cell>
          <cell r="L186" t="str">
            <v>Severidade 16</v>
          </cell>
          <cell r="M186" t="b">
            <v>0</v>
          </cell>
        </row>
        <row r="187">
          <cell r="A187" t="str">
            <v>EMS SE power factor of energy storage returned to normal</v>
          </cell>
          <cell r="B187" t="str">
            <v/>
          </cell>
          <cell r="C187" t="str">
            <v/>
          </cell>
          <cell r="D187" t="str">
            <v>EMS_CFS_RTN_ENERGY_STORAGE_PF</v>
          </cell>
          <cell r="E187" t="b">
            <v>0</v>
          </cell>
          <cell r="F187" t="str">
            <v>O fator de potência do armazenamento de energia está dentro dos limites</v>
          </cell>
          <cell r="G187" t="str">
            <v/>
          </cell>
          <cell r="H187">
            <v>0</v>
          </cell>
          <cell r="I187">
            <v>0</v>
          </cell>
          <cell r="J187" t="str">
            <v>ApplicationAlarm</v>
          </cell>
          <cell r="K187" t="str">
            <v>Severidade 12</v>
          </cell>
          <cell r="L187" t="str">
            <v>Severidade 16</v>
          </cell>
          <cell r="M187" t="b">
            <v>0</v>
          </cell>
        </row>
        <row r="188">
          <cell r="A188" t="str">
            <v>EMS SE reactive power of energy storage</v>
          </cell>
          <cell r="B188" t="str">
            <v/>
          </cell>
          <cell r="C188" t="str">
            <v/>
          </cell>
          <cell r="D188" t="str">
            <v>EMS_CFS_ENERGY_STORAGE_Q</v>
          </cell>
          <cell r="E188" t="b">
            <v>0</v>
          </cell>
          <cell r="F188" t="str">
            <v>O poder reativo do armazenamento de energia está fora do limite de {0}</v>
          </cell>
          <cell r="G188" t="str">
            <v/>
          </cell>
          <cell r="H188">
            <v>0</v>
          </cell>
          <cell r="I188">
            <v>0</v>
          </cell>
          <cell r="J188" t="str">
            <v>ApplicationAlarm</v>
          </cell>
          <cell r="K188" t="str">
            <v>Severidade 12</v>
          </cell>
          <cell r="L188" t="str">
            <v>Severidade 16</v>
          </cell>
          <cell r="M188" t="b">
            <v>0</v>
          </cell>
        </row>
        <row r="189">
          <cell r="A189" t="str">
            <v>EMS SE reactive power of energy storage returned to normal</v>
          </cell>
          <cell r="B189" t="str">
            <v/>
          </cell>
          <cell r="C189" t="str">
            <v/>
          </cell>
          <cell r="D189" t="str">
            <v>EMS_CFS_RTN_ENERGY_STORAGE_Q</v>
          </cell>
          <cell r="E189" t="b">
            <v>0</v>
          </cell>
          <cell r="F189" t="str">
            <v>O poder reativo do armazenamento de energia está dentro dos limites</v>
          </cell>
          <cell r="G189" t="str">
            <v/>
          </cell>
          <cell r="H189">
            <v>0</v>
          </cell>
          <cell r="I189">
            <v>0</v>
          </cell>
          <cell r="J189" t="str">
            <v>ApplicationAlarm</v>
          </cell>
          <cell r="K189" t="str">
            <v>Severidade 12</v>
          </cell>
          <cell r="L189" t="str">
            <v>Severidade 16</v>
          </cell>
          <cell r="M189" t="b">
            <v>0</v>
          </cell>
        </row>
        <row r="190">
          <cell r="A190" t="str">
            <v>EMS SE section violations group</v>
          </cell>
          <cell r="B190" t="str">
            <v/>
          </cell>
          <cell r="C190" t="str">
            <v/>
          </cell>
          <cell r="D190" t="str">
            <v>EMS_CFS_SE_SECTION_GROUP</v>
          </cell>
          <cell r="E190" t="b">
            <v>0</v>
          </cell>
          <cell r="F190" t="str">
            <v>O número de violações da seção é maior que o número máximo especificado de alarme.</v>
          </cell>
          <cell r="G190" t="str">
            <v/>
          </cell>
          <cell r="H190">
            <v>0</v>
          </cell>
          <cell r="I190">
            <v>0</v>
          </cell>
          <cell r="J190" t="str">
            <v>ApplicationAlarm</v>
          </cell>
          <cell r="K190" t="str">
            <v>Severidade 12</v>
          </cell>
          <cell r="L190" t="str">
            <v>Severidade 16</v>
          </cell>
          <cell r="M190" t="b">
            <v>0</v>
          </cell>
        </row>
        <row r="191">
          <cell r="A191" t="str">
            <v>EMS SE state of charge of energy storage</v>
          </cell>
          <cell r="B191" t="str">
            <v/>
          </cell>
          <cell r="C191" t="str">
            <v/>
          </cell>
          <cell r="D191" t="str">
            <v>EMS_CFS_ENERGY_STORAGE_SOC</v>
          </cell>
          <cell r="E191" t="b">
            <v>0</v>
          </cell>
          <cell r="F191" t="str">
            <v>O estado da carga do armazenamento de energia está fora do limite de {0}</v>
          </cell>
          <cell r="G191" t="str">
            <v/>
          </cell>
          <cell r="H191">
            <v>0</v>
          </cell>
          <cell r="I191">
            <v>0</v>
          </cell>
          <cell r="J191" t="str">
            <v>ApplicationAlarm</v>
          </cell>
          <cell r="K191" t="str">
            <v>Severidade 12</v>
          </cell>
          <cell r="L191" t="str">
            <v>Severidade 16</v>
          </cell>
          <cell r="M191" t="b">
            <v>0</v>
          </cell>
        </row>
        <row r="192">
          <cell r="A192" t="str">
            <v>EMS SE state of charge of energy storage returned to normal</v>
          </cell>
          <cell r="B192" t="str">
            <v/>
          </cell>
          <cell r="C192" t="str">
            <v/>
          </cell>
          <cell r="D192" t="str">
            <v>EMS_CFS_RTN_ENERGY_STORAGE_SOC</v>
          </cell>
          <cell r="E192" t="b">
            <v>0</v>
          </cell>
          <cell r="F192" t="str">
            <v>O estado da carga do armazenamento de energia está dentro dos limites</v>
          </cell>
          <cell r="G192" t="str">
            <v/>
          </cell>
          <cell r="H192">
            <v>0</v>
          </cell>
          <cell r="I192">
            <v>0</v>
          </cell>
          <cell r="J192" t="str">
            <v>ApplicationAlarm</v>
          </cell>
          <cell r="K192" t="str">
            <v>Severidade 12</v>
          </cell>
          <cell r="L192" t="str">
            <v>Severidade 16</v>
          </cell>
          <cell r="M192" t="b">
            <v>0</v>
          </cell>
        </row>
        <row r="193">
          <cell r="A193" t="str">
            <v>EMS SE suspicious switch device status</v>
          </cell>
          <cell r="B193" t="str">
            <v/>
          </cell>
          <cell r="C193" t="str">
            <v/>
          </cell>
          <cell r="D193" t="str">
            <v>EMS_CFS_SWITCH_DEVICE_STATUS</v>
          </cell>
          <cell r="E193" t="b">
            <v>0</v>
          </cell>
          <cell r="F193" t="str">
            <v>Trocar dispositivo com status real suspeito</v>
          </cell>
          <cell r="G193" t="str">
            <v/>
          </cell>
          <cell r="H193">
            <v>0</v>
          </cell>
          <cell r="I193">
            <v>0</v>
          </cell>
          <cell r="J193" t="str">
            <v>ApplicationAlarm</v>
          </cell>
          <cell r="K193" t="str">
            <v>Severidade 12</v>
          </cell>
          <cell r="L193" t="str">
            <v>Severidade 16</v>
          </cell>
          <cell r="M193" t="b">
            <v>0</v>
          </cell>
        </row>
        <row r="194">
          <cell r="A194" t="str">
            <v>EMS SE suspicious switch device status group</v>
          </cell>
          <cell r="B194" t="str">
            <v/>
          </cell>
          <cell r="C194" t="str">
            <v/>
          </cell>
          <cell r="D194" t="str">
            <v>EMS_CFS_SWITCH_DEVICE_STATUS_GROUP</v>
          </cell>
          <cell r="E194" t="b">
            <v>0</v>
          </cell>
          <cell r="F194" t="str">
            <v>O número de status de dispositivo de comutação suspeito é maior que o número máximo especificado de alarme</v>
          </cell>
          <cell r="G194" t="str">
            <v/>
          </cell>
          <cell r="H194">
            <v>0</v>
          </cell>
          <cell r="I194">
            <v>0</v>
          </cell>
          <cell r="J194" t="str">
            <v>ApplicationAlarm</v>
          </cell>
          <cell r="K194" t="str">
            <v>Severidade 12</v>
          </cell>
          <cell r="L194" t="str">
            <v>Severidade 16</v>
          </cell>
          <cell r="M194" t="b">
            <v>0</v>
          </cell>
        </row>
        <row r="195">
          <cell r="A195" t="str">
            <v>EMS SE suspicious switch device status group obsolete</v>
          </cell>
          <cell r="B195" t="str">
            <v/>
          </cell>
          <cell r="C195" t="str">
            <v/>
          </cell>
          <cell r="D195" t="str">
            <v>EMS_CFS_SWITCH_DEVICE_STATUS_GROUP_OBSOLETE</v>
          </cell>
          <cell r="E195" t="b">
            <v>0</v>
          </cell>
          <cell r="F195" t="str">
            <v>O número de status de dispositivo de comutação suspeito agora é menor que o número máximo especificado de alarme</v>
          </cell>
          <cell r="G195" t="str">
            <v/>
          </cell>
          <cell r="H195">
            <v>0</v>
          </cell>
          <cell r="I195">
            <v>0</v>
          </cell>
          <cell r="J195" t="str">
            <v>ApplicationAlarm</v>
          </cell>
          <cell r="K195" t="str">
            <v>Severidade 12</v>
          </cell>
          <cell r="L195" t="str">
            <v>Severidade 16</v>
          </cell>
          <cell r="M195" t="b">
            <v>0</v>
          </cell>
        </row>
        <row r="196">
          <cell r="A196" t="str">
            <v>EMS SE suspicious switch device status returned to normal</v>
          </cell>
          <cell r="B196" t="str">
            <v/>
          </cell>
          <cell r="C196" t="str">
            <v/>
          </cell>
          <cell r="D196" t="str">
            <v>EMS_CFS_RTN_SWITCH_DEVICE_STATUS</v>
          </cell>
          <cell r="E196" t="b">
            <v>0</v>
          </cell>
          <cell r="F196" t="str">
            <v>Trocar de dispositivo não possui status real suspeito</v>
          </cell>
          <cell r="G196" t="str">
            <v/>
          </cell>
          <cell r="H196">
            <v>0</v>
          </cell>
          <cell r="I196">
            <v>0</v>
          </cell>
          <cell r="J196" t="str">
            <v>ApplicationAlarm</v>
          </cell>
          <cell r="K196" t="str">
            <v>Severidade 12</v>
          </cell>
          <cell r="L196" t="str">
            <v>Severidade 16</v>
          </cell>
          <cell r="M196" t="b">
            <v>0</v>
          </cell>
        </row>
        <row r="197">
          <cell r="A197" t="str">
            <v>EMS SE transformer violations group</v>
          </cell>
          <cell r="B197" t="str">
            <v/>
          </cell>
          <cell r="C197" t="str">
            <v/>
          </cell>
          <cell r="D197" t="str">
            <v>EMS_CFS_SE_TRANSFORMER_GROUP</v>
          </cell>
          <cell r="E197" t="b">
            <v>0</v>
          </cell>
          <cell r="F197" t="str">
            <v>O número de violações do transformador é maior que o número máximo de alarme especificado.</v>
          </cell>
          <cell r="G197" t="str">
            <v/>
          </cell>
          <cell r="H197">
            <v>0</v>
          </cell>
          <cell r="I197">
            <v>0</v>
          </cell>
          <cell r="J197" t="str">
            <v>ApplicationAlarm</v>
          </cell>
          <cell r="K197" t="str">
            <v>Severidade 10</v>
          </cell>
          <cell r="L197" t="str">
            <v>Severidade 16</v>
          </cell>
          <cell r="M197" t="b">
            <v>0</v>
          </cell>
        </row>
        <row r="198">
          <cell r="A198" t="str">
            <v>EMS SE voltage of energy storage</v>
          </cell>
          <cell r="B198" t="str">
            <v/>
          </cell>
          <cell r="C198" t="str">
            <v/>
          </cell>
          <cell r="D198" t="str">
            <v>EMS_CFS_ENERGY_STORAGE_V</v>
          </cell>
          <cell r="E198" t="b">
            <v>0</v>
          </cell>
          <cell r="F198" t="str">
            <v>A tensão do armazenamento de energia está fora do limite de {0}</v>
          </cell>
          <cell r="G198" t="str">
            <v/>
          </cell>
          <cell r="H198">
            <v>0</v>
          </cell>
          <cell r="I198">
            <v>0</v>
          </cell>
          <cell r="J198" t="str">
            <v>ApplicationAlarm</v>
          </cell>
          <cell r="K198" t="str">
            <v>Severidade 12</v>
          </cell>
          <cell r="L198" t="str">
            <v>Severidade 16</v>
          </cell>
          <cell r="M198" t="b">
            <v>0</v>
          </cell>
        </row>
        <row r="199">
          <cell r="A199" t="str">
            <v>EMS SE voltage of energy storage returned to normal</v>
          </cell>
          <cell r="B199" t="str">
            <v/>
          </cell>
          <cell r="C199" t="str">
            <v/>
          </cell>
          <cell r="D199" t="str">
            <v>EMS_CFS_RTN_ENERGY_STORAGE_V</v>
          </cell>
          <cell r="E199" t="b">
            <v>0</v>
          </cell>
          <cell r="F199" t="str">
            <v>A tensão do armazenamento de energia está dentro dos limites</v>
          </cell>
          <cell r="G199" t="str">
            <v/>
          </cell>
          <cell r="H199">
            <v>0</v>
          </cell>
          <cell r="I199">
            <v>0</v>
          </cell>
          <cell r="J199" t="str">
            <v>ApplicationAlarm</v>
          </cell>
          <cell r="K199" t="str">
            <v>Severidade 12</v>
          </cell>
          <cell r="L199" t="str">
            <v>Severidade 16</v>
          </cell>
          <cell r="M199" t="b">
            <v>0</v>
          </cell>
        </row>
        <row r="200">
          <cell r="A200" t="str">
            <v>EMS Substation overvoltage aggregated</v>
          </cell>
          <cell r="B200" t="str">
            <v/>
          </cell>
          <cell r="C200" t="str">
            <v/>
          </cell>
          <cell r="D200" t="str">
            <v>EMS_CFS_OVERVOLTAGE</v>
          </cell>
          <cell r="E200" t="b">
            <v>0</v>
          </cell>
          <cell r="F200" t="str">
            <v>Tensão do nó do barramento acima do limite {0} {1}.</v>
          </cell>
          <cell r="G200" t="str">
            <v/>
          </cell>
          <cell r="H200">
            <v>0</v>
          </cell>
          <cell r="I200">
            <v>0</v>
          </cell>
          <cell r="J200" t="str">
            <v>ApplicationAlarm</v>
          </cell>
          <cell r="K200" t="str">
            <v>Severidade 10</v>
          </cell>
          <cell r="L200" t="str">
            <v>Severidade 16</v>
          </cell>
          <cell r="M200" t="b">
            <v>0</v>
          </cell>
        </row>
        <row r="201">
          <cell r="A201" t="str">
            <v>EMS Substation undervoltage aggregated</v>
          </cell>
          <cell r="B201" t="str">
            <v/>
          </cell>
          <cell r="C201" t="str">
            <v/>
          </cell>
          <cell r="D201" t="str">
            <v>EMS_CFS_UNDERVOLTAGE</v>
          </cell>
          <cell r="E201" t="b">
            <v>0</v>
          </cell>
          <cell r="F201" t="str">
            <v>Tensão do nó do barramento abaixo do limite {0} {1}.</v>
          </cell>
          <cell r="G201" t="str">
            <v/>
          </cell>
          <cell r="H201">
            <v>0</v>
          </cell>
          <cell r="I201">
            <v>0</v>
          </cell>
          <cell r="J201" t="str">
            <v>ApplicationAlarm</v>
          </cell>
          <cell r="K201" t="str">
            <v>Severidade 10</v>
          </cell>
          <cell r="L201" t="str">
            <v>Severidade 16</v>
          </cell>
          <cell r="M201" t="b">
            <v>0</v>
          </cell>
        </row>
        <row r="202">
          <cell r="A202" t="str">
            <v>EMS undervoltage aggregated returned to normal</v>
          </cell>
          <cell r="B202" t="str">
            <v/>
          </cell>
          <cell r="C202" t="str">
            <v/>
          </cell>
          <cell r="D202" t="str">
            <v>EMS_CFS_RTN_UNDERVOLTAGE</v>
          </cell>
          <cell r="E202" t="b">
            <v>0</v>
          </cell>
          <cell r="F202" t="str">
            <v>Tensão do nó do barramento dentro dos limites.</v>
          </cell>
          <cell r="G202" t="str">
            <v/>
          </cell>
          <cell r="H202">
            <v>0</v>
          </cell>
          <cell r="I202">
            <v>0</v>
          </cell>
          <cell r="J202" t="str">
            <v>ApplicationAlarm</v>
          </cell>
          <cell r="K202" t="str">
            <v>Severidade 10</v>
          </cell>
          <cell r="L202" t="str">
            <v>Severidade 16</v>
          </cell>
          <cell r="M202" t="b">
            <v>0</v>
          </cell>
        </row>
        <row r="203">
          <cell r="A203" t="str">
            <v>Energized island exists</v>
          </cell>
          <cell r="B203" t="str">
            <v/>
          </cell>
          <cell r="C203" t="str">
            <v/>
          </cell>
          <cell r="D203" t="str">
            <v>DMS_CFS_ISLAND_ENERGIZED</v>
          </cell>
          <cell r="E203" t="b">
            <v>0</v>
          </cell>
          <cell r="F203" t="str">
            <v>Ilha energizada existe.</v>
          </cell>
          <cell r="G203" t="str">
            <v/>
          </cell>
          <cell r="H203">
            <v>0</v>
          </cell>
          <cell r="I203">
            <v>0</v>
          </cell>
          <cell r="J203" t="str">
            <v>ApplicationAlarm</v>
          </cell>
          <cell r="K203" t="str">
            <v>Severidade 10</v>
          </cell>
          <cell r="L203" t="str">
            <v>Severidade 16</v>
          </cell>
          <cell r="M203" t="b">
            <v>0</v>
          </cell>
        </row>
        <row r="204">
          <cell r="A204" t="str">
            <v>Energized island exists returned to normal</v>
          </cell>
          <cell r="B204" t="str">
            <v/>
          </cell>
          <cell r="C204" t="str">
            <v/>
          </cell>
          <cell r="D204" t="str">
            <v>DMS_CFS_RTN_ISLAND_ENERGIZED</v>
          </cell>
          <cell r="E204" t="b">
            <v>0</v>
          </cell>
          <cell r="F204" t="str">
            <v>Ilha energizada não existe mais.</v>
          </cell>
          <cell r="G204" t="str">
            <v/>
          </cell>
          <cell r="H204">
            <v>0</v>
          </cell>
          <cell r="I204">
            <v>0</v>
          </cell>
          <cell r="J204" t="str">
            <v>ApplicationAlarm</v>
          </cell>
          <cell r="K204" t="str">
            <v>Severidade 10</v>
          </cell>
          <cell r="L204" t="str">
            <v>Severidade 16</v>
          </cell>
          <cell r="M204" t="b">
            <v>0</v>
          </cell>
        </row>
        <row r="205">
          <cell r="A205" t="str">
            <v>Energy storage active charging overload</v>
          </cell>
          <cell r="B205" t="str">
            <v/>
          </cell>
          <cell r="C205" t="str">
            <v/>
          </cell>
          <cell r="D205" t="str">
            <v>DMS_CFS_STORAGE_P_CH_VIOLATION</v>
          </cell>
          <cell r="E205" t="b">
            <v>0</v>
          </cell>
          <cell r="F205" t="str">
            <v>Armazenamento de energia carregando energia ativa acima de {0}.</v>
          </cell>
          <cell r="G205" t="str">
            <v/>
          </cell>
          <cell r="H205">
            <v>0</v>
          </cell>
          <cell r="I205">
            <v>0</v>
          </cell>
          <cell r="J205" t="str">
            <v>ApplicationAlarm</v>
          </cell>
          <cell r="K205" t="str">
            <v>Severidade 10</v>
          </cell>
          <cell r="L205" t="str">
            <v>Severidade 16</v>
          </cell>
          <cell r="M205" t="b">
            <v>0</v>
          </cell>
        </row>
        <row r="206">
          <cell r="A206" t="str">
            <v>Energy storage active discharging overload</v>
          </cell>
          <cell r="B206" t="str">
            <v/>
          </cell>
          <cell r="C206" t="str">
            <v/>
          </cell>
          <cell r="D206" t="str">
            <v>DMS_CFS_STORAGE_P_DISCH_VIOLATION</v>
          </cell>
          <cell r="E206" t="b">
            <v>0</v>
          </cell>
          <cell r="F206" t="str">
            <v>Armazenamento de energia descarregando energia ativa acima de {0}.</v>
          </cell>
          <cell r="G206" t="str">
            <v/>
          </cell>
          <cell r="H206">
            <v>0</v>
          </cell>
          <cell r="I206">
            <v>0</v>
          </cell>
          <cell r="J206" t="str">
            <v>ApplicationAlarm</v>
          </cell>
          <cell r="K206" t="str">
            <v>Severidade 10</v>
          </cell>
          <cell r="L206" t="str">
            <v>Severidade 16</v>
          </cell>
          <cell r="M206" t="b">
            <v>0</v>
          </cell>
        </row>
        <row r="207">
          <cell r="A207" t="str">
            <v>Energy storage active overload returned to normal</v>
          </cell>
          <cell r="B207" t="str">
            <v/>
          </cell>
          <cell r="C207" t="str">
            <v/>
          </cell>
          <cell r="D207" t="str">
            <v>DMS_CFS_RTN_STORAGE_P_VIOLATION</v>
          </cell>
          <cell r="E207" t="b">
            <v>0</v>
          </cell>
          <cell r="F207" t="str">
            <v>Energia ativa de armazenamento de energia dentro dos limites.</v>
          </cell>
          <cell r="G207" t="str">
            <v/>
          </cell>
          <cell r="H207">
            <v>0</v>
          </cell>
          <cell r="I207">
            <v>0</v>
          </cell>
          <cell r="J207" t="str">
            <v>ApplicationAlarm</v>
          </cell>
          <cell r="K207" t="str">
            <v>Severidade 10</v>
          </cell>
          <cell r="L207" t="str">
            <v>Severidade 16</v>
          </cell>
          <cell r="M207" t="b">
            <v>0</v>
          </cell>
        </row>
        <row r="208">
          <cell r="A208" t="str">
            <v>Energy storage connected to a feeder in outage</v>
          </cell>
          <cell r="B208" t="str">
            <v/>
          </cell>
          <cell r="C208" t="str">
            <v/>
          </cell>
          <cell r="D208" t="str">
            <v>DMS_CFS_STORAGE_CONNECTED</v>
          </cell>
          <cell r="E208" t="b">
            <v>0</v>
          </cell>
          <cell r="F208" t="str">
            <v>Armazenamento de energia conectado a um alimentador em queda de energia.</v>
          </cell>
          <cell r="G208" t="str">
            <v/>
          </cell>
          <cell r="H208">
            <v>0</v>
          </cell>
          <cell r="I208">
            <v>0</v>
          </cell>
          <cell r="J208" t="str">
            <v>ApplicationAlarm</v>
          </cell>
          <cell r="K208" t="str">
            <v>Severidade 10</v>
          </cell>
          <cell r="L208" t="str">
            <v>Severidade 16</v>
          </cell>
          <cell r="M208" t="b">
            <v>0</v>
          </cell>
        </row>
        <row r="209">
          <cell r="A209" t="str">
            <v>Energy storage connected to a feeder in outage returned to normal</v>
          </cell>
          <cell r="B209" t="str">
            <v/>
          </cell>
          <cell r="C209" t="str">
            <v/>
          </cell>
          <cell r="D209" t="str">
            <v>DMS_CFS_STORAGE_NOT_CONNECTED</v>
          </cell>
          <cell r="E209" t="b">
            <v>0</v>
          </cell>
          <cell r="F209" t="str">
            <v>O armazenamento de energia não está mais conectado a um alimentador em queda de energia.</v>
          </cell>
          <cell r="G209" t="str">
            <v/>
          </cell>
          <cell r="H209">
            <v>0</v>
          </cell>
          <cell r="I209">
            <v>0</v>
          </cell>
          <cell r="J209" t="str">
            <v>ApplicationAlarm</v>
          </cell>
          <cell r="K209" t="str">
            <v>Severidade 10</v>
          </cell>
          <cell r="L209" t="str">
            <v>Severidade 16</v>
          </cell>
          <cell r="M209" t="b">
            <v>0</v>
          </cell>
        </row>
        <row r="210">
          <cell r="A210" t="str">
            <v>Energy storage has a high power factor</v>
          </cell>
          <cell r="B210" t="str">
            <v/>
          </cell>
          <cell r="C210" t="str">
            <v/>
          </cell>
          <cell r="D210" t="str">
            <v>DMS_CFS_STORAGE_PF_HIGH_VIOLATION</v>
          </cell>
          <cell r="E210" t="b">
            <v>0</v>
          </cell>
          <cell r="F210" t="str">
            <v>Fator de potência de armazenamento de energia acima de {0}.</v>
          </cell>
          <cell r="G210" t="str">
            <v/>
          </cell>
          <cell r="H210">
            <v>0</v>
          </cell>
          <cell r="I210">
            <v>0</v>
          </cell>
          <cell r="J210" t="str">
            <v>ApplicationAlarm</v>
          </cell>
          <cell r="K210" t="str">
            <v>Severidade 12</v>
          </cell>
          <cell r="L210" t="str">
            <v>Severidade 16</v>
          </cell>
          <cell r="M210" t="b">
            <v>0</v>
          </cell>
        </row>
        <row r="211">
          <cell r="A211" t="str">
            <v>Energy storage has a low power factor</v>
          </cell>
          <cell r="B211" t="str">
            <v/>
          </cell>
          <cell r="C211" t="str">
            <v/>
          </cell>
          <cell r="D211" t="str">
            <v>DMS_CFS_STORAGE_PF_LOW_VIOLATION</v>
          </cell>
          <cell r="E211" t="b">
            <v>0</v>
          </cell>
          <cell r="F211" t="str">
            <v>Fator de potência de armazenamento de energia abaixo de {0}.</v>
          </cell>
          <cell r="G211" t="str">
            <v/>
          </cell>
          <cell r="H211">
            <v>0</v>
          </cell>
          <cell r="I211">
            <v>0</v>
          </cell>
          <cell r="J211" t="str">
            <v>ApplicationAlarm</v>
          </cell>
          <cell r="K211" t="str">
            <v>Severidade 12</v>
          </cell>
          <cell r="L211" t="str">
            <v>Severidade 16</v>
          </cell>
          <cell r="M211" t="b">
            <v>0</v>
          </cell>
        </row>
        <row r="212">
          <cell r="A212" t="str">
            <v>Energy storage overvoltage</v>
          </cell>
          <cell r="B212" t="str">
            <v/>
          </cell>
          <cell r="C212" t="str">
            <v/>
          </cell>
          <cell r="D212" t="str">
            <v>DMS_CFS_STORAGE_OVERVOLTAGE_VIOLATION</v>
          </cell>
          <cell r="E212" t="b">
            <v>0</v>
          </cell>
          <cell r="F212" t="str">
            <v>Tensão de armazenamento de energia acima de {0}.</v>
          </cell>
          <cell r="G212" t="str">
            <v/>
          </cell>
          <cell r="H212">
            <v>0</v>
          </cell>
          <cell r="I212">
            <v>0</v>
          </cell>
          <cell r="J212" t="str">
            <v>ApplicationAlarm</v>
          </cell>
          <cell r="K212" t="str">
            <v>Severidade 10</v>
          </cell>
          <cell r="L212" t="str">
            <v>Severidade 16</v>
          </cell>
          <cell r="M212" t="b">
            <v>0</v>
          </cell>
        </row>
        <row r="213">
          <cell r="A213" t="str">
            <v>Energy storage power factor returned to normal</v>
          </cell>
          <cell r="B213" t="str">
            <v/>
          </cell>
          <cell r="C213" t="str">
            <v/>
          </cell>
          <cell r="D213" t="str">
            <v>DMS_CFS_RTN_STORAGE_PF_VIOLATION</v>
          </cell>
          <cell r="E213" t="b">
            <v>0</v>
          </cell>
          <cell r="F213" t="str">
            <v>Fator de potência para armazenamento de energia dentro dos limites.</v>
          </cell>
          <cell r="G213" t="str">
            <v/>
          </cell>
          <cell r="H213">
            <v>0</v>
          </cell>
          <cell r="I213">
            <v>0</v>
          </cell>
          <cell r="J213" t="str">
            <v>ApplicationAlarm</v>
          </cell>
          <cell r="K213" t="str">
            <v>Severidade 12</v>
          </cell>
          <cell r="L213" t="str">
            <v>Severidade 16</v>
          </cell>
          <cell r="M213" t="b">
            <v>0</v>
          </cell>
        </row>
        <row r="214">
          <cell r="A214" t="str">
            <v>Energy storage reactive charging overload</v>
          </cell>
          <cell r="B214" t="str">
            <v/>
          </cell>
          <cell r="C214" t="str">
            <v/>
          </cell>
          <cell r="D214" t="str">
            <v>DMS_CFS_STORAGE_Q_CH_VIOLATION</v>
          </cell>
          <cell r="E214" t="b">
            <v>0</v>
          </cell>
          <cell r="F214" t="str">
            <v>Potência reativa de armazenamento de energia abaixo de {0}.</v>
          </cell>
          <cell r="G214" t="str">
            <v/>
          </cell>
          <cell r="H214">
            <v>0</v>
          </cell>
          <cell r="I214">
            <v>0</v>
          </cell>
          <cell r="J214" t="str">
            <v>ApplicationAlarm</v>
          </cell>
          <cell r="K214" t="str">
            <v>Severidade 10</v>
          </cell>
          <cell r="L214" t="str">
            <v>Severidade 16</v>
          </cell>
          <cell r="M214" t="b">
            <v>0</v>
          </cell>
        </row>
        <row r="215">
          <cell r="A215" t="str">
            <v>Energy storage reactive discharging overload</v>
          </cell>
          <cell r="B215" t="str">
            <v/>
          </cell>
          <cell r="C215" t="str">
            <v/>
          </cell>
          <cell r="D215" t="str">
            <v>DMS_CFS_STORAGE_Q_DISCH_VIOLATION</v>
          </cell>
          <cell r="E215" t="b">
            <v>0</v>
          </cell>
          <cell r="F215" t="str">
            <v>Potência reativa de armazenamento de energia acima de {0}.</v>
          </cell>
          <cell r="G215" t="str">
            <v/>
          </cell>
          <cell r="H215">
            <v>0</v>
          </cell>
          <cell r="I215">
            <v>0</v>
          </cell>
          <cell r="J215" t="str">
            <v>ApplicationAlarm</v>
          </cell>
          <cell r="K215" t="str">
            <v>Severidade 10</v>
          </cell>
          <cell r="L215" t="str">
            <v>Severidade 16</v>
          </cell>
          <cell r="M215" t="b">
            <v>0</v>
          </cell>
        </row>
        <row r="216">
          <cell r="A216" t="str">
            <v>Energy storage reactive overload returned to normal</v>
          </cell>
          <cell r="B216" t="str">
            <v/>
          </cell>
          <cell r="C216" t="str">
            <v/>
          </cell>
          <cell r="D216" t="str">
            <v>DMS_CFS_RTN_STORAGE_Q_VIOLATION</v>
          </cell>
          <cell r="E216" t="b">
            <v>0</v>
          </cell>
          <cell r="F216" t="str">
            <v>Energia reativa de armazenamento de energia dentro dos limites.</v>
          </cell>
          <cell r="G216" t="str">
            <v/>
          </cell>
          <cell r="H216">
            <v>0</v>
          </cell>
          <cell r="I216">
            <v>0</v>
          </cell>
          <cell r="J216" t="str">
            <v>ApplicationAlarm</v>
          </cell>
          <cell r="K216" t="str">
            <v>Severidade 10</v>
          </cell>
          <cell r="L216" t="str">
            <v>Severidade 16</v>
          </cell>
          <cell r="M216" t="b">
            <v>0</v>
          </cell>
        </row>
        <row r="217">
          <cell r="A217" t="str">
            <v>Energy Storage SoC below limit</v>
          </cell>
          <cell r="B217" t="str">
            <v/>
          </cell>
          <cell r="C217" t="str">
            <v/>
          </cell>
          <cell r="D217" t="str">
            <v>DMS_CFS_STORAGE_UNDERCAPACITY_VIOLATION</v>
          </cell>
          <cell r="E217" t="b">
            <v>0</v>
          </cell>
          <cell r="F217" t="str">
            <v>Estado de carga de armazenamento de energia abaixo do limite de {0} {1}.</v>
          </cell>
          <cell r="G217" t="str">
            <v/>
          </cell>
          <cell r="H217">
            <v>0</v>
          </cell>
          <cell r="I217">
            <v>0</v>
          </cell>
          <cell r="J217" t="str">
            <v>ApplicationAlarm</v>
          </cell>
          <cell r="K217" t="str">
            <v>Severidade 10</v>
          </cell>
          <cell r="L217" t="str">
            <v>Severidade 16</v>
          </cell>
          <cell r="M217" t="b">
            <v>0</v>
          </cell>
        </row>
        <row r="218">
          <cell r="A218" t="str">
            <v>Energy Storage SoC returned to normal</v>
          </cell>
          <cell r="B218" t="str">
            <v/>
          </cell>
          <cell r="C218" t="str">
            <v/>
          </cell>
          <cell r="D218" t="str">
            <v>DMS_CFS_RTN_STORAGE_WP_VIOLATION</v>
          </cell>
          <cell r="E218" t="b">
            <v>0</v>
          </cell>
          <cell r="F218" t="str">
            <v>Estado de carga de armazenamento de energia dentro dos limites.</v>
          </cell>
          <cell r="G218" t="str">
            <v/>
          </cell>
          <cell r="H218">
            <v>0</v>
          </cell>
          <cell r="I218">
            <v>0</v>
          </cell>
          <cell r="J218" t="str">
            <v>ApplicationAlarm</v>
          </cell>
          <cell r="K218" t="str">
            <v>Severidade 10</v>
          </cell>
          <cell r="L218" t="str">
            <v>Severidade 16</v>
          </cell>
          <cell r="M218" t="b">
            <v>0</v>
          </cell>
        </row>
        <row r="219">
          <cell r="A219" t="str">
            <v>Energy storage undervoltage</v>
          </cell>
          <cell r="B219" t="str">
            <v/>
          </cell>
          <cell r="C219" t="str">
            <v/>
          </cell>
          <cell r="D219" t="str">
            <v>DMS_CFS_STORAGE_UNDERVOLTAGE_VIOLATION</v>
          </cell>
          <cell r="E219" t="b">
            <v>0</v>
          </cell>
          <cell r="F219" t="str">
            <v>Tensão de armazenamento de energia abaixo de {0}.</v>
          </cell>
          <cell r="G219" t="str">
            <v/>
          </cell>
          <cell r="H219">
            <v>0</v>
          </cell>
          <cell r="I219">
            <v>0</v>
          </cell>
          <cell r="J219" t="str">
            <v>ApplicationAlarm</v>
          </cell>
          <cell r="K219" t="str">
            <v>Severidade 10</v>
          </cell>
          <cell r="L219" t="str">
            <v>Severidade 16</v>
          </cell>
          <cell r="M219" t="b">
            <v>0</v>
          </cell>
        </row>
        <row r="220">
          <cell r="A220" t="str">
            <v>Energy storage voltage returned to normal</v>
          </cell>
          <cell r="B220" t="str">
            <v/>
          </cell>
          <cell r="C220" t="str">
            <v/>
          </cell>
          <cell r="D220" t="str">
            <v>DMS_CFS_RTN_STORAGE_V_VIOLATION</v>
          </cell>
          <cell r="E220" t="b">
            <v>0</v>
          </cell>
          <cell r="F220" t="str">
            <v>Tensão de armazenamento de energia dentro dos limites.</v>
          </cell>
          <cell r="G220" t="str">
            <v/>
          </cell>
          <cell r="H220">
            <v>0</v>
          </cell>
          <cell r="I220">
            <v>0</v>
          </cell>
          <cell r="J220" t="str">
            <v>ApplicationAlarm</v>
          </cell>
          <cell r="K220" t="str">
            <v>Severidade 10</v>
          </cell>
          <cell r="L220" t="str">
            <v>Severidade 16</v>
          </cell>
          <cell r="M220" t="b">
            <v>0</v>
          </cell>
        </row>
        <row r="221">
          <cell r="A221" t="str">
            <v>Estimated and telemetered discrepancy</v>
          </cell>
          <cell r="B221" t="str">
            <v/>
          </cell>
          <cell r="C221" t="str">
            <v/>
          </cell>
          <cell r="D221" t="str">
            <v>DMS_CFS_ANALOG_DISCREPANCY</v>
          </cell>
          <cell r="E221" t="b">
            <v>0</v>
          </cell>
          <cell r="F221" t="str">
            <v>O valor estimado entre telemedido excede o limite {0}.</v>
          </cell>
          <cell r="G221" t="str">
            <v/>
          </cell>
          <cell r="H221">
            <v>0</v>
          </cell>
          <cell r="I221">
            <v>0</v>
          </cell>
          <cell r="J221" t="str">
            <v>ApplicationAlarm</v>
          </cell>
          <cell r="K221" t="str">
            <v>Severidade 14</v>
          </cell>
          <cell r="L221" t="str">
            <v>Severidade 16</v>
          </cell>
          <cell r="M221" t="b">
            <v>0</v>
          </cell>
        </row>
        <row r="222">
          <cell r="A222" t="str">
            <v>Estimated and telemetered discrepancy returned to normal</v>
          </cell>
          <cell r="B222" t="str">
            <v/>
          </cell>
          <cell r="C222" t="str">
            <v/>
          </cell>
          <cell r="D222" t="str">
            <v>DMS_CFS_RTN_ANALOG_DISCREPANCY</v>
          </cell>
          <cell r="E222" t="b">
            <v>0</v>
          </cell>
          <cell r="F222" t="str">
            <v>Discrepância entre o valor estimado e o telemetria dentro dos limites.</v>
          </cell>
          <cell r="G222" t="str">
            <v/>
          </cell>
          <cell r="H222">
            <v>0</v>
          </cell>
          <cell r="I222">
            <v>0</v>
          </cell>
          <cell r="J222" t="str">
            <v>ApplicationAlarm</v>
          </cell>
          <cell r="K222" t="str">
            <v>Severidade 14</v>
          </cell>
          <cell r="L222" t="str">
            <v>Severidade 16</v>
          </cell>
          <cell r="M222" t="b">
            <v>0</v>
          </cell>
        </row>
        <row r="223">
          <cell r="A223" t="str">
            <v>ETR profile changed</v>
          </cell>
          <cell r="B223" t="str">
            <v/>
          </cell>
          <cell r="C223" t="str">
            <v/>
          </cell>
          <cell r="D223" t="str">
            <v>OMS_ALARM_PROFILE_CONFIG_CHANGED_ETR_PROF</v>
          </cell>
          <cell r="E223" t="b">
            <v>0</v>
          </cell>
          <cell r="F223" t="str">
            <v>A configuração do OMS para o perfil ETR foi alterada de {0} para {1}</v>
          </cell>
          <cell r="G223" t="str">
            <v/>
          </cell>
          <cell r="H223">
            <v>0</v>
          </cell>
          <cell r="I223">
            <v>0</v>
          </cell>
          <cell r="J223" t="str">
            <v>ApplicationAlarm</v>
          </cell>
          <cell r="K223" t="str">
            <v>Severidade 10</v>
          </cell>
          <cell r="L223" t="str">
            <v>Severidade 16</v>
          </cell>
          <cell r="M223" t="b">
            <v>0</v>
          </cell>
        </row>
        <row r="224">
          <cell r="A224" t="str">
            <v>Event indicating that crew availability is changed_1</v>
          </cell>
          <cell r="B224" t="str">
            <v/>
          </cell>
          <cell r="C224" t="str">
            <v/>
          </cell>
          <cell r="D224" t="str">
            <v>OMS_CREW_AVAILABILITY_CHANGED</v>
          </cell>
          <cell r="E224" t="b">
            <v>0</v>
          </cell>
          <cell r="F224" t="str">
            <v>Disponibilidade da equipe {0} definida como {1}</v>
          </cell>
          <cell r="G224" t="str">
            <v/>
          </cell>
          <cell r="H224">
            <v>0</v>
          </cell>
          <cell r="I224">
            <v>0</v>
          </cell>
          <cell r="J224" t="str">
            <v>ApplicationAlarm</v>
          </cell>
          <cell r="K224" t="str">
            <v>Severidade 10</v>
          </cell>
          <cell r="L224" t="str">
            <v>Severidade 16</v>
          </cell>
          <cell r="M224" t="b">
            <v>0</v>
          </cell>
        </row>
        <row r="225">
          <cell r="A225" t="str">
            <v>RELI RELI switch is deactivated</v>
          </cell>
          <cell r="B225" t="str">
            <v/>
          </cell>
          <cell r="C225" t="str">
            <v/>
          </cell>
          <cell r="D225" t="str">
            <v>RELI_MESSAGE_09</v>
          </cell>
          <cell r="E225" t="b">
            <v>0</v>
          </cell>
          <cell r="F225" t="str">
            <v>DGRELI - Chave RELI Desativada  []</v>
          </cell>
          <cell r="G225" t="str">
            <v>Gerado quando não ocorre um religamento quando a chave RELIGA da SE estiver bloqueada</v>
          </cell>
          <cell r="H225">
            <v>0</v>
          </cell>
          <cell r="I225">
            <v>0</v>
          </cell>
          <cell r="J225" t="str">
            <v>ApplicationAlarm</v>
          </cell>
          <cell r="K225" t="str">
            <v>Severidade 15</v>
          </cell>
          <cell r="L225" t="str">
            <v>Severidade 16</v>
          </cell>
          <cell r="M225" t="b">
            <v>0</v>
          </cell>
        </row>
        <row r="226">
          <cell r="A226" t="str">
            <v>RELI Individual switch set as local</v>
          </cell>
          <cell r="B226" t="str">
            <v/>
          </cell>
          <cell r="C226" t="str">
            <v/>
          </cell>
          <cell r="D226" t="str">
            <v>RELI_MESSAGE_08</v>
          </cell>
          <cell r="E226" t="b">
            <v>0</v>
          </cell>
          <cell r="F226" t="str">
            <v>DGRELI - Chave Individual em Local  []</v>
          </cell>
          <cell r="G226" t="str">
            <v>Gerado quando não ocorre um religamento devido a chave individual Local/Remoto do disjuntor estar em Local</v>
          </cell>
          <cell r="H226">
            <v>0</v>
          </cell>
          <cell r="I226">
            <v>0</v>
          </cell>
          <cell r="J226" t="str">
            <v>ApplicationAlarm</v>
          </cell>
          <cell r="K226" t="str">
            <v>Severidade 15</v>
          </cell>
          <cell r="L226" t="str">
            <v>Severidade 16</v>
          </cell>
          <cell r="M226" t="b">
            <v>0</v>
          </cell>
        </row>
        <row r="227">
          <cell r="A227" t="str">
            <v>Event reporting database file group full.</v>
          </cell>
          <cell r="B227" t="str">
            <v/>
          </cell>
          <cell r="C227" t="str">
            <v/>
          </cell>
          <cell r="D227" t="str">
            <v>EVENT_REPORTING_FILE_GROUP_FULL</v>
          </cell>
          <cell r="E227" t="b">
            <v>1</v>
          </cell>
          <cell r="F227" t="str">
            <v>O grupo de arquivos do banco de dados {1} está cheio no serviço sql {0}.</v>
          </cell>
          <cell r="G227" t="str">
            <v>Description:
Indicates that the file group for given database if full at given sql service instance.
0
Newly reported events will not be shown until this problem is fixed.
0
See AlarmsEventsService log for futher details.
0
Possible cause:
Automatic resizing of filegroup is disabled.
0
Operator steps:
Contact your system or database administrator.</v>
          </cell>
          <cell r="H227">
            <v>0</v>
          </cell>
          <cell r="I227">
            <v>0</v>
          </cell>
          <cell r="J227" t="str">
            <v>SystemAlarm</v>
          </cell>
          <cell r="K227" t="str">
            <v>Severidade 4</v>
          </cell>
          <cell r="L227" t="str">
            <v>Severidade 16</v>
          </cell>
          <cell r="M227" t="b">
            <v>0</v>
          </cell>
        </row>
        <row r="228">
          <cell r="A228" t="str">
            <v>Event reporting failed to establish connection to sql server</v>
          </cell>
          <cell r="B228" t="str">
            <v/>
          </cell>
          <cell r="C228" t="str">
            <v/>
          </cell>
          <cell r="D228" t="str">
            <v>EVENT_REPORTING_LOST_HDB_CONNECTION</v>
          </cell>
          <cell r="E228" t="b">
            <v>1</v>
          </cell>
          <cell r="F228" t="str">
            <v>O mecanismo de eventos perdeu a conexão com o serviço sql em {0}.</v>
          </cell>
          <cell r="G228" t="str">
            <v xml:space="preserve">Description:
Indicates that AES events engine has lost connection with sql service at given endpoint.
0
Possible causes: 
Historical server is down
Historical server machine is down
0
Operator steps:
Contact your system or database administrator
</v>
          </cell>
          <cell r="H228">
            <v>0</v>
          </cell>
          <cell r="I228">
            <v>0</v>
          </cell>
          <cell r="J228" t="str">
            <v>SystemAlarm</v>
          </cell>
          <cell r="K228" t="str">
            <v>Severidade 4</v>
          </cell>
          <cell r="L228" t="str">
            <v>Severidade 16</v>
          </cell>
          <cell r="M228" t="b">
            <v>0</v>
          </cell>
        </row>
        <row r="229">
          <cell r="A229" t="str">
            <v>Event reporting queue limit reached.</v>
          </cell>
          <cell r="B229" t="str">
            <v/>
          </cell>
          <cell r="C229" t="str">
            <v/>
          </cell>
          <cell r="D229" t="str">
            <v>EVENT_REPORTING_CIRCULAR_QUEUE_LIMIT</v>
          </cell>
          <cell r="E229" t="b">
            <v>1</v>
          </cell>
          <cell r="F229" t="str">
            <v>Nome da fila de eventos: {0} atingiu o limite de capacidade de {1}%.</v>
          </cell>
          <cell r="G229" t="str">
            <v>Description:
Reported when AlarmsEventsService events queue has reached capacity limit.
0
Possible cause:
System is generating abnormal number of events, or connection has been lost with sql server instance, and events are no being processed.
0
Operator steps:
Contact your system or database administrator.
or
Contact ADMS support service.</v>
          </cell>
          <cell r="H229">
            <v>0</v>
          </cell>
          <cell r="I229">
            <v>0</v>
          </cell>
          <cell r="J229" t="str">
            <v>SystemAlarm</v>
          </cell>
          <cell r="K229" t="str">
            <v>Severidade 6</v>
          </cell>
          <cell r="L229" t="str">
            <v>Severidade 16</v>
          </cell>
          <cell r="M229" t="b">
            <v>0</v>
          </cell>
        </row>
        <row r="230">
          <cell r="A230" t="str">
            <v>Event reporting queue limit return-to-normal</v>
          </cell>
          <cell r="B230" t="str">
            <v/>
          </cell>
          <cell r="C230" t="str">
            <v/>
          </cell>
          <cell r="D230" t="str">
            <v>EVENT_REPORTING_CIRCULAR_QUEUE_LIMIT_RTN</v>
          </cell>
          <cell r="E230" t="b">
            <v>1</v>
          </cell>
          <cell r="F230" t="str">
            <v>Nome da fila de eventos: {0} agora está abaixo do limite de {1} por cento.</v>
          </cell>
          <cell r="G230" t="str">
            <v>Description:
Indicates that queue capacity warning alarm has passed.</v>
          </cell>
          <cell r="H230">
            <v>0</v>
          </cell>
          <cell r="I230">
            <v>0</v>
          </cell>
          <cell r="J230" t="str">
            <v>SystemAlarm</v>
          </cell>
          <cell r="K230" t="str">
            <v>Severidade 14</v>
          </cell>
          <cell r="L230" t="str">
            <v>Severidade 16</v>
          </cell>
          <cell r="M230" t="b">
            <v>0</v>
          </cell>
        </row>
        <row r="231">
          <cell r="A231" t="str">
            <v>Event reporting queue max capacity reached.</v>
          </cell>
          <cell r="B231" t="str">
            <v/>
          </cell>
          <cell r="C231" t="str">
            <v/>
          </cell>
          <cell r="D231" t="str">
            <v>EVENT_REPORTING_CIRCULAR_QUEUE_MAX_LIMIT</v>
          </cell>
          <cell r="E231" t="b">
            <v>1</v>
          </cell>
          <cell r="F231" t="str">
            <v>O nome da fila de eventos: {0} atingiu a capacidade máxima.</v>
          </cell>
          <cell r="G231" t="str">
            <v>Description:
Reported when event queue with given name has reached maximum capacity.
When this happens newly reported events will be written over oldest unprocessed events.
0
Possible cause:
System is generating abnormal number of events or connection has been lost with database, and events are not being processed.
0
Operator Steps:
Contact your system or database administrator.
or
Contact ADMS support service.</v>
          </cell>
          <cell r="H231">
            <v>0</v>
          </cell>
          <cell r="I231">
            <v>0</v>
          </cell>
          <cell r="J231" t="str">
            <v>SystemAlarm</v>
          </cell>
          <cell r="K231" t="str">
            <v>Severidade 4</v>
          </cell>
          <cell r="L231" t="str">
            <v>Severidade 16</v>
          </cell>
          <cell r="M231" t="b">
            <v>0</v>
          </cell>
        </row>
        <row r="232">
          <cell r="A232" t="str">
            <v>Fault generator</v>
          </cell>
          <cell r="B232" t="str">
            <v/>
          </cell>
          <cell r="C232" t="str">
            <v/>
          </cell>
          <cell r="D232" t="str">
            <v>GMS_AGC_GENERATOR_FAULT</v>
          </cell>
          <cell r="E232" t="b">
            <v>1</v>
          </cell>
          <cell r="F232" t="str">
            <v>Unidade geradora definida para o modo de falha. {0}.</v>
          </cell>
          <cell r="G232" t="str">
            <v/>
          </cell>
          <cell r="H232">
            <v>0</v>
          </cell>
          <cell r="I232">
            <v>0</v>
          </cell>
          <cell r="J232" t="str">
            <v>ApplicationAlarm</v>
          </cell>
          <cell r="K232" t="str">
            <v>Severidade 10</v>
          </cell>
          <cell r="L232" t="str">
            <v>Severidade 16</v>
          </cell>
          <cell r="M232" t="b">
            <v>0</v>
          </cell>
        </row>
        <row r="233">
          <cell r="A233" t="str">
            <v>Fault generator_1</v>
          </cell>
          <cell r="B233" t="str">
            <v/>
          </cell>
          <cell r="C233" t="str">
            <v/>
          </cell>
          <cell r="D233" t="str">
            <v>MGMS_ADC_GENERATOR_FAULT</v>
          </cell>
          <cell r="E233" t="b">
            <v>1</v>
          </cell>
          <cell r="F233" t="str">
            <v>Unidade geradora definida para o modo de falha. {0}.</v>
          </cell>
          <cell r="G233" t="str">
            <v/>
          </cell>
          <cell r="H233">
            <v>0</v>
          </cell>
          <cell r="I233">
            <v>0</v>
          </cell>
          <cell r="J233" t="str">
            <v>ApplicationAlarm</v>
          </cell>
          <cell r="K233" t="str">
            <v>Severidade 10</v>
          </cell>
          <cell r="L233" t="str">
            <v>Severidade 16</v>
          </cell>
          <cell r="M233" t="b">
            <v>0</v>
          </cell>
        </row>
        <row r="234">
          <cell r="A234" t="str">
            <v>Feeder has a consumer with overvoltage</v>
          </cell>
          <cell r="B234" t="str">
            <v/>
          </cell>
          <cell r="C234" t="str">
            <v/>
          </cell>
          <cell r="D234" t="str">
            <v>DMS_CFS_OVERVOLTAGE</v>
          </cell>
          <cell r="E234" t="b">
            <v>0</v>
          </cell>
          <cell r="F234" t="str">
            <v>O alimentador possui um consumidor com tensão acima do limite de {0} {1}.</v>
          </cell>
          <cell r="G234" t="str">
            <v/>
          </cell>
          <cell r="H234">
            <v>0</v>
          </cell>
          <cell r="I234">
            <v>0</v>
          </cell>
          <cell r="J234" t="str">
            <v>ApplicationAlarm</v>
          </cell>
          <cell r="K234" t="str">
            <v>Severidade 10</v>
          </cell>
          <cell r="L234" t="str">
            <v>Severidade 16</v>
          </cell>
          <cell r="M234" t="b">
            <v>0</v>
          </cell>
        </row>
        <row r="235">
          <cell r="A235" t="str">
            <v>Feeder has a consumer with overvoltage returned to normal</v>
          </cell>
          <cell r="B235" t="str">
            <v/>
          </cell>
          <cell r="C235" t="str">
            <v/>
          </cell>
          <cell r="D235" t="str">
            <v>DMS_CFS_RTN_OVERVOLTAGE</v>
          </cell>
          <cell r="E235" t="b">
            <v>0</v>
          </cell>
          <cell r="F235" t="str">
            <v>O alimentador possui consumidores com tensões dentro dos limites.</v>
          </cell>
          <cell r="G235" t="str">
            <v/>
          </cell>
          <cell r="H235">
            <v>0</v>
          </cell>
          <cell r="I235">
            <v>0</v>
          </cell>
          <cell r="J235" t="str">
            <v>ApplicationAlarm</v>
          </cell>
          <cell r="K235" t="str">
            <v>Severidade 10</v>
          </cell>
          <cell r="L235" t="str">
            <v>Severidade 16</v>
          </cell>
          <cell r="M235" t="b">
            <v>0</v>
          </cell>
        </row>
        <row r="236">
          <cell r="A236" t="str">
            <v>Feeder has a consumer with undervoltage</v>
          </cell>
          <cell r="B236" t="str">
            <v/>
          </cell>
          <cell r="C236" t="str">
            <v/>
          </cell>
          <cell r="D236" t="str">
            <v>DMS_CFS_UNDERVOLTAGE</v>
          </cell>
          <cell r="E236" t="b">
            <v>0</v>
          </cell>
          <cell r="F236" t="str">
            <v>O alimentador possui um consumidor com tensão abaixo de {0} limite {1}.</v>
          </cell>
          <cell r="G236" t="str">
            <v/>
          </cell>
          <cell r="H236">
            <v>0</v>
          </cell>
          <cell r="I236">
            <v>0</v>
          </cell>
          <cell r="J236" t="str">
            <v>ApplicationAlarm</v>
          </cell>
          <cell r="K236" t="str">
            <v>Severidade 10</v>
          </cell>
          <cell r="L236" t="str">
            <v>Severidade 16</v>
          </cell>
          <cell r="M236" t="b">
            <v>0</v>
          </cell>
        </row>
        <row r="237">
          <cell r="A237" t="str">
            <v>Feeder has a consumer with undervoltage returned to normal</v>
          </cell>
          <cell r="B237" t="str">
            <v/>
          </cell>
          <cell r="C237" t="str">
            <v/>
          </cell>
          <cell r="D237" t="str">
            <v>DMS_CFS_RTN_UNDERVOLTAGE</v>
          </cell>
          <cell r="E237" t="b">
            <v>0</v>
          </cell>
          <cell r="F237" t="str">
            <v>O alimentador possui consumidores com tensões dentro dos limites.</v>
          </cell>
          <cell r="G237" t="str">
            <v/>
          </cell>
          <cell r="H237">
            <v>0</v>
          </cell>
          <cell r="I237">
            <v>0</v>
          </cell>
          <cell r="J237" t="str">
            <v>ApplicationAlarm</v>
          </cell>
          <cell r="K237" t="str">
            <v>Severidade 10</v>
          </cell>
          <cell r="L237" t="str">
            <v>Severidade 16</v>
          </cell>
          <cell r="M237" t="b">
            <v>0</v>
          </cell>
        </row>
        <row r="238">
          <cell r="A238" t="str">
            <v>Feeder has a section with overheat</v>
          </cell>
          <cell r="B238" t="str">
            <v/>
          </cell>
          <cell r="C238" t="str">
            <v/>
          </cell>
          <cell r="D238" t="str">
            <v>DMS_CFS_OVERHEAT_SECTION</v>
          </cell>
          <cell r="E238" t="b">
            <v>0</v>
          </cell>
          <cell r="F238" t="str">
            <v>O alimentador possui uma seção com temperatura acima do limite de {0} {1}.</v>
          </cell>
          <cell r="G238" t="str">
            <v/>
          </cell>
          <cell r="H238">
            <v>0</v>
          </cell>
          <cell r="I238">
            <v>0</v>
          </cell>
          <cell r="J238" t="str">
            <v>ApplicationAlarm</v>
          </cell>
          <cell r="K238" t="str">
            <v>Severidade 12</v>
          </cell>
          <cell r="L238" t="str">
            <v>Severidade 16</v>
          </cell>
          <cell r="M238" t="b">
            <v>0</v>
          </cell>
        </row>
        <row r="239">
          <cell r="A239" t="str">
            <v>Feeder has a section with overheat returned to normal</v>
          </cell>
          <cell r="B239" t="str">
            <v/>
          </cell>
          <cell r="C239" t="str">
            <v/>
          </cell>
          <cell r="D239" t="str">
            <v>DMS_CFS_RTN_OVERHEAT_SECTION</v>
          </cell>
          <cell r="E239" t="b">
            <v>0</v>
          </cell>
          <cell r="F239" t="str">
            <v>O alimentador possui seções com temperaturas dentro dos limites.</v>
          </cell>
          <cell r="G239" t="str">
            <v/>
          </cell>
          <cell r="H239">
            <v>0</v>
          </cell>
          <cell r="I239">
            <v>0</v>
          </cell>
          <cell r="J239" t="str">
            <v>ApplicationAlarm</v>
          </cell>
          <cell r="K239" t="str">
            <v>Severidade 12</v>
          </cell>
          <cell r="L239" t="str">
            <v>Severidade 16</v>
          </cell>
          <cell r="M239" t="b">
            <v>0</v>
          </cell>
        </row>
        <row r="240">
          <cell r="A240" t="str">
            <v>Feeder has a section with overload</v>
          </cell>
          <cell r="B240" t="str">
            <v/>
          </cell>
          <cell r="C240" t="str">
            <v/>
          </cell>
          <cell r="D240" t="str">
            <v>DMS_CFS_OVERLOAD_SECTION</v>
          </cell>
          <cell r="E240" t="b">
            <v>0</v>
          </cell>
          <cell r="F240" t="str">
            <v>O alimentador possui uma seção com carregamento acima do limite de {0} {1}.</v>
          </cell>
          <cell r="G240" t="str">
            <v/>
          </cell>
          <cell r="H240">
            <v>0</v>
          </cell>
          <cell r="I240">
            <v>0</v>
          </cell>
          <cell r="J240" t="str">
            <v>ApplicationAlarm</v>
          </cell>
          <cell r="K240" t="str">
            <v>Severidade 12</v>
          </cell>
          <cell r="L240" t="str">
            <v>Severidade 16</v>
          </cell>
          <cell r="M240" t="b">
            <v>0</v>
          </cell>
        </row>
        <row r="241">
          <cell r="A241" t="str">
            <v>Feeder has a section with overload returned to normal</v>
          </cell>
          <cell r="B241" t="str">
            <v/>
          </cell>
          <cell r="C241" t="str">
            <v/>
          </cell>
          <cell r="D241" t="str">
            <v>DMS_CFS_RTN_OVERLOAD_SECTION</v>
          </cell>
          <cell r="E241" t="b">
            <v>0</v>
          </cell>
          <cell r="F241" t="str">
            <v>O alimentador possui seções com cargas dentro dos limites.</v>
          </cell>
          <cell r="G241" t="str">
            <v/>
          </cell>
          <cell r="H241">
            <v>0</v>
          </cell>
          <cell r="I241">
            <v>0</v>
          </cell>
          <cell r="J241" t="str">
            <v>ApplicationAlarm</v>
          </cell>
          <cell r="K241" t="str">
            <v>Severidade 12</v>
          </cell>
          <cell r="L241" t="str">
            <v>Severidade 16</v>
          </cell>
          <cell r="M241" t="b">
            <v>0</v>
          </cell>
        </row>
        <row r="242">
          <cell r="A242" t="str">
            <v>Feeder has a service transformer with overheat</v>
          </cell>
          <cell r="B242" t="str">
            <v/>
          </cell>
          <cell r="C242" t="str">
            <v/>
          </cell>
          <cell r="D242" t="str">
            <v>DMS_CFS_OVERHEAT_SERVICE_TRANSFORMER</v>
          </cell>
          <cell r="E242" t="b">
            <v>0</v>
          </cell>
          <cell r="F242" t="str">
            <v>O alimentador possui um transformador de serviço com temperatura acima do limite de {0} {1}.</v>
          </cell>
          <cell r="G242" t="str">
            <v/>
          </cell>
          <cell r="H242">
            <v>0</v>
          </cell>
          <cell r="I242">
            <v>0</v>
          </cell>
          <cell r="J242" t="str">
            <v>ApplicationAlarm</v>
          </cell>
          <cell r="K242" t="str">
            <v>Severidade 12</v>
          </cell>
          <cell r="L242" t="str">
            <v>Severidade 16</v>
          </cell>
          <cell r="M242" t="b">
            <v>0</v>
          </cell>
        </row>
        <row r="243">
          <cell r="A243" t="str">
            <v>Feeder has a service transformer with overheat returned to normal</v>
          </cell>
          <cell r="B243" t="str">
            <v/>
          </cell>
          <cell r="C243" t="str">
            <v/>
          </cell>
          <cell r="D243" t="str">
            <v>DMS_CFS_RTN_OVERHEAT_SERVICE_TRANSFORMER</v>
          </cell>
          <cell r="E243" t="b">
            <v>0</v>
          </cell>
          <cell r="F243" t="str">
            <v>O alimentador possui transformadores de serviço com temperaturas dentro dos limites.</v>
          </cell>
          <cell r="G243" t="str">
            <v/>
          </cell>
          <cell r="H243">
            <v>0</v>
          </cell>
          <cell r="I243">
            <v>0</v>
          </cell>
          <cell r="J243" t="str">
            <v>ApplicationAlarm</v>
          </cell>
          <cell r="K243" t="str">
            <v>Severidade 12</v>
          </cell>
          <cell r="L243" t="str">
            <v>Severidade 16</v>
          </cell>
          <cell r="M243" t="b">
            <v>0</v>
          </cell>
        </row>
        <row r="244">
          <cell r="A244" t="str">
            <v>Feeder has a service transformer with overload</v>
          </cell>
          <cell r="B244" t="str">
            <v/>
          </cell>
          <cell r="C244" t="str">
            <v/>
          </cell>
          <cell r="D244" t="str">
            <v>DMS_CFS_OVERLOAD_SERVICE_TRANSFORMER</v>
          </cell>
          <cell r="E244" t="b">
            <v>0</v>
          </cell>
          <cell r="F244" t="str">
            <v>O alimentador possui um transformador de serviço com carga acima do limite de {0} {1}.</v>
          </cell>
          <cell r="G244" t="str">
            <v/>
          </cell>
          <cell r="H244">
            <v>0</v>
          </cell>
          <cell r="I244">
            <v>0</v>
          </cell>
          <cell r="J244" t="str">
            <v>ApplicationAlarm</v>
          </cell>
          <cell r="K244" t="str">
            <v>Severidade 12</v>
          </cell>
          <cell r="L244" t="str">
            <v>Severidade 16</v>
          </cell>
          <cell r="M244" t="b">
            <v>0</v>
          </cell>
        </row>
        <row r="245">
          <cell r="A245" t="str">
            <v>Feeder has a service transformer with overload returned to normal</v>
          </cell>
          <cell r="B245" t="str">
            <v/>
          </cell>
          <cell r="C245" t="str">
            <v/>
          </cell>
          <cell r="D245" t="str">
            <v>DMS_CFS_RTN_OVERLOAD_SERVICE_TRANSFORMER</v>
          </cell>
          <cell r="E245" t="b">
            <v>0</v>
          </cell>
          <cell r="F245" t="str">
            <v>O alimentador possui transformadores de serviço com cargas dentro dos limites.</v>
          </cell>
          <cell r="G245" t="str">
            <v/>
          </cell>
          <cell r="H245">
            <v>0</v>
          </cell>
          <cell r="I245">
            <v>0</v>
          </cell>
          <cell r="J245" t="str">
            <v>ApplicationAlarm</v>
          </cell>
          <cell r="K245" t="str">
            <v>Severidade 12</v>
          </cell>
          <cell r="L245" t="str">
            <v>Severidade 16</v>
          </cell>
          <cell r="M245" t="b">
            <v>0</v>
          </cell>
        </row>
        <row r="246">
          <cell r="A246" t="str">
            <v>Feeder load imbalance</v>
          </cell>
          <cell r="B246" t="str">
            <v/>
          </cell>
          <cell r="C246" t="str">
            <v/>
          </cell>
          <cell r="D246" t="str">
            <v>DMS_CFS_PHBALVIOLATION</v>
          </cell>
          <cell r="E246" t="b">
            <v>0</v>
          </cell>
          <cell r="F246" t="str">
            <v>Desequilíbrio de carga do alimentador acima do limite de {0} {1}.</v>
          </cell>
          <cell r="G246" t="str">
            <v/>
          </cell>
          <cell r="H246">
            <v>0</v>
          </cell>
          <cell r="I246">
            <v>0</v>
          </cell>
          <cell r="J246" t="str">
            <v>ApplicationAlarm</v>
          </cell>
          <cell r="K246" t="str">
            <v>Severidade 14</v>
          </cell>
          <cell r="L246" t="str">
            <v>Severidade 16</v>
          </cell>
          <cell r="M246" t="b">
            <v>0</v>
          </cell>
        </row>
        <row r="247">
          <cell r="A247" t="str">
            <v>Feeder load imbalance returned to normal</v>
          </cell>
          <cell r="B247" t="str">
            <v/>
          </cell>
          <cell r="C247" t="str">
            <v/>
          </cell>
          <cell r="D247" t="str">
            <v>DMS_CFS_RTN_PHBALVIOLATION</v>
          </cell>
          <cell r="E247" t="b">
            <v>0</v>
          </cell>
          <cell r="F247" t="str">
            <v>Desequilíbrio de carga do alimentador dentro dos limites.</v>
          </cell>
          <cell r="G247" t="str">
            <v/>
          </cell>
          <cell r="H247">
            <v>0</v>
          </cell>
          <cell r="I247">
            <v>0</v>
          </cell>
          <cell r="J247" t="str">
            <v>ApplicationAlarm</v>
          </cell>
          <cell r="K247" t="str">
            <v>Severidade 14</v>
          </cell>
          <cell r="L247" t="str">
            <v>Severidade 16</v>
          </cell>
          <cell r="M247" t="b">
            <v>0</v>
          </cell>
        </row>
        <row r="248">
          <cell r="A248" t="str">
            <v>Feeder overvoltage</v>
          </cell>
          <cell r="B248" t="str">
            <v/>
          </cell>
          <cell r="C248" t="str">
            <v/>
          </cell>
          <cell r="D248" t="str">
            <v>DMS_CFS_FEEDER_OVERVOLTAGE</v>
          </cell>
          <cell r="E248" t="b">
            <v>0</v>
          </cell>
          <cell r="F248" t="str">
            <v>Sobretensão com {0} ocorreu em {1}.</v>
          </cell>
          <cell r="G248" t="str">
            <v/>
          </cell>
          <cell r="H248">
            <v>0</v>
          </cell>
          <cell r="I248">
            <v>0</v>
          </cell>
          <cell r="J248" t="str">
            <v>ApplicationAlarm</v>
          </cell>
          <cell r="K248" t="str">
            <v>Severidade 10</v>
          </cell>
          <cell r="L248" t="str">
            <v>Severidade 16</v>
          </cell>
          <cell r="M248" t="b">
            <v>0</v>
          </cell>
        </row>
        <row r="249">
          <cell r="A249" t="str">
            <v>Feeder undervoltage</v>
          </cell>
          <cell r="B249" t="str">
            <v/>
          </cell>
          <cell r="C249" t="str">
            <v/>
          </cell>
          <cell r="D249" t="str">
            <v>DMS_CFS_FEEDER_UNDERVOLTAGE</v>
          </cell>
          <cell r="E249" t="b">
            <v>0</v>
          </cell>
          <cell r="F249" t="str">
            <v>Subtensão com {0} ocorreu em {1}.</v>
          </cell>
          <cell r="G249" t="str">
            <v/>
          </cell>
          <cell r="H249">
            <v>0</v>
          </cell>
          <cell r="I249">
            <v>0</v>
          </cell>
          <cell r="J249" t="str">
            <v>ApplicationAlarm</v>
          </cell>
          <cell r="K249" t="str">
            <v>Severidade 14</v>
          </cell>
          <cell r="L249" t="str">
            <v>Severidade 16</v>
          </cell>
          <cell r="M249" t="b">
            <v>0</v>
          </cell>
        </row>
        <row r="250">
          <cell r="A250" t="str">
            <v>Feeder with reverse flow</v>
          </cell>
          <cell r="B250" t="str">
            <v/>
          </cell>
          <cell r="C250" t="str">
            <v/>
          </cell>
          <cell r="D250" t="str">
            <v>DMS_FEEDER_REVERSE_FLOW</v>
          </cell>
          <cell r="E250" t="b">
            <v>0</v>
          </cell>
          <cell r="F250" t="str">
            <v>O alimentador tem fluxo de energia reverso.</v>
          </cell>
          <cell r="G250" t="str">
            <v/>
          </cell>
          <cell r="H250">
            <v>0</v>
          </cell>
          <cell r="I250">
            <v>0</v>
          </cell>
          <cell r="J250" t="str">
            <v>ApplicationAlarm</v>
          </cell>
          <cell r="K250" t="str">
            <v>Severidade 10</v>
          </cell>
          <cell r="L250" t="str">
            <v>Severidade 16</v>
          </cell>
          <cell r="M250" t="b">
            <v>0</v>
          </cell>
        </row>
        <row r="251">
          <cell r="A251" t="str">
            <v>Feeder with reverse flow returned to normal</v>
          </cell>
          <cell r="B251" t="str">
            <v/>
          </cell>
          <cell r="C251" t="str">
            <v/>
          </cell>
          <cell r="D251" t="str">
            <v>DMS_FEEDER_RTN_REVERSE_FLOW</v>
          </cell>
          <cell r="E251" t="b">
            <v>0</v>
          </cell>
          <cell r="F251" t="str">
            <v>O alimentador não possui mais fluxo de energia reverso.</v>
          </cell>
          <cell r="G251" t="str">
            <v/>
          </cell>
          <cell r="H251">
            <v>0</v>
          </cell>
          <cell r="I251">
            <v>0</v>
          </cell>
          <cell r="J251" t="str">
            <v>ApplicationAlarm</v>
          </cell>
          <cell r="K251" t="str">
            <v>Severidade 10</v>
          </cell>
          <cell r="L251" t="str">
            <v>Severidade 16</v>
          </cell>
          <cell r="M251" t="b">
            <v>0</v>
          </cell>
        </row>
        <row r="252">
          <cell r="A252" t="str">
            <v>FLISR aborted because function returned error</v>
          </cell>
          <cell r="B252" t="str">
            <v/>
          </cell>
          <cell r="C252" t="str">
            <v>FLISR abortado</v>
          </cell>
          <cell r="D252" t="str">
            <v>DMS_FUNCTION_RETURN_ERROR</v>
          </cell>
          <cell r="E252" t="b">
            <v>0</v>
          </cell>
          <cell r="F252" t="str">
            <v>{0} abortado porque '{1}' retornou erro []</v>
          </cell>
          <cell r="G252" t="str">
            <v/>
          </cell>
          <cell r="H252">
            <v>0</v>
          </cell>
          <cell r="I252">
            <v>0</v>
          </cell>
          <cell r="J252" t="str">
            <v>ApplicationAlarm</v>
          </cell>
          <cell r="K252" t="str">
            <v>Severidade 16</v>
          </cell>
          <cell r="L252" t="str">
            <v>Severidade 16</v>
          </cell>
          <cell r="M252" t="b">
            <v>0</v>
          </cell>
        </row>
        <row r="253">
          <cell r="A253" t="str">
            <v>FLISR disabled VVO Closed Loop</v>
          </cell>
          <cell r="B253" t="str">
            <v/>
          </cell>
          <cell r="C253" t="str">
            <v>VVO</v>
          </cell>
          <cell r="D253" t="str">
            <v>DMS_OPS_VVO_DISABLED</v>
          </cell>
          <cell r="E253" t="b">
            <v>0</v>
          </cell>
          <cell r="F253" t="str">
            <v>O loop fechado do VVO está desativado devido a {0}</v>
          </cell>
          <cell r="G253" t="str">
            <v/>
          </cell>
          <cell r="H253">
            <v>0</v>
          </cell>
          <cell r="I253">
            <v>0</v>
          </cell>
          <cell r="J253" t="str">
            <v>ApplicationAlarm</v>
          </cell>
          <cell r="K253" t="str">
            <v>Severidade 10</v>
          </cell>
          <cell r="L253" t="str">
            <v>Severidade 16</v>
          </cell>
          <cell r="M253" t="b">
            <v>0</v>
          </cell>
        </row>
        <row r="254">
          <cell r="A254" t="str">
            <v>FLISR enabled VVO Closed Loop</v>
          </cell>
          <cell r="B254" t="str">
            <v/>
          </cell>
          <cell r="C254" t="str">
            <v>VVO</v>
          </cell>
          <cell r="D254" t="str">
            <v>DMS_OPS_VVO_ENABLED</v>
          </cell>
          <cell r="E254" t="b">
            <v>0</v>
          </cell>
          <cell r="F254" t="str">
            <v>O loop fechado do VVO não é mais inibido devido a {0}</v>
          </cell>
          <cell r="G254" t="str">
            <v/>
          </cell>
          <cell r="H254">
            <v>0</v>
          </cell>
          <cell r="I254">
            <v>0</v>
          </cell>
          <cell r="J254" t="str">
            <v>ApplicationAlarm</v>
          </cell>
          <cell r="K254" t="str">
            <v>Severidade 10</v>
          </cell>
          <cell r="L254" t="str">
            <v>Severidade 16</v>
          </cell>
          <cell r="M254" t="b">
            <v>0</v>
          </cell>
        </row>
        <row r="255">
          <cell r="A255" t="str">
            <v>FLISR function calculation time out</v>
          </cell>
          <cell r="B255" t="str">
            <v/>
          </cell>
          <cell r="C255" t="str">
            <v>FLISR Falha</v>
          </cell>
          <cell r="D255" t="str">
            <v>DMS_OPS_AUTO_FLISR_FUNC_CALC_TIME_OUT</v>
          </cell>
          <cell r="E255" t="b">
            <v>1</v>
          </cell>
          <cell r="F255" t="str">
            <v>FLISR - Tempo limite expirou para a função {0}. A execução da função {1} foi cancelada []</v>
          </cell>
          <cell r="G255" t="str">
            <v/>
          </cell>
          <cell r="H255">
            <v>0</v>
          </cell>
          <cell r="I255">
            <v>0</v>
          </cell>
          <cell r="J255" t="str">
            <v>ApplicationAlarm</v>
          </cell>
          <cell r="K255" t="str">
            <v>Severidade 16</v>
          </cell>
          <cell r="L255" t="str">
            <v>Severidade 16</v>
          </cell>
          <cell r="M255" t="b">
            <v>0</v>
          </cell>
        </row>
        <row r="256">
          <cell r="A256" t="str">
            <v>FLISR function post process time out</v>
          </cell>
          <cell r="B256" t="str">
            <v/>
          </cell>
          <cell r="C256" t="str">
            <v xml:space="preserve">FLISR </v>
          </cell>
          <cell r="D256" t="str">
            <v>DMS_OPS_AUTO_FLISR_POST_PROCESS_TIME_OUT</v>
          </cell>
          <cell r="E256" t="b">
            <v>1</v>
          </cell>
          <cell r="F256" t="str">
            <v>FLISR - Tempo limite expirou para a função {0}. O pós-processamento da função {1} foi cancelado []</v>
          </cell>
          <cell r="G256" t="str">
            <v/>
          </cell>
          <cell r="H256">
            <v>0</v>
          </cell>
          <cell r="I256">
            <v>0</v>
          </cell>
          <cell r="J256" t="str">
            <v>ApplicationAlarm</v>
          </cell>
          <cell r="K256" t="str">
            <v>Severidade 16</v>
          </cell>
          <cell r="L256" t="str">
            <v>Severidade 16</v>
          </cell>
          <cell r="M256" t="b">
            <v>0</v>
          </cell>
        </row>
        <row r="257">
          <cell r="A257" t="str">
            <v>FLISR function sequence execution time out</v>
          </cell>
          <cell r="B257" t="str">
            <v/>
          </cell>
          <cell r="C257" t="str">
            <v>FLISR falha</v>
          </cell>
          <cell r="D257" t="str">
            <v>DMS_OPS_AUTO_FLISR_SEQ_EXE_TIME_OUT</v>
          </cell>
          <cell r="E257" t="b">
            <v>1</v>
          </cell>
          <cell r="F257" t="str">
            <v>FLISR - Tempo limite expirou para a função {0}. A execução de sequência para a função {1} é abortada []</v>
          </cell>
          <cell r="G257" t="str">
            <v/>
          </cell>
          <cell r="H257">
            <v>0</v>
          </cell>
          <cell r="I257">
            <v>0</v>
          </cell>
          <cell r="J257" t="str">
            <v>ApplicationAlarm</v>
          </cell>
          <cell r="K257" t="str">
            <v>Severidade 16</v>
          </cell>
          <cell r="L257" t="str">
            <v>Severidade 16</v>
          </cell>
          <cell r="M257" t="b">
            <v>0</v>
          </cell>
        </row>
        <row r="258">
          <cell r="A258" t="str">
            <v>FLISR function time out</v>
          </cell>
          <cell r="B258" t="str">
            <v/>
          </cell>
          <cell r="C258" t="str">
            <v>FLISR</v>
          </cell>
          <cell r="D258" t="str">
            <v>DMS_OPS_AUTO_FLISR_TIME_OUT</v>
          </cell>
          <cell r="E258" t="b">
            <v>1</v>
          </cell>
          <cell r="F258" t="str">
            <v>FLISR - Tempo limite expirou para a função {0}. Automático {1} está parado []</v>
          </cell>
          <cell r="G258" t="str">
            <v/>
          </cell>
          <cell r="H258">
            <v>0</v>
          </cell>
          <cell r="I258">
            <v>0</v>
          </cell>
          <cell r="J258" t="str">
            <v>ApplicationAlarm</v>
          </cell>
          <cell r="K258" t="str">
            <v>Severidade 16</v>
          </cell>
          <cell r="L258" t="str">
            <v>Severidade 16</v>
          </cell>
          <cell r="M258" t="b">
            <v>0</v>
          </cell>
        </row>
        <row r="259">
          <cell r="A259" t="str">
            <v>FLISR inhibited VVO Closed Loop</v>
          </cell>
          <cell r="B259" t="str">
            <v/>
          </cell>
          <cell r="C259" t="str">
            <v>VVO</v>
          </cell>
          <cell r="D259" t="str">
            <v>DMS_OPS_VVO_INHIBITED</v>
          </cell>
          <cell r="E259" t="b">
            <v>0</v>
          </cell>
          <cell r="F259" t="str">
            <v>O loop fechado do VVO é inibido devido a {0}</v>
          </cell>
          <cell r="G259" t="str">
            <v/>
          </cell>
          <cell r="H259">
            <v>0</v>
          </cell>
          <cell r="I259">
            <v>0</v>
          </cell>
          <cell r="J259" t="str">
            <v>ApplicationAlarm</v>
          </cell>
          <cell r="K259" t="str">
            <v>Severidade 10</v>
          </cell>
          <cell r="L259" t="str">
            <v>Severidade 16</v>
          </cell>
          <cell r="M259" t="b">
            <v>0</v>
          </cell>
        </row>
        <row r="260">
          <cell r="A260" t="str">
            <v>FLISR stopped because topology change occurred</v>
          </cell>
          <cell r="B260" t="str">
            <v/>
          </cell>
          <cell r="C260" t="str">
            <v/>
          </cell>
          <cell r="D260" t="str">
            <v>DMS_OPS_STOP_IF_SWG_DISCR</v>
          </cell>
          <cell r="E260" t="b">
            <v>0</v>
          </cell>
          <cell r="F260" t="str">
            <v>{0} foi interrompido porque ocorreu uma alteração na topologia no alimentador com falha</v>
          </cell>
          <cell r="G260" t="str">
            <v/>
          </cell>
          <cell r="H260">
            <v>0</v>
          </cell>
          <cell r="I260">
            <v>0</v>
          </cell>
          <cell r="J260" t="str">
            <v>ApplicationAlarm</v>
          </cell>
          <cell r="K260" t="str">
            <v>Severidade 8</v>
          </cell>
          <cell r="L260" t="str">
            <v>Severidade 16</v>
          </cell>
          <cell r="M260" t="b">
            <v>0</v>
          </cell>
        </row>
        <row r="261">
          <cell r="A261" t="str">
            <v>FLL meshed both breakers trip</v>
          </cell>
          <cell r="B261" t="str">
            <v/>
          </cell>
          <cell r="C261" t="str">
            <v/>
          </cell>
          <cell r="D261" t="str">
            <v>DMS_OPS_MESHED_FEEDER_FLL_BOTH_TRIP</v>
          </cell>
          <cell r="E261" t="b">
            <v>0</v>
          </cell>
          <cell r="F261" t="str">
            <v>Ambos os disjuntores voltaram a disparar para alimentadores em malha durante a FLL. O FLISR para</v>
          </cell>
          <cell r="G261" t="str">
            <v/>
          </cell>
          <cell r="H261">
            <v>0</v>
          </cell>
          <cell r="I261">
            <v>0</v>
          </cell>
          <cell r="J261" t="str">
            <v>ApplicationAlarm</v>
          </cell>
          <cell r="K261" t="str">
            <v>Severidade 10</v>
          </cell>
          <cell r="L261" t="str">
            <v>Severidade 16</v>
          </cell>
          <cell r="M261" t="b">
            <v>0</v>
          </cell>
        </row>
        <row r="262">
          <cell r="A262" t="str">
            <v>Generator active load returned to normal</v>
          </cell>
          <cell r="B262" t="str">
            <v/>
          </cell>
          <cell r="C262" t="str">
            <v/>
          </cell>
          <cell r="D262" t="str">
            <v>DMS_CFS_PGEN_RTN_VIOLATION</v>
          </cell>
          <cell r="E262" t="b">
            <v>0</v>
          </cell>
          <cell r="F262" t="str">
            <v>Potência ativa do gerador dentro dos limites.</v>
          </cell>
          <cell r="G262" t="str">
            <v/>
          </cell>
          <cell r="H262">
            <v>0</v>
          </cell>
          <cell r="I262">
            <v>0</v>
          </cell>
          <cell r="J262" t="str">
            <v>ApplicationAlarm</v>
          </cell>
          <cell r="K262" t="str">
            <v>Severidade 10</v>
          </cell>
          <cell r="L262" t="str">
            <v>Severidade 16</v>
          </cell>
          <cell r="M262" t="b">
            <v>0</v>
          </cell>
        </row>
        <row r="263">
          <cell r="A263" t="str">
            <v>Generator active overload</v>
          </cell>
          <cell r="B263" t="str">
            <v/>
          </cell>
          <cell r="C263" t="str">
            <v/>
          </cell>
          <cell r="D263" t="str">
            <v>DMS_CFS_PGEN_HI_VIOLATION</v>
          </cell>
          <cell r="E263" t="b">
            <v>0</v>
          </cell>
          <cell r="F263" t="str">
            <v>Potência ativa do gerador acima de {0}.</v>
          </cell>
          <cell r="G263" t="str">
            <v/>
          </cell>
          <cell r="H263">
            <v>0</v>
          </cell>
          <cell r="I263">
            <v>0</v>
          </cell>
          <cell r="J263" t="str">
            <v>ApplicationAlarm</v>
          </cell>
          <cell r="K263" t="str">
            <v>Severidade 10</v>
          </cell>
          <cell r="L263" t="str">
            <v>Severidade 16</v>
          </cell>
          <cell r="M263" t="b">
            <v>0</v>
          </cell>
        </row>
        <row r="264">
          <cell r="A264" t="str">
            <v>Generator active underload</v>
          </cell>
          <cell r="B264" t="str">
            <v/>
          </cell>
          <cell r="C264" t="str">
            <v/>
          </cell>
          <cell r="D264" t="str">
            <v>DMS_CFS_PGEN_LOW_VIOLATION</v>
          </cell>
          <cell r="E264" t="b">
            <v>0</v>
          </cell>
          <cell r="F264" t="str">
            <v>Potência ativa do gerador abaixo de {0}.</v>
          </cell>
          <cell r="G264" t="str">
            <v/>
          </cell>
          <cell r="H264">
            <v>0</v>
          </cell>
          <cell r="I264">
            <v>0</v>
          </cell>
          <cell r="J264" t="str">
            <v>ApplicationAlarm</v>
          </cell>
          <cell r="K264" t="str">
            <v>Severidade 10</v>
          </cell>
          <cell r="L264" t="str">
            <v>Severidade 16</v>
          </cell>
          <cell r="M264" t="b">
            <v>0</v>
          </cell>
        </row>
        <row r="265">
          <cell r="A265" t="str">
            <v>Generator connected to a feeder in outage</v>
          </cell>
          <cell r="B265" t="str">
            <v/>
          </cell>
          <cell r="C265" t="str">
            <v/>
          </cell>
          <cell r="D265" t="str">
            <v>DMS_CFS_GENERATOR_CONNECTED</v>
          </cell>
          <cell r="E265" t="b">
            <v>0</v>
          </cell>
          <cell r="F265" t="str">
            <v>Gerador conectado a um alimentador em queda de energia.</v>
          </cell>
          <cell r="G265" t="str">
            <v/>
          </cell>
          <cell r="H265">
            <v>0</v>
          </cell>
          <cell r="I265">
            <v>0</v>
          </cell>
          <cell r="J265" t="str">
            <v>ApplicationAlarm</v>
          </cell>
          <cell r="K265" t="str">
            <v>Severidade 10</v>
          </cell>
          <cell r="L265" t="str">
            <v>Severidade 16</v>
          </cell>
          <cell r="M265" t="b">
            <v>0</v>
          </cell>
        </row>
        <row r="266">
          <cell r="A266" t="str">
            <v>Generator connected to a feeder in outage returned to normal</v>
          </cell>
          <cell r="B266" t="str">
            <v/>
          </cell>
          <cell r="C266" t="str">
            <v/>
          </cell>
          <cell r="D266" t="str">
            <v>DMS_CFS_GENERATOR_NOT_CONNECTED</v>
          </cell>
          <cell r="E266" t="b">
            <v>0</v>
          </cell>
          <cell r="F266" t="str">
            <v>O gerador não está mais conectado a um alimentador em queda de energia.</v>
          </cell>
          <cell r="G266" t="str">
            <v/>
          </cell>
          <cell r="H266">
            <v>0</v>
          </cell>
          <cell r="I266">
            <v>0</v>
          </cell>
          <cell r="J266" t="str">
            <v>ApplicationAlarm</v>
          </cell>
          <cell r="K266" t="str">
            <v>Severidade 10</v>
          </cell>
          <cell r="L266" t="str">
            <v>Severidade 16</v>
          </cell>
          <cell r="M266" t="b">
            <v>0</v>
          </cell>
        </row>
        <row r="267">
          <cell r="A267" t="str">
            <v>Generator has a high lagging power factor</v>
          </cell>
          <cell r="B267" t="str">
            <v/>
          </cell>
          <cell r="C267" t="str">
            <v/>
          </cell>
          <cell r="D267" t="str">
            <v>DMS_CFS_PF_HIGH_LAG_VIOLATION</v>
          </cell>
          <cell r="E267" t="b">
            <v>0</v>
          </cell>
          <cell r="F267" t="str">
            <v>Fator de potência do gerador acima de {0}.</v>
          </cell>
          <cell r="G267" t="str">
            <v/>
          </cell>
          <cell r="H267">
            <v>0</v>
          </cell>
          <cell r="I267">
            <v>0</v>
          </cell>
          <cell r="J267" t="str">
            <v>ApplicationAlarm</v>
          </cell>
          <cell r="K267" t="str">
            <v>Severidade 12</v>
          </cell>
          <cell r="L267" t="str">
            <v>Severidade 16</v>
          </cell>
          <cell r="M267" t="b">
            <v>0</v>
          </cell>
        </row>
        <row r="268">
          <cell r="A268" t="str">
            <v>Generator has a high leading power factor</v>
          </cell>
          <cell r="B268" t="str">
            <v/>
          </cell>
          <cell r="C268" t="str">
            <v/>
          </cell>
          <cell r="D268" t="str">
            <v>DMS_CFS_PF_HIGH_LEAD_VIOLATION</v>
          </cell>
          <cell r="E268" t="b">
            <v>0</v>
          </cell>
          <cell r="F268" t="str">
            <v>Fator de potência do gerador acima de {0}.</v>
          </cell>
          <cell r="G268" t="str">
            <v/>
          </cell>
          <cell r="H268">
            <v>0</v>
          </cell>
          <cell r="I268">
            <v>0</v>
          </cell>
          <cell r="J268" t="str">
            <v>ApplicationAlarm</v>
          </cell>
          <cell r="K268" t="str">
            <v>Severidade 12</v>
          </cell>
          <cell r="L268" t="str">
            <v>Severidade 16</v>
          </cell>
          <cell r="M268" t="b">
            <v>0</v>
          </cell>
        </row>
        <row r="269">
          <cell r="A269" t="str">
            <v>Generator has a low lagging power factor</v>
          </cell>
          <cell r="B269" t="str">
            <v/>
          </cell>
          <cell r="C269" t="str">
            <v/>
          </cell>
          <cell r="D269" t="str">
            <v>DMS_CFS_PF_LOW_LAG_VIOLATION</v>
          </cell>
          <cell r="E269" t="b">
            <v>0</v>
          </cell>
          <cell r="F269" t="str">
            <v>Fator de potência do gerador abaixo de {0}.</v>
          </cell>
          <cell r="G269" t="str">
            <v/>
          </cell>
          <cell r="H269">
            <v>0</v>
          </cell>
          <cell r="I269">
            <v>0</v>
          </cell>
          <cell r="J269" t="str">
            <v>ApplicationAlarm</v>
          </cell>
          <cell r="K269" t="str">
            <v>Severidade 12</v>
          </cell>
          <cell r="L269" t="str">
            <v>Severidade 16</v>
          </cell>
          <cell r="M269" t="b">
            <v>0</v>
          </cell>
        </row>
        <row r="270">
          <cell r="A270" t="str">
            <v>Generator has a low leading power factor</v>
          </cell>
          <cell r="B270" t="str">
            <v/>
          </cell>
          <cell r="C270" t="str">
            <v/>
          </cell>
          <cell r="D270" t="str">
            <v>DMS_CFS_PF_LOW_LEAD_VIOLATION</v>
          </cell>
          <cell r="E270" t="b">
            <v>0</v>
          </cell>
          <cell r="F270" t="str">
            <v>Fator de potência do gerador abaixo de {0}.</v>
          </cell>
          <cell r="G270" t="str">
            <v/>
          </cell>
          <cell r="H270">
            <v>0</v>
          </cell>
          <cell r="I270">
            <v>0</v>
          </cell>
          <cell r="J270" t="str">
            <v>ApplicationAlarm</v>
          </cell>
          <cell r="K270" t="str">
            <v>Severidade 12</v>
          </cell>
          <cell r="L270" t="str">
            <v>Severidade 16</v>
          </cell>
          <cell r="M270" t="b">
            <v>0</v>
          </cell>
        </row>
        <row r="271">
          <cell r="A271" t="str">
            <v>Generator overvoltage</v>
          </cell>
          <cell r="B271" t="str">
            <v/>
          </cell>
          <cell r="C271" t="str">
            <v/>
          </cell>
          <cell r="D271" t="str">
            <v>DMS_CFS_GEN_OVERVOLTAGE_VIOLATION</v>
          </cell>
          <cell r="E271" t="b">
            <v>0</v>
          </cell>
          <cell r="F271" t="str">
            <v>Tensão do gerador acima de {0}.</v>
          </cell>
          <cell r="G271" t="str">
            <v/>
          </cell>
          <cell r="H271">
            <v>0</v>
          </cell>
          <cell r="I271">
            <v>0</v>
          </cell>
          <cell r="J271" t="str">
            <v>ApplicationAlarm</v>
          </cell>
          <cell r="K271" t="str">
            <v>Severidade 15</v>
          </cell>
          <cell r="L271" t="str">
            <v>Severidade 16</v>
          </cell>
          <cell r="M271" t="b">
            <v>0</v>
          </cell>
        </row>
        <row r="272">
          <cell r="A272" t="str">
            <v>Generator overvoltage returned to normal</v>
          </cell>
          <cell r="B272" t="str">
            <v/>
          </cell>
          <cell r="C272" t="str">
            <v/>
          </cell>
          <cell r="D272" t="str">
            <v>DMS_RTN_VOLTAGE_VIOLATION</v>
          </cell>
          <cell r="E272" t="b">
            <v>0</v>
          </cell>
          <cell r="F272" t="str">
            <v>Tensão do gerador dentro dos limites.</v>
          </cell>
          <cell r="G272" t="str">
            <v/>
          </cell>
          <cell r="H272">
            <v>0</v>
          </cell>
          <cell r="I272">
            <v>0</v>
          </cell>
          <cell r="J272" t="str">
            <v>ApplicationAlarm</v>
          </cell>
          <cell r="K272" t="str">
            <v>Severidade 10</v>
          </cell>
          <cell r="L272" t="str">
            <v>Severidade 16</v>
          </cell>
          <cell r="M272" t="b">
            <v>0</v>
          </cell>
        </row>
        <row r="273">
          <cell r="A273" t="str">
            <v>Generator power factor returned to normal</v>
          </cell>
          <cell r="B273" t="str">
            <v/>
          </cell>
          <cell r="C273" t="str">
            <v/>
          </cell>
          <cell r="D273" t="str">
            <v>DMS_CFS_RTN_PF_VIOLATION</v>
          </cell>
          <cell r="E273" t="b">
            <v>0</v>
          </cell>
          <cell r="F273" t="str">
            <v>Fator de potência do gerador dentro dos limites.</v>
          </cell>
          <cell r="G273" t="str">
            <v/>
          </cell>
          <cell r="H273">
            <v>0</v>
          </cell>
          <cell r="I273">
            <v>0</v>
          </cell>
          <cell r="J273" t="str">
            <v>ApplicationAlarm</v>
          </cell>
          <cell r="K273" t="str">
            <v>Severidade 12</v>
          </cell>
          <cell r="L273" t="str">
            <v>Severidade 16</v>
          </cell>
          <cell r="M273" t="b">
            <v>0</v>
          </cell>
        </row>
        <row r="274">
          <cell r="A274" t="str">
            <v>Generator reactive load returned to normal</v>
          </cell>
          <cell r="B274" t="str">
            <v/>
          </cell>
          <cell r="C274" t="str">
            <v/>
          </cell>
          <cell r="D274" t="str">
            <v>DMS_CFS_QGEN_RTN_VIOLATION</v>
          </cell>
          <cell r="E274" t="b">
            <v>0</v>
          </cell>
          <cell r="F274" t="str">
            <v>Potência reativa do gerador dentro dos limites.</v>
          </cell>
          <cell r="G274" t="str">
            <v/>
          </cell>
          <cell r="H274">
            <v>0</v>
          </cell>
          <cell r="I274">
            <v>0</v>
          </cell>
          <cell r="J274" t="str">
            <v>ApplicationAlarm</v>
          </cell>
          <cell r="K274" t="str">
            <v>Severidade 10</v>
          </cell>
          <cell r="L274" t="str">
            <v>Severidade 16</v>
          </cell>
          <cell r="M274" t="b">
            <v>0</v>
          </cell>
        </row>
        <row r="275">
          <cell r="A275" t="str">
            <v>Generator reactive overload</v>
          </cell>
          <cell r="B275" t="str">
            <v/>
          </cell>
          <cell r="C275" t="str">
            <v/>
          </cell>
          <cell r="D275" t="str">
            <v>DMS_CFS_QGEN_HI_VIOLATION</v>
          </cell>
          <cell r="E275" t="b">
            <v>0</v>
          </cell>
          <cell r="F275" t="str">
            <v>Potência reativa do gerador acima de {0}.</v>
          </cell>
          <cell r="G275" t="str">
            <v/>
          </cell>
          <cell r="H275">
            <v>0</v>
          </cell>
          <cell r="I275">
            <v>0</v>
          </cell>
          <cell r="J275" t="str">
            <v>ApplicationAlarm</v>
          </cell>
          <cell r="K275" t="str">
            <v>Severidade 10</v>
          </cell>
          <cell r="L275" t="str">
            <v>Severidade 16</v>
          </cell>
          <cell r="M275" t="b">
            <v>0</v>
          </cell>
        </row>
        <row r="276">
          <cell r="A276" t="str">
            <v>Generator reactive underload</v>
          </cell>
          <cell r="B276" t="str">
            <v/>
          </cell>
          <cell r="C276" t="str">
            <v/>
          </cell>
          <cell r="D276" t="str">
            <v>DMS_CFS_QGEN_LOW_VIOLATION</v>
          </cell>
          <cell r="E276" t="b">
            <v>0</v>
          </cell>
          <cell r="F276" t="str">
            <v>Potência reativa do gerador abaixo de {0}.</v>
          </cell>
          <cell r="G276" t="str">
            <v/>
          </cell>
          <cell r="H276">
            <v>0</v>
          </cell>
          <cell r="I276">
            <v>0</v>
          </cell>
          <cell r="J276" t="str">
            <v>ApplicationAlarm</v>
          </cell>
          <cell r="K276" t="str">
            <v>Severidade 10</v>
          </cell>
          <cell r="L276" t="str">
            <v>Severidade 16</v>
          </cell>
          <cell r="M276" t="b">
            <v>0</v>
          </cell>
        </row>
        <row r="277">
          <cell r="A277" t="str">
            <v>Generator returned to normal</v>
          </cell>
          <cell r="B277" t="str">
            <v/>
          </cell>
          <cell r="C277" t="str">
            <v/>
          </cell>
          <cell r="D277" t="str">
            <v>GMS_AGC_GENERATOR_FAULT_RTN</v>
          </cell>
          <cell r="E277" t="b">
            <v>1</v>
          </cell>
          <cell r="F277" t="str">
            <v>A unidade geradora não está mais com defeito.</v>
          </cell>
          <cell r="G277" t="str">
            <v/>
          </cell>
          <cell r="H277">
            <v>0</v>
          </cell>
          <cell r="I277">
            <v>0</v>
          </cell>
          <cell r="J277" t="str">
            <v>ApplicationAlarm</v>
          </cell>
          <cell r="K277" t="str">
            <v>Severidade 10</v>
          </cell>
          <cell r="L277" t="str">
            <v>Severidade 16</v>
          </cell>
          <cell r="M277" t="b">
            <v>0</v>
          </cell>
        </row>
        <row r="278">
          <cell r="A278" t="str">
            <v>Generator returned to normal_1</v>
          </cell>
          <cell r="B278" t="str">
            <v/>
          </cell>
          <cell r="C278" t="str">
            <v/>
          </cell>
          <cell r="D278" t="str">
            <v>MGMS_ADC_GENERATOR_FAULT_RTN</v>
          </cell>
          <cell r="E278" t="b">
            <v>1</v>
          </cell>
          <cell r="F278" t="str">
            <v>A unidade geradora não está mais com defeito.</v>
          </cell>
          <cell r="G278" t="str">
            <v/>
          </cell>
          <cell r="H278">
            <v>0</v>
          </cell>
          <cell r="I278">
            <v>0</v>
          </cell>
          <cell r="J278" t="str">
            <v>ApplicationAlarm</v>
          </cell>
          <cell r="K278" t="str">
            <v>Severidade 10</v>
          </cell>
          <cell r="L278" t="str">
            <v>Severidade 16</v>
          </cell>
          <cell r="M278" t="b">
            <v>0</v>
          </cell>
        </row>
        <row r="279">
          <cell r="A279" t="str">
            <v>Generator undervoltage</v>
          </cell>
          <cell r="B279" t="str">
            <v/>
          </cell>
          <cell r="C279" t="str">
            <v/>
          </cell>
          <cell r="D279" t="str">
            <v>DMS_CFS_GEN_UNDERVOLTAGE_VIOLATION</v>
          </cell>
          <cell r="E279" t="b">
            <v>0</v>
          </cell>
          <cell r="F279" t="str">
            <v>Tensão do gerador abaixo de {0}.</v>
          </cell>
          <cell r="G279" t="str">
            <v/>
          </cell>
          <cell r="H279">
            <v>0</v>
          </cell>
          <cell r="I279">
            <v>0</v>
          </cell>
          <cell r="J279" t="str">
            <v>ApplicationAlarm</v>
          </cell>
          <cell r="K279" t="str">
            <v>Severidade 15</v>
          </cell>
          <cell r="L279" t="str">
            <v>Severidade 16</v>
          </cell>
          <cell r="M279" t="b">
            <v>0</v>
          </cell>
        </row>
        <row r="280">
          <cell r="A280" t="str">
            <v>Health Monitor Automatic Service Shutdown Failed</v>
          </cell>
          <cell r="B280" t="str">
            <v/>
          </cell>
          <cell r="C280" t="str">
            <v/>
          </cell>
          <cell r="D280" t="str">
            <v>SYSTEM_HEALTHMONITOR_ARBITRATIONAUTOSHUTDOWNFAILURE_25</v>
          </cell>
          <cell r="E280" t="b">
            <v>0</v>
          </cell>
          <cell r="F280" t="str">
            <v>O desligamento automático falhou no serviço {0} no computador {1}.</v>
          </cell>
          <cell r="G280" t="str">
            <v/>
          </cell>
          <cell r="H280">
            <v>0</v>
          </cell>
          <cell r="I280">
            <v>0</v>
          </cell>
          <cell r="J280" t="str">
            <v>SystemAlarm</v>
          </cell>
          <cell r="K280" t="str">
            <v>Severidade 14</v>
          </cell>
          <cell r="L280" t="str">
            <v>Severidade 16</v>
          </cell>
          <cell r="M280" t="b">
            <v>0</v>
          </cell>
        </row>
        <row r="281">
          <cell r="A281" t="str">
            <v>Health Monitor Automatic Service Shutdown Initiated</v>
          </cell>
          <cell r="B281" t="str">
            <v/>
          </cell>
          <cell r="C281" t="str">
            <v/>
          </cell>
          <cell r="D281" t="str">
            <v>SYSTEM_HEALTHMONITOR_AUTOSHUTDOWN_5</v>
          </cell>
          <cell r="E281" t="b">
            <v>0</v>
          </cell>
          <cell r="F281" t="str">
            <v>Iniciando o desligamento automático para o serviço {0} no computador {1}. (Razão: '{2}').</v>
          </cell>
          <cell r="G281" t="str">
            <v/>
          </cell>
          <cell r="H281">
            <v>0</v>
          </cell>
          <cell r="I281">
            <v>0</v>
          </cell>
          <cell r="J281" t="str">
            <v>SystemAlarm</v>
          </cell>
          <cell r="K281" t="str">
            <v>Severidade 14</v>
          </cell>
          <cell r="L281" t="str">
            <v>Severidade 16</v>
          </cell>
          <cell r="M281" t="b">
            <v>0</v>
          </cell>
        </row>
        <row r="282">
          <cell r="A282" t="str">
            <v>Health Monitor Automatic Service Shutdown Request Received No Reason</v>
          </cell>
          <cell r="B282" t="str">
            <v/>
          </cell>
          <cell r="C282" t="str">
            <v/>
          </cell>
          <cell r="D282" t="str">
            <v>SYSTEM_HEALTHMONITOR_EMERGENCYNOREASON_12</v>
          </cell>
          <cell r="E282" t="b">
            <v>0</v>
          </cell>
          <cell r="F282" t="str">
            <v>Solicitação automática recebida para encerrar o serviço {0} no computador {1}. Nenhuma explicação detalhada fornecida, consulte o log para obter detalhes (tópico de encerramento de emergência '{2}').</v>
          </cell>
          <cell r="G282" t="str">
            <v/>
          </cell>
          <cell r="H282">
            <v>0</v>
          </cell>
          <cell r="I282">
            <v>0</v>
          </cell>
          <cell r="J282" t="str">
            <v>SystemAlarm</v>
          </cell>
          <cell r="K282" t="str">
            <v>Severidade 14</v>
          </cell>
          <cell r="L282" t="str">
            <v>Severidade 16</v>
          </cell>
          <cell r="M282" t="b">
            <v>0</v>
          </cell>
        </row>
        <row r="283">
          <cell r="A283" t="str">
            <v>Health Monitor Automatic Service Shutdown Request Received With Reason</v>
          </cell>
          <cell r="B283" t="str">
            <v/>
          </cell>
          <cell r="C283" t="str">
            <v/>
          </cell>
          <cell r="D283" t="str">
            <v>SYSTEM_HEALTHMONITOR_EMERGENCYWITHREASON_18</v>
          </cell>
          <cell r="E283" t="b">
            <v>0</v>
          </cell>
          <cell r="F283" t="str">
            <v>Solicitação automática recebida para encerrar o serviço {0} no computador {1}. Explicação fornecida '{2}' (tópico relacionado '{3}').</v>
          </cell>
          <cell r="G283" t="str">
            <v/>
          </cell>
          <cell r="H283">
            <v>0</v>
          </cell>
          <cell r="I283">
            <v>0</v>
          </cell>
          <cell r="J283" t="str">
            <v>SystemAlarm</v>
          </cell>
          <cell r="K283" t="str">
            <v>Severidade 14</v>
          </cell>
          <cell r="L283" t="str">
            <v>Severidade 16</v>
          </cell>
          <cell r="M283" t="b">
            <v>0</v>
          </cell>
        </row>
        <row r="284">
          <cell r="A284" t="str">
            <v>Health Monitor Automatic Service Shutdown Succeeded</v>
          </cell>
          <cell r="B284" t="str">
            <v/>
          </cell>
          <cell r="C284" t="str">
            <v/>
          </cell>
          <cell r="D284" t="str">
            <v>SYSTEM_HEALTHMONITOR_ARBITRATIONAUTOSHUTDOWNSUCCESS_24</v>
          </cell>
          <cell r="E284" t="b">
            <v>0</v>
          </cell>
          <cell r="F284" t="str">
            <v>Encerramento automático bem-sucedido para o serviço {0} no computador {1}.</v>
          </cell>
          <cell r="G284" t="str">
            <v/>
          </cell>
          <cell r="H284">
            <v>0</v>
          </cell>
          <cell r="I284">
            <v>0</v>
          </cell>
          <cell r="J284" t="str">
            <v>SystemAlarm</v>
          </cell>
          <cell r="K284" t="str">
            <v>Severidade 14</v>
          </cell>
          <cell r="L284" t="str">
            <v>Severidade 16</v>
          </cell>
          <cell r="M284" t="b">
            <v>0</v>
          </cell>
        </row>
        <row r="285">
          <cell r="A285" t="str">
            <v>Health Monitor Error Message</v>
          </cell>
          <cell r="B285" t="str">
            <v/>
          </cell>
          <cell r="C285" t="str">
            <v/>
          </cell>
          <cell r="D285" t="str">
            <v>SYSTEM_HEALTHMONITOR_HEALTHSTATE_0</v>
          </cell>
          <cell r="E285" t="b">
            <v>0</v>
          </cell>
          <cell r="F285" t="str">
            <v>{0}</v>
          </cell>
          <cell r="G285" t="str">
            <v/>
          </cell>
          <cell r="H285">
            <v>0</v>
          </cell>
          <cell r="I285">
            <v>0</v>
          </cell>
          <cell r="J285" t="str">
            <v>SystemAlarm</v>
          </cell>
          <cell r="K285" t="str">
            <v>Severidade 14</v>
          </cell>
          <cell r="L285" t="str">
            <v>Severidade 16</v>
          </cell>
          <cell r="M285" t="b">
            <v>0</v>
          </cell>
        </row>
        <row r="286">
          <cell r="A286" t="str">
            <v>Health Monitor Failover Before Shutdown</v>
          </cell>
          <cell r="B286" t="str">
            <v/>
          </cell>
          <cell r="C286" t="str">
            <v/>
          </cell>
          <cell r="D286" t="str">
            <v>SYSTEM_HEALTHMONITOR_ARBITRATIONAUTOFAILOVER_8</v>
          </cell>
          <cell r="E286" t="b">
            <v>1</v>
          </cell>
          <cell r="F286" t="str">
            <v>Falha no serviço {0} no computador {1} antes de iniciar um desligamento.</v>
          </cell>
          <cell r="G286" t="str">
            <v/>
          </cell>
          <cell r="H286">
            <v>0</v>
          </cell>
          <cell r="I286">
            <v>0</v>
          </cell>
          <cell r="J286" t="str">
            <v>SystemAlarm</v>
          </cell>
          <cell r="K286" t="str">
            <v>Severidade 14</v>
          </cell>
          <cell r="L286" t="str">
            <v>Severidade 16</v>
          </cell>
          <cell r="M286" t="b">
            <v>0</v>
          </cell>
        </row>
        <row r="287">
          <cell r="A287" t="str">
            <v>Health Monitor Failover Failed Proceed Shutdown</v>
          </cell>
          <cell r="B287" t="str">
            <v/>
          </cell>
          <cell r="C287" t="str">
            <v/>
          </cell>
          <cell r="D287" t="str">
            <v>SYSTEM_HEALTHMONITOR_ARBITRATIONFAILOVERFAILED_9</v>
          </cell>
          <cell r="E287" t="b">
            <v>1</v>
          </cell>
          <cell r="F287" t="str">
            <v>O failover do serviço {0} no computador {1} não foi concluído, mas a espera está disponível. Prosseguindo com o desligamento.</v>
          </cell>
          <cell r="G287" t="str">
            <v/>
          </cell>
          <cell r="H287">
            <v>0</v>
          </cell>
          <cell r="I287">
            <v>0</v>
          </cell>
          <cell r="J287" t="str">
            <v>SystemAlarm</v>
          </cell>
          <cell r="K287" t="str">
            <v>Severidade 14</v>
          </cell>
          <cell r="L287" t="str">
            <v>Severidade 16</v>
          </cell>
          <cell r="M287" t="b">
            <v>0</v>
          </cell>
        </row>
        <row r="288">
          <cell r="A288" t="str">
            <v>Health Monitor Failover Succeeded</v>
          </cell>
          <cell r="B288" t="str">
            <v/>
          </cell>
          <cell r="C288" t="str">
            <v/>
          </cell>
          <cell r="D288" t="str">
            <v>SYSTEM_HEALTHMONITOR_ARBITRATIONFAILOVERSUCCESS_10</v>
          </cell>
          <cell r="E288" t="b">
            <v>1</v>
          </cell>
          <cell r="F288" t="str">
            <v>O failover do serviço {0} no computador {1} foi bem-sucedido. Prosseguindo com o desligamento.</v>
          </cell>
          <cell r="G288" t="str">
            <v/>
          </cell>
          <cell r="H288">
            <v>0</v>
          </cell>
          <cell r="I288">
            <v>0</v>
          </cell>
          <cell r="J288" t="str">
            <v>SystemAlarm</v>
          </cell>
          <cell r="K288" t="str">
            <v>Severidade 14</v>
          </cell>
          <cell r="L288" t="str">
            <v>Severidade 16</v>
          </cell>
          <cell r="M288" t="b">
            <v>0</v>
          </cell>
        </row>
        <row r="289">
          <cell r="A289" t="str">
            <v>Health Monitor Process Monitor Dead</v>
          </cell>
          <cell r="B289" t="str">
            <v/>
          </cell>
          <cell r="C289" t="str">
            <v/>
          </cell>
          <cell r="D289" t="str">
            <v>SYSTEM_HEALTHMONITOR_EMERGENCYPROCESSMONITORDEAD_16</v>
          </cell>
          <cell r="E289" t="b">
            <v>0</v>
          </cell>
          <cell r="F289" t="str">
            <v>O ProcessMonitor associado ao serviço {0} no computador {1} está morto. Colocando o serviço em uma condição de desligamento.</v>
          </cell>
          <cell r="G289" t="str">
            <v/>
          </cell>
          <cell r="H289">
            <v>0</v>
          </cell>
          <cell r="I289">
            <v>0</v>
          </cell>
          <cell r="J289" t="str">
            <v>SystemAlarm</v>
          </cell>
          <cell r="K289" t="str">
            <v>Severidade 14</v>
          </cell>
          <cell r="L289" t="str">
            <v>Severidade 16</v>
          </cell>
          <cell r="M289" t="b">
            <v>0</v>
          </cell>
        </row>
        <row r="290">
          <cell r="A290" t="str">
            <v>Health Monitor Service And Dependant Services In Shutdown Condition</v>
          </cell>
          <cell r="B290" t="str">
            <v/>
          </cell>
          <cell r="C290" t="str">
            <v/>
          </cell>
          <cell r="D290" t="str">
            <v>SYSTEM_HEALTHMONITOR_SHUTDOWNEVENT_20</v>
          </cell>
          <cell r="E290" t="b">
            <v>0</v>
          </cell>
          <cell r="F290" t="str">
            <v>O serviço {0} e todos os seus serviços dependentes ({1}) no computador {2} estão agora em uma condição de desligamento. Esses serviços serão encerrados na primeira chance disponível.</v>
          </cell>
          <cell r="G290" t="str">
            <v/>
          </cell>
          <cell r="H290">
            <v>0</v>
          </cell>
          <cell r="I290">
            <v>0</v>
          </cell>
          <cell r="J290" t="str">
            <v>SystemAlarm</v>
          </cell>
          <cell r="K290" t="str">
            <v>Severidade 14</v>
          </cell>
          <cell r="L290" t="str">
            <v>Severidade 16</v>
          </cell>
          <cell r="M290" t="b">
            <v>0</v>
          </cell>
        </row>
        <row r="291">
          <cell r="A291" t="str">
            <v>Health Monitor Service And Dependant Services Not In Shutdown Condition</v>
          </cell>
          <cell r="B291" t="str">
            <v/>
          </cell>
          <cell r="C291" t="str">
            <v/>
          </cell>
          <cell r="D291" t="str">
            <v>SYSTEM_HEALTHMONITOR_SHUTDOWNEVENT_19</v>
          </cell>
          <cell r="E291" t="b">
            <v>0</v>
          </cell>
          <cell r="F291" t="str">
            <v>O serviço {0} no computador {1} não está mais em uma condição de desligamento. Os seguintes serviços dependentes não serão mais afetados por essa condição: {2}</v>
          </cell>
          <cell r="G291" t="str">
            <v/>
          </cell>
          <cell r="H291">
            <v>0</v>
          </cell>
          <cell r="I291">
            <v>0</v>
          </cell>
          <cell r="J291" t="str">
            <v>SystemAlarm</v>
          </cell>
          <cell r="K291" t="str">
            <v>Severidade 14</v>
          </cell>
          <cell r="L291" t="str">
            <v>Severidade 16</v>
          </cell>
          <cell r="M291" t="b">
            <v>0</v>
          </cell>
        </row>
        <row r="292">
          <cell r="A292" t="str">
            <v>Health Monitor Service In Shutdown Condition</v>
          </cell>
          <cell r="B292" t="str">
            <v/>
          </cell>
          <cell r="C292" t="str">
            <v/>
          </cell>
          <cell r="D292" t="str">
            <v>SYSTEM_HEALTHMONITOR_SHUTDOWNEVENT_1</v>
          </cell>
          <cell r="E292" t="b">
            <v>0</v>
          </cell>
          <cell r="F292" t="str">
            <v>O serviço {0} no computador {1} está agora em uma condição de desligamento. O serviço será encerrado na primeira chance disponível.</v>
          </cell>
          <cell r="G292" t="str">
            <v/>
          </cell>
          <cell r="H292">
            <v>0</v>
          </cell>
          <cell r="I292">
            <v>0</v>
          </cell>
          <cell r="J292" t="str">
            <v>SystemAlarm</v>
          </cell>
          <cell r="K292" t="str">
            <v>Severidade 14</v>
          </cell>
          <cell r="L292" t="str">
            <v>Severidade 16</v>
          </cell>
          <cell r="M292" t="b">
            <v>0</v>
          </cell>
        </row>
        <row r="293">
          <cell r="A293" t="str">
            <v>Health Monitor Service Not In Shutdown Condition</v>
          </cell>
          <cell r="B293" t="str">
            <v/>
          </cell>
          <cell r="C293" t="str">
            <v/>
          </cell>
          <cell r="D293" t="str">
            <v>SYSTEM_HEALTHMONITOR_SHUTDOWNEVENT_2</v>
          </cell>
          <cell r="E293" t="b">
            <v>0</v>
          </cell>
          <cell r="F293" t="str">
            <v>O serviço {0} no computador {1} não está mais em uma condição de desligamento.</v>
          </cell>
          <cell r="G293" t="str">
            <v/>
          </cell>
          <cell r="H293">
            <v>0</v>
          </cell>
          <cell r="I293">
            <v>0</v>
          </cell>
          <cell r="J293" t="str">
            <v>SystemAlarm</v>
          </cell>
          <cell r="K293" t="str">
            <v>Severidade 14</v>
          </cell>
          <cell r="L293" t="str">
            <v>Severidade 16</v>
          </cell>
          <cell r="M293" t="b">
            <v>0</v>
          </cell>
        </row>
        <row r="294">
          <cell r="A294" t="str">
            <v>Health Monitor Service Shutdown Condition Cleared</v>
          </cell>
          <cell r="B294" t="str">
            <v/>
          </cell>
          <cell r="C294" t="str">
            <v/>
          </cell>
          <cell r="D294" t="str">
            <v>SYSTEM_HEALTHMONITOR_CLEARFAILSHUTDOWN_4</v>
          </cell>
          <cell r="E294" t="b">
            <v>0</v>
          </cell>
          <cell r="F294" t="str">
            <v>A condição de desligamento {0} foi limpa para o serviço {1} no computador {2}.</v>
          </cell>
          <cell r="G294" t="str">
            <v/>
          </cell>
          <cell r="H294">
            <v>0</v>
          </cell>
          <cell r="I294">
            <v>0</v>
          </cell>
          <cell r="J294" t="str">
            <v>SystemAlarm</v>
          </cell>
          <cell r="K294" t="str">
            <v>Severidade 14</v>
          </cell>
          <cell r="L294" t="str">
            <v>Severidade 16</v>
          </cell>
          <cell r="M294" t="b">
            <v>0</v>
          </cell>
        </row>
        <row r="295">
          <cell r="A295" t="str">
            <v>Health Monitor Service Shutdown Requested</v>
          </cell>
          <cell r="B295" t="str">
            <v/>
          </cell>
          <cell r="C295" t="str">
            <v/>
          </cell>
          <cell r="D295" t="str">
            <v>SYSTEM_HEALTHMONITOR_SETFAILNOREASON_3</v>
          </cell>
          <cell r="E295" t="b">
            <v>0</v>
          </cell>
          <cell r="F295" t="str">
            <v>O Health Monitor recebeu uma solicitação de {0} para encerrar o serviço {1} no computador {2}.</v>
          </cell>
          <cell r="G295" t="str">
            <v/>
          </cell>
          <cell r="H295">
            <v>0</v>
          </cell>
          <cell r="I295">
            <v>0</v>
          </cell>
          <cell r="J295" t="str">
            <v>SystemAlarm</v>
          </cell>
          <cell r="K295" t="str">
            <v>Severidade 14</v>
          </cell>
          <cell r="L295" t="str">
            <v>Severidade 16</v>
          </cell>
          <cell r="M295" t="b">
            <v>0</v>
          </cell>
        </row>
        <row r="296">
          <cell r="A296" t="str">
            <v>Health Monitor Service Warning</v>
          </cell>
          <cell r="B296" t="str">
            <v/>
          </cell>
          <cell r="C296" t="str">
            <v/>
          </cell>
          <cell r="D296" t="str">
            <v>SYSTEM_HEALTHMONITOR_SETWARNINGNOREASON_13</v>
          </cell>
          <cell r="E296" t="b">
            <v>0</v>
          </cell>
          <cell r="F296" t="str">
            <v>O Health Monitor recebeu uma notificação de aviso de {0} para o serviço {1} no computador {2}.</v>
          </cell>
          <cell r="G296" t="str">
            <v/>
          </cell>
          <cell r="H296">
            <v>0</v>
          </cell>
          <cell r="I296">
            <v>0</v>
          </cell>
          <cell r="J296" t="str">
            <v>SystemAlarm</v>
          </cell>
          <cell r="K296" t="str">
            <v>Severidade 14</v>
          </cell>
          <cell r="L296" t="str">
            <v>Severidade 16</v>
          </cell>
          <cell r="M296" t="b">
            <v>0</v>
          </cell>
        </row>
        <row r="297">
          <cell r="A297" t="str">
            <v>Health Monitor Service Warning Cleared</v>
          </cell>
          <cell r="B297" t="str">
            <v/>
          </cell>
          <cell r="C297" t="str">
            <v/>
          </cell>
          <cell r="D297" t="str">
            <v>SYSTEM_HEALTHMONITOR_CLEARWARNING_14</v>
          </cell>
          <cell r="E297" t="b">
            <v>0</v>
          </cell>
          <cell r="F297" t="str">
            <v>A condição de aviso {0} foi limpa para o serviço {1} no computador {2}.</v>
          </cell>
          <cell r="G297" t="str">
            <v/>
          </cell>
          <cell r="H297">
            <v>0</v>
          </cell>
          <cell r="I297">
            <v>0</v>
          </cell>
          <cell r="J297" t="str">
            <v>SystemAlarm</v>
          </cell>
          <cell r="K297" t="str">
            <v>Severidade 14</v>
          </cell>
          <cell r="L297" t="str">
            <v>Severidade 16</v>
          </cell>
          <cell r="M297" t="b">
            <v>0</v>
          </cell>
        </row>
        <row r="298">
          <cell r="A298" t="str">
            <v>Health Monitor Shutdown Failed Dependant Services Running</v>
          </cell>
          <cell r="B298" t="str">
            <v/>
          </cell>
          <cell r="C298" t="str">
            <v/>
          </cell>
          <cell r="D298" t="str">
            <v>SYSTEM_HEALTHMONITOR_ARBITRATIONDEPENDENTNONOASYSDNASERVICE_23</v>
          </cell>
          <cell r="E298" t="b">
            <v>0</v>
          </cell>
          <cell r="F298" t="str">
            <v>Tentativa de desligar o serviço {0} no computador {1} falhou porque os seguintes serviços dependentes do Windows ({2}) ainda estão em execução. Você deve desligá-los manualmente antes que o desligamento automático possa continuar.</v>
          </cell>
          <cell r="G298" t="str">
            <v/>
          </cell>
          <cell r="H298">
            <v>0</v>
          </cell>
          <cell r="I298">
            <v>0</v>
          </cell>
          <cell r="J298" t="str">
            <v>SystemAlarm</v>
          </cell>
          <cell r="K298" t="str">
            <v>Severidade 14</v>
          </cell>
          <cell r="L298" t="str">
            <v>Severidade 16</v>
          </cell>
          <cell r="M298" t="b">
            <v>0</v>
          </cell>
        </row>
        <row r="299">
          <cell r="A299" t="str">
            <v>Health Monitor Shutdown Failed No Partner</v>
          </cell>
          <cell r="B299" t="str">
            <v/>
          </cell>
          <cell r="C299" t="str">
            <v/>
          </cell>
          <cell r="D299" t="str">
            <v>SYSTEM_HEALTHMONITOR_ARBITRATIONNOPARTNER_6</v>
          </cell>
          <cell r="E299" t="b">
            <v>0</v>
          </cell>
          <cell r="F299" t="str">
            <v>Tentativa de desligar o serviço {0} no computador {1} falhou porque não há máquina parceira.</v>
          </cell>
          <cell r="G299" t="str">
            <v/>
          </cell>
          <cell r="H299">
            <v>0</v>
          </cell>
          <cell r="I299">
            <v>0</v>
          </cell>
          <cell r="J299" t="str">
            <v>SystemAlarm</v>
          </cell>
          <cell r="K299" t="str">
            <v>Severidade 14</v>
          </cell>
          <cell r="L299" t="str">
            <v>Severidade 16</v>
          </cell>
          <cell r="M299" t="b">
            <v>0</v>
          </cell>
        </row>
        <row r="300">
          <cell r="A300" t="str">
            <v>Health Monitor Shutdown Failed No Standby</v>
          </cell>
          <cell r="B300" t="str">
            <v/>
          </cell>
          <cell r="C300" t="str">
            <v/>
          </cell>
          <cell r="D300" t="str">
            <v>SYSTEM_HEALTHMONITOR_ARBITRATIONNOSTANDBY_7</v>
          </cell>
          <cell r="E300" t="b">
            <v>0</v>
          </cell>
          <cell r="F300" t="str">
            <v>Tentativa de desligar o serviço {0} no computador {1} falhou porque o modo de espera não está disponível.</v>
          </cell>
          <cell r="G300" t="str">
            <v/>
          </cell>
          <cell r="H300">
            <v>0</v>
          </cell>
          <cell r="I300">
            <v>0</v>
          </cell>
          <cell r="J300" t="str">
            <v>SystemAlarm</v>
          </cell>
          <cell r="K300" t="str">
            <v>Severidade 14</v>
          </cell>
          <cell r="L300" t="str">
            <v>Severidade 16</v>
          </cell>
          <cell r="M300" t="b">
            <v>0</v>
          </cell>
        </row>
        <row r="301">
          <cell r="A301" t="str">
            <v>Health Monitor Shutdown Failed Service Busy</v>
          </cell>
          <cell r="B301" t="str">
            <v/>
          </cell>
          <cell r="C301" t="str">
            <v/>
          </cell>
          <cell r="D301" t="str">
            <v>SYSTEM_HEALTHMONITOR_ARBITRATIONSERVICEBUSY_15</v>
          </cell>
          <cell r="E301" t="b">
            <v>0</v>
          </cell>
          <cell r="F301" t="str">
            <v>Tentativa de desligar o serviço {0} no computador {1} falhou porque o serviço está ocupado no momento (Estado = {2}).</v>
          </cell>
          <cell r="G301" t="str">
            <v/>
          </cell>
          <cell r="H301">
            <v>0</v>
          </cell>
          <cell r="I301">
            <v>0</v>
          </cell>
          <cell r="J301" t="str">
            <v>SystemAlarm</v>
          </cell>
          <cell r="K301" t="str">
            <v>Severidade 14</v>
          </cell>
          <cell r="L301" t="str">
            <v>Severidade 16</v>
          </cell>
          <cell r="M301" t="b">
            <v>0</v>
          </cell>
        </row>
        <row r="302">
          <cell r="A302" t="str">
            <v>Health Monitor Specific Shutdown Conditions Cleared</v>
          </cell>
          <cell r="B302" t="str">
            <v/>
          </cell>
          <cell r="C302" t="str">
            <v/>
          </cell>
          <cell r="D302" t="str">
            <v>SYSTEM_HEALTHMONITOR_SHUTDOWNEVENT_21</v>
          </cell>
          <cell r="E302" t="b">
            <v>0</v>
          </cell>
          <cell r="F302" t="str">
            <v>O serviço {0} no computador {1} foi limpo de todas as condições de desligamento específicas do serviço, no entanto, uma condição de desligamento ainda existe porque um ou mais serviços pai ainda estão em uma condição de desligamento.</v>
          </cell>
          <cell r="G302" t="str">
            <v/>
          </cell>
          <cell r="H302">
            <v>0</v>
          </cell>
          <cell r="I302">
            <v>0</v>
          </cell>
          <cell r="J302" t="str">
            <v>SystemAlarm</v>
          </cell>
          <cell r="K302" t="str">
            <v>Severidade 14</v>
          </cell>
          <cell r="L302" t="str">
            <v>Severidade 16</v>
          </cell>
          <cell r="M302" t="b">
            <v>0</v>
          </cell>
        </row>
        <row r="303">
          <cell r="A303" t="str">
            <v>Health Monitor TRAP Device Failure</v>
          </cell>
          <cell r="B303" t="str">
            <v/>
          </cell>
          <cell r="C303" t="str">
            <v/>
          </cell>
          <cell r="D303" t="str">
            <v>SYSTEM_HEALTHMONITOR_TRAPDEVICEMESSAGE_23</v>
          </cell>
          <cell r="E303" t="b">
            <v>0</v>
          </cell>
          <cell r="F303" t="str">
            <v>Mensagem TRAP recebida. Dispositivo: {0}. Mensagem: {1}</v>
          </cell>
          <cell r="G303" t="str">
            <v/>
          </cell>
          <cell r="H303">
            <v>0</v>
          </cell>
          <cell r="I303">
            <v>0</v>
          </cell>
          <cell r="J303" t="str">
            <v>SystemAlarm</v>
          </cell>
          <cell r="K303" t="str">
            <v>Severidade 14</v>
          </cell>
          <cell r="L303" t="str">
            <v>Severidade 16</v>
          </cell>
          <cell r="M303" t="b">
            <v>0</v>
          </cell>
        </row>
        <row r="304">
          <cell r="A304" t="str">
            <v>HighTopologyProcessingLatency</v>
          </cell>
          <cell r="B304" t="str">
            <v/>
          </cell>
          <cell r="C304" t="str">
            <v/>
          </cell>
          <cell r="D304" t="str">
            <v>DMS_MTS_HIGHACTIVITYMODE</v>
          </cell>
          <cell r="E304" t="b">
            <v>0</v>
          </cell>
          <cell r="F304" t="str">
            <v>Alta atividade de comutação é detectada. Para melhorar a resposta do sistema, interrupções recentes de curta duração podem não ter sido registradas.</v>
          </cell>
          <cell r="G304" t="str">
            <v/>
          </cell>
          <cell r="H304">
            <v>0</v>
          </cell>
          <cell r="I304">
            <v>0</v>
          </cell>
          <cell r="J304" t="str">
            <v>ApplicationAlarm</v>
          </cell>
          <cell r="K304" t="str">
            <v>Severidade 10</v>
          </cell>
          <cell r="L304" t="str">
            <v>Severidade 16</v>
          </cell>
          <cell r="M304" t="b">
            <v>0</v>
          </cell>
        </row>
        <row r="305">
          <cell r="A305" t="str">
            <v>ICCP Block 4 plugin failure</v>
          </cell>
          <cell r="B305" t="str">
            <v/>
          </cell>
          <cell r="C305" t="str">
            <v/>
          </cell>
          <cell r="D305" t="str">
            <v>ICCP_BLOCK4_PLUGIN_FAILURE</v>
          </cell>
          <cell r="E305" t="b">
            <v>1</v>
          </cell>
          <cell r="F305" t="str">
            <v>O plug-in do bloco 4 do ICCP '{0}' falhou ao processar a mensagem recebida.</v>
          </cell>
          <cell r="G305" t="str">
            <v/>
          </cell>
          <cell r="H305">
            <v>0</v>
          </cell>
          <cell r="I305">
            <v>0</v>
          </cell>
          <cell r="J305" t="str">
            <v>ApplicationAlarm</v>
          </cell>
          <cell r="K305" t="str">
            <v>Severidade 16</v>
          </cell>
          <cell r="L305" t="str">
            <v>Severidade 16</v>
          </cell>
          <cell r="M305" t="b">
            <v>0</v>
          </cell>
        </row>
        <row r="306">
          <cell r="A306" t="str">
            <v>ICCP Secure Failure</v>
          </cell>
          <cell r="B306" t="str">
            <v/>
          </cell>
          <cell r="C306" t="str">
            <v/>
          </cell>
          <cell r="D306" t="str">
            <v>ICCP_SECURE_FAILURE</v>
          </cell>
          <cell r="E306" t="b">
            <v>1</v>
          </cell>
          <cell r="F306" t="str">
            <v>Ocorreu uma violação segura do ICCP (ID do evento: {0}). Verifique os detalhes para obter mais informações.</v>
          </cell>
          <cell r="G306" t="str">
            <v/>
          </cell>
          <cell r="H306">
            <v>0</v>
          </cell>
          <cell r="I306">
            <v>0</v>
          </cell>
          <cell r="J306" t="str">
            <v>ApplicationAlarm</v>
          </cell>
          <cell r="K306" t="str">
            <v>Severidade 16</v>
          </cell>
          <cell r="L306" t="str">
            <v>Severidade 16</v>
          </cell>
          <cell r="M306" t="b">
            <v>0</v>
          </cell>
        </row>
        <row r="307">
          <cell r="A307" t="str">
            <v>Inadequate protection settings</v>
          </cell>
          <cell r="B307" t="str">
            <v/>
          </cell>
          <cell r="C307" t="str">
            <v/>
          </cell>
          <cell r="D307" t="str">
            <v>DMS_CFS_PE_BAD_SETTING</v>
          </cell>
          <cell r="E307" t="b">
            <v>0</v>
          </cell>
          <cell r="F307" t="str">
            <v>A configuração de proteção do dispositivo não é adequada.</v>
          </cell>
          <cell r="G307" t="str">
            <v/>
          </cell>
          <cell r="H307">
            <v>0</v>
          </cell>
          <cell r="I307">
            <v>0</v>
          </cell>
          <cell r="J307" t="str">
            <v>ApplicationAlarm</v>
          </cell>
          <cell r="K307" t="str">
            <v>Severidade 10</v>
          </cell>
          <cell r="L307" t="str">
            <v>Severidade 16</v>
          </cell>
          <cell r="M307" t="b">
            <v>0</v>
          </cell>
        </row>
        <row r="308">
          <cell r="A308" t="str">
            <v>Incident affecting predefined load</v>
          </cell>
          <cell r="B308" t="str">
            <v/>
          </cell>
          <cell r="C308" t="str">
            <v/>
          </cell>
          <cell r="D308" t="str">
            <v>OMS_ALARM_HIGH_AFFECTED_LOAD_INC_CREATED</v>
          </cell>
          <cell r="E308" t="b">
            <v>0</v>
          </cell>
          <cell r="F308" t="str">
            <v>Um incidente {0} com mais de {1} kW de carga afetada criado []</v>
          </cell>
          <cell r="G308" t="str">
            <v/>
          </cell>
          <cell r="H308">
            <v>0</v>
          </cell>
          <cell r="I308">
            <v>0</v>
          </cell>
          <cell r="J308" t="str">
            <v>ApplicationAlarm</v>
          </cell>
          <cell r="K308" t="str">
            <v>Severidade 10</v>
          </cell>
          <cell r="L308" t="str">
            <v>Severidade 16</v>
          </cell>
          <cell r="M308" t="b">
            <v>0</v>
          </cell>
        </row>
        <row r="309">
          <cell r="A309" t="str">
            <v>Incident created from SCADA</v>
          </cell>
          <cell r="B309" t="str">
            <v/>
          </cell>
          <cell r="C309" t="str">
            <v>ALOS</v>
          </cell>
          <cell r="D309" t="str">
            <v>OMS_ALARM_INC_CREATED_ON_TRIP_SCADA_DEV</v>
          </cell>
          <cell r="E309" t="b">
            <v>0</v>
          </cell>
          <cell r="F309" t="str">
            <v>ALOS - {0} gerada por dispositivo SCADA []</v>
          </cell>
          <cell r="G309" t="str">
            <v/>
          </cell>
          <cell r="H309">
            <v>0</v>
          </cell>
          <cell r="I309">
            <v>0</v>
          </cell>
          <cell r="J309" t="str">
            <v>ApplicationAlarm</v>
          </cell>
          <cell r="K309" t="str">
            <v>Severidade 6</v>
          </cell>
          <cell r="L309" t="str">
            <v>Severidade 16</v>
          </cell>
          <cell r="M309" t="b">
            <v>0</v>
          </cell>
        </row>
        <row r="310">
          <cell r="A310" t="str">
            <v>Incident ETR aproaching</v>
          </cell>
          <cell r="B310" t="str">
            <v/>
          </cell>
          <cell r="C310" t="str">
            <v/>
          </cell>
          <cell r="D310" t="str">
            <v>OMS_ALARM_INCIDENT_ETR_APPROACHING</v>
          </cell>
          <cell r="E310" t="b">
            <v>0</v>
          </cell>
          <cell r="F310" t="str">
            <v>Incidente {0} ETR {1} se aproximando em {2} minutos</v>
          </cell>
          <cell r="G310" t="str">
            <v/>
          </cell>
          <cell r="H310">
            <v>0</v>
          </cell>
          <cell r="I310">
            <v>0</v>
          </cell>
          <cell r="J310" t="str">
            <v>ApplicationAlarm</v>
          </cell>
          <cell r="K310" t="str">
            <v>Severidade 10</v>
          </cell>
          <cell r="L310" t="str">
            <v>Severidade 16</v>
          </cell>
          <cell r="M310" t="b">
            <v>0</v>
          </cell>
        </row>
        <row r="311">
          <cell r="A311" t="str">
            <v>Incident ETR passed</v>
          </cell>
          <cell r="B311" t="str">
            <v/>
          </cell>
          <cell r="C311" t="str">
            <v/>
          </cell>
          <cell r="D311" t="str">
            <v>OMS_ALARM_INCIDENT_ETR_PASSED</v>
          </cell>
          <cell r="E311" t="b">
            <v>0</v>
          </cell>
          <cell r="F311" t="str">
            <v>Incidente {0} previsão de atendimento {1} ultrapassou</v>
          </cell>
          <cell r="G311" t="str">
            <v/>
          </cell>
          <cell r="H311">
            <v>0</v>
          </cell>
          <cell r="I311">
            <v>0</v>
          </cell>
          <cell r="J311" t="str">
            <v>ApplicationAlarm</v>
          </cell>
          <cell r="K311" t="str">
            <v>Severidade 10</v>
          </cell>
          <cell r="L311" t="str">
            <v>Severidade 16</v>
          </cell>
          <cell r="M311" t="b">
            <v>0</v>
          </cell>
        </row>
        <row r="312">
          <cell r="A312" t="str">
            <v>Incident is lasting too long</v>
          </cell>
          <cell r="B312" t="str">
            <v/>
          </cell>
          <cell r="C312" t="str">
            <v/>
          </cell>
          <cell r="D312" t="str">
            <v>OMS_ALARM_INCIDENT_DURATION_IS_LONG</v>
          </cell>
          <cell r="E312" t="b">
            <v>0</v>
          </cell>
          <cell r="F312" t="str">
            <v>{0} a duração do incidente é superior a {1} horas</v>
          </cell>
          <cell r="G312" t="str">
            <v/>
          </cell>
          <cell r="H312">
            <v>0</v>
          </cell>
          <cell r="I312">
            <v>0</v>
          </cell>
          <cell r="J312" t="str">
            <v>ApplicationAlarm</v>
          </cell>
          <cell r="K312" t="str">
            <v>Severidade 14</v>
          </cell>
          <cell r="L312" t="str">
            <v>Severidade 16</v>
          </cell>
          <cell r="M312" t="b">
            <v>0</v>
          </cell>
        </row>
        <row r="313">
          <cell r="A313" t="str">
            <v>Incident with critical load/number of customers</v>
          </cell>
          <cell r="B313" t="str">
            <v/>
          </cell>
          <cell r="C313" t="str">
            <v/>
          </cell>
          <cell r="D313" t="str">
            <v>OMS_ALARM_HIGH_CRITICAL_LOAD_AND_NUM_CUST_INC</v>
          </cell>
          <cell r="E313" t="b">
            <v>0</v>
          </cell>
          <cell r="F313" t="str">
            <v>Ocorreu um incidente {0} que afeta mais de {1} clientes críticos ou carga crítica de {2} kW []</v>
          </cell>
          <cell r="G313" t="str">
            <v/>
          </cell>
          <cell r="H313">
            <v>0</v>
          </cell>
          <cell r="I313">
            <v>0</v>
          </cell>
          <cell r="J313" t="str">
            <v>ApplicationAlarm</v>
          </cell>
          <cell r="K313" t="str">
            <v>Severidade 10</v>
          </cell>
          <cell r="L313" t="str">
            <v>Severidade 16</v>
          </cell>
          <cell r="M313" t="b">
            <v>0</v>
          </cell>
        </row>
        <row r="314">
          <cell r="A314" t="str">
            <v>Initialization sequence failed</v>
          </cell>
          <cell r="B314" t="str">
            <v/>
          </cell>
          <cell r="C314" t="str">
            <v/>
          </cell>
          <cell r="D314" t="str">
            <v>FEP_INIT_SEQUENCE_FAILED</v>
          </cell>
          <cell r="E314" t="b">
            <v>0</v>
          </cell>
          <cell r="F314" t="str">
            <v>Falha na execução do comando da sequência de inicialização. Tipo de comando: {0}, Motivo: {1}.</v>
          </cell>
          <cell r="G314" t="str">
            <v/>
          </cell>
          <cell r="H314">
            <v>0</v>
          </cell>
          <cell r="I314">
            <v>0</v>
          </cell>
          <cell r="J314" t="str">
            <v>ApplicationAlarm</v>
          </cell>
          <cell r="K314" t="str">
            <v>Severidade 9</v>
          </cell>
          <cell r="L314" t="str">
            <v>Severidade 16</v>
          </cell>
          <cell r="M314" t="b">
            <v>0</v>
          </cell>
        </row>
        <row r="315">
          <cell r="A315" t="str">
            <v>Initialization sequence failed a preconfigured number of times</v>
          </cell>
          <cell r="B315" t="str">
            <v/>
          </cell>
          <cell r="C315" t="str">
            <v>UTRNR</v>
          </cell>
          <cell r="D315" t="str">
            <v>FEP_INIT_SEQUENCE_FAILED_PRECONF_NUMBER_OF_TIMES</v>
          </cell>
          <cell r="E315" t="b">
            <v>1</v>
          </cell>
          <cell r="F315" t="str">
            <v>UTRNR - A sequência de inicialização falhou {0} vezes []</v>
          </cell>
          <cell r="G315" t="str">
            <v/>
          </cell>
          <cell r="H315">
            <v>360</v>
          </cell>
          <cell r="I315">
            <v>0</v>
          </cell>
          <cell r="J315" t="str">
            <v>ApplicationAlarm</v>
          </cell>
          <cell r="K315" t="str">
            <v>Severidade 9</v>
          </cell>
          <cell r="L315" t="str">
            <v>Severidade 16</v>
          </cell>
          <cell r="M315" t="b">
            <v>0</v>
          </cell>
        </row>
        <row r="316">
          <cell r="A316" t="str">
            <v>Initialization sequence partially succeeded</v>
          </cell>
          <cell r="B316" t="str">
            <v/>
          </cell>
          <cell r="C316" t="str">
            <v/>
          </cell>
          <cell r="D316" t="str">
            <v>FEP_INIT_SEQUENCE_PARTIAL_SUCCESS</v>
          </cell>
          <cell r="E316" t="b">
            <v>0</v>
          </cell>
          <cell r="F316" t="str">
            <v>Seqüência de inicialização parcialmente bem-sucedida. Tipo de comando: {0}, Motivo: {1}.</v>
          </cell>
          <cell r="G316" t="str">
            <v>Seqüência de inicialização parcialmente bem-sucedida.</v>
          </cell>
          <cell r="H316">
            <v>0</v>
          </cell>
          <cell r="I316">
            <v>0</v>
          </cell>
          <cell r="J316" t="str">
            <v>ApplicationAlarm</v>
          </cell>
          <cell r="K316" t="str">
            <v>Severidade 16</v>
          </cell>
          <cell r="L316" t="str">
            <v>Severidade 16</v>
          </cell>
          <cell r="M316" t="b">
            <v>0</v>
          </cell>
        </row>
        <row r="317">
          <cell r="A317" t="str">
            <v>Integration alarm</v>
          </cell>
          <cell r="B317" t="str">
            <v/>
          </cell>
          <cell r="C317" t="str">
            <v/>
          </cell>
          <cell r="D317" t="str">
            <v>DMS_INTEGRATION_ALARM</v>
          </cell>
          <cell r="E317" t="b">
            <v>0</v>
          </cell>
          <cell r="F317" t="str">
            <v>{0}</v>
          </cell>
          <cell r="G317" t="str">
            <v/>
          </cell>
          <cell r="H317">
            <v>0</v>
          </cell>
          <cell r="I317">
            <v>0</v>
          </cell>
          <cell r="J317" t="str">
            <v>SystemAlarm</v>
          </cell>
          <cell r="K317" t="str">
            <v>Severidade 10</v>
          </cell>
          <cell r="L317" t="str">
            <v>Severidade 16</v>
          </cell>
          <cell r="M317" t="b">
            <v>0</v>
          </cell>
        </row>
        <row r="318">
          <cell r="A318" t="str">
            <v>Interchange deviation over limits</v>
          </cell>
          <cell r="B318" t="str">
            <v/>
          </cell>
          <cell r="C318" t="str">
            <v/>
          </cell>
          <cell r="D318" t="str">
            <v>MGMS_ADC_INTERCHANGE_DEVIATION</v>
          </cell>
          <cell r="E318" t="b">
            <v>1</v>
          </cell>
          <cell r="F318" t="str">
            <v>O desvio de intercâmbio {0} está acima do seu limite {1} pelo valor absoluto.</v>
          </cell>
          <cell r="G318" t="str">
            <v/>
          </cell>
          <cell r="H318">
            <v>0</v>
          </cell>
          <cell r="I318">
            <v>0</v>
          </cell>
          <cell r="J318" t="str">
            <v>ApplicationAlarm</v>
          </cell>
          <cell r="K318" t="str">
            <v>Severidade 10</v>
          </cell>
          <cell r="L318" t="str">
            <v>Severidade 16</v>
          </cell>
          <cell r="M318" t="b">
            <v>0</v>
          </cell>
        </row>
        <row r="319">
          <cell r="A319" t="str">
            <v>Interchange deviation over limits_1</v>
          </cell>
          <cell r="B319" t="str">
            <v/>
          </cell>
          <cell r="C319" t="str">
            <v/>
          </cell>
          <cell r="D319" t="str">
            <v>GMS_AGC_INTERCHANGE_DEVIATION</v>
          </cell>
          <cell r="E319" t="b">
            <v>1</v>
          </cell>
          <cell r="F319" t="str">
            <v>O desvio de intercâmbio {0} está acima do seu limite {1} pelo valor absoluto.</v>
          </cell>
          <cell r="G319" t="str">
            <v/>
          </cell>
          <cell r="H319">
            <v>0</v>
          </cell>
          <cell r="I319">
            <v>0</v>
          </cell>
          <cell r="J319" t="str">
            <v>ApplicationAlarm</v>
          </cell>
          <cell r="K319" t="str">
            <v>Severidade 10</v>
          </cell>
          <cell r="L319" t="str">
            <v>Severidade 16</v>
          </cell>
          <cell r="M319" t="b">
            <v>0</v>
          </cell>
        </row>
        <row r="320">
          <cell r="A320" t="str">
            <v>Interchange deviation returned to normal</v>
          </cell>
          <cell r="B320" t="str">
            <v/>
          </cell>
          <cell r="C320" t="str">
            <v/>
          </cell>
          <cell r="D320" t="str">
            <v>GMS_AGC_INTERCHANGE_DEVIATION_RTN</v>
          </cell>
          <cell r="E320" t="b">
            <v>1</v>
          </cell>
          <cell r="F320" t="str">
            <v>O desvio de intercâmbio {0} está dentro do seu limite.</v>
          </cell>
          <cell r="G320" t="str">
            <v/>
          </cell>
          <cell r="H320">
            <v>0</v>
          </cell>
          <cell r="I320">
            <v>0</v>
          </cell>
          <cell r="J320" t="str">
            <v>ApplicationAlarm</v>
          </cell>
          <cell r="K320" t="str">
            <v>Severidade 10</v>
          </cell>
          <cell r="L320" t="str">
            <v>Severidade 16</v>
          </cell>
          <cell r="M320" t="b">
            <v>0</v>
          </cell>
        </row>
        <row r="321">
          <cell r="A321" t="str">
            <v>Interchange deviation returned to normal_1</v>
          </cell>
          <cell r="B321" t="str">
            <v/>
          </cell>
          <cell r="C321" t="str">
            <v/>
          </cell>
          <cell r="D321" t="str">
            <v>MGMS_ADC_INTERCHANGE_DEVIATION_RTN</v>
          </cell>
          <cell r="E321" t="b">
            <v>1</v>
          </cell>
          <cell r="F321" t="str">
            <v>O desvio de intercâmbio {0} está dentro do seu limite.</v>
          </cell>
          <cell r="G321" t="str">
            <v/>
          </cell>
          <cell r="H321">
            <v>0</v>
          </cell>
          <cell r="I321">
            <v>0</v>
          </cell>
          <cell r="J321" t="str">
            <v>ApplicationAlarm</v>
          </cell>
          <cell r="K321" t="str">
            <v>Severidade 10</v>
          </cell>
          <cell r="L321" t="str">
            <v>Severidade 16</v>
          </cell>
          <cell r="M321" t="b">
            <v>0</v>
          </cell>
        </row>
        <row r="322">
          <cell r="A322" t="str">
            <v>Internal Indication Response Failed Event</v>
          </cell>
          <cell r="B322" t="str">
            <v/>
          </cell>
          <cell r="C322" t="str">
            <v/>
          </cell>
          <cell r="D322" t="str">
            <v>FEP_IIN_FAILED_EVENT</v>
          </cell>
          <cell r="E322" t="b">
            <v>0</v>
          </cell>
          <cell r="F322" t="str">
            <v>A ação {0} falhou em resposta ao bit IIN {1}.</v>
          </cell>
          <cell r="G322" t="str">
            <v/>
          </cell>
          <cell r="H322">
            <v>0</v>
          </cell>
          <cell r="I322">
            <v>0</v>
          </cell>
          <cell r="J322" t="str">
            <v>ApplicationAlarm</v>
          </cell>
          <cell r="K322" t="str">
            <v>Severidade 16</v>
          </cell>
          <cell r="L322" t="str">
            <v>Severidade 16</v>
          </cell>
          <cell r="M322" t="b">
            <v>0</v>
          </cell>
        </row>
        <row r="323">
          <cell r="A323" t="str">
            <v>Invalid note detected</v>
          </cell>
          <cell r="B323" t="str">
            <v/>
          </cell>
          <cell r="C323" t="str">
            <v/>
          </cell>
          <cell r="D323" t="str">
            <v>DMS_NOTE_INVALID_DETECTED</v>
          </cell>
          <cell r="E323" t="b">
            <v>0</v>
          </cell>
          <cell r="F323" t="str">
            <v>A nota foi invalidada {0}.</v>
          </cell>
          <cell r="G323" t="str">
            <v/>
          </cell>
          <cell r="H323">
            <v>0</v>
          </cell>
          <cell r="I323">
            <v>0</v>
          </cell>
          <cell r="J323" t="str">
            <v>ApplicationAlarm</v>
          </cell>
          <cell r="K323" t="str">
            <v>Severidade 16</v>
          </cell>
          <cell r="L323" t="str">
            <v>Severidade 16</v>
          </cell>
          <cell r="M323" t="b">
            <v>0</v>
          </cell>
        </row>
        <row r="324">
          <cell r="A324" t="str">
            <v>Invalid tag detected</v>
          </cell>
          <cell r="B324" t="str">
            <v/>
          </cell>
          <cell r="C324" t="str">
            <v/>
          </cell>
          <cell r="D324" t="str">
            <v>DMS_TAG_INVALID_DETECTED</v>
          </cell>
          <cell r="E324" t="b">
            <v>0</v>
          </cell>
          <cell r="F324" t="str">
            <v>A etiqueta foi invalidada {0}.</v>
          </cell>
          <cell r="G324" t="str">
            <v/>
          </cell>
          <cell r="H324">
            <v>0</v>
          </cell>
          <cell r="I324">
            <v>0</v>
          </cell>
          <cell r="J324" t="str">
            <v>ApplicationAlarm</v>
          </cell>
          <cell r="K324" t="str">
            <v>Severidade 16</v>
          </cell>
          <cell r="L324" t="str">
            <v>Severidade 16</v>
          </cell>
          <cell r="M324" t="b">
            <v>0</v>
          </cell>
        </row>
        <row r="325">
          <cell r="A325" t="str">
            <v>Invalid temporary element</v>
          </cell>
          <cell r="B325" t="str">
            <v/>
          </cell>
          <cell r="C325" t="str">
            <v/>
          </cell>
          <cell r="D325" t="str">
            <v>DMS_TEMPORARY_ELEMENT_INVALID_DETECTED</v>
          </cell>
          <cell r="E325" t="b">
            <v>0</v>
          </cell>
          <cell r="F325" t="str">
            <v>Elemento temporário inválido detectado.</v>
          </cell>
          <cell r="G325" t="str">
            <v/>
          </cell>
          <cell r="H325">
            <v>0</v>
          </cell>
          <cell r="I325">
            <v>0</v>
          </cell>
          <cell r="J325" t="str">
            <v>ApplicationAlarm</v>
          </cell>
          <cell r="K325" t="str">
            <v>Severidade 16</v>
          </cell>
          <cell r="L325" t="str">
            <v>Severidade 16</v>
          </cell>
          <cell r="M325" t="b">
            <v>0</v>
          </cell>
        </row>
        <row r="326">
          <cell r="A326" t="str">
            <v>Invalid timestamp on RTU</v>
          </cell>
          <cell r="B326" t="str">
            <v/>
          </cell>
          <cell r="C326" t="str">
            <v>DGNSIS</v>
          </cell>
          <cell r="D326" t="str">
            <v>RTU_INVALID_TIMESTAMP</v>
          </cell>
          <cell r="E326" t="b">
            <v>0</v>
          </cell>
          <cell r="F326" t="str">
            <v>DGNSIS - O registro de data e hora inválido existe em pelo menos um sinal da RTU.</v>
          </cell>
          <cell r="G326" t="str">
            <v/>
          </cell>
          <cell r="H326">
            <v>0</v>
          </cell>
          <cell r="I326">
            <v>0</v>
          </cell>
          <cell r="J326" t="str">
            <v>ApplicationAlarm</v>
          </cell>
          <cell r="K326" t="str">
            <v>Severidade 16</v>
          </cell>
          <cell r="L326" t="str">
            <v>Severidade 16</v>
          </cell>
          <cell r="M326" t="b">
            <v>0</v>
          </cell>
        </row>
        <row r="327">
          <cell r="A327" t="str">
            <v>Island confirmed</v>
          </cell>
          <cell r="B327" t="str">
            <v/>
          </cell>
          <cell r="C327" t="str">
            <v/>
          </cell>
          <cell r="D327" t="str">
            <v>DMS_CFS_ISLAND_CONFIRMED</v>
          </cell>
          <cell r="E327" t="b">
            <v>0</v>
          </cell>
          <cell r="F327" t="str">
            <v>Ilha confirmada.</v>
          </cell>
          <cell r="G327" t="str">
            <v/>
          </cell>
          <cell r="H327">
            <v>0</v>
          </cell>
          <cell r="I327">
            <v>0</v>
          </cell>
          <cell r="J327" t="str">
            <v>ApplicationAlarm</v>
          </cell>
          <cell r="K327" t="str">
            <v>Severidade 10</v>
          </cell>
          <cell r="L327" t="str">
            <v>Severidade 16</v>
          </cell>
          <cell r="M327" t="b">
            <v>0</v>
          </cell>
        </row>
        <row r="328">
          <cell r="A328" t="str">
            <v>Island confirmed returned to normal</v>
          </cell>
          <cell r="B328" t="str">
            <v/>
          </cell>
          <cell r="C328" t="str">
            <v/>
          </cell>
          <cell r="D328" t="str">
            <v>DMS_CFS_RTN_ISLAND_CONFIRMED</v>
          </cell>
          <cell r="E328" t="b">
            <v>0</v>
          </cell>
          <cell r="F328" t="str">
            <v>Ilha não confirmada.</v>
          </cell>
          <cell r="G328" t="str">
            <v/>
          </cell>
          <cell r="H328">
            <v>0</v>
          </cell>
          <cell r="I328">
            <v>0</v>
          </cell>
          <cell r="J328" t="str">
            <v>ApplicationAlarm</v>
          </cell>
          <cell r="K328" t="str">
            <v>Severidade 10</v>
          </cell>
          <cell r="L328" t="str">
            <v>Severidade 16</v>
          </cell>
          <cell r="M328" t="b">
            <v>0</v>
          </cell>
        </row>
        <row r="329">
          <cell r="A329" t="str">
            <v>ISPS Client Connected</v>
          </cell>
          <cell r="B329" t="str">
            <v/>
          </cell>
          <cell r="C329" t="str">
            <v/>
          </cell>
          <cell r="D329" t="str">
            <v>SYSTEM_ISPS_ISPSCONNECTED_1</v>
          </cell>
          <cell r="E329" t="b">
            <v>0</v>
          </cell>
          <cell r="F329" t="str">
            <v>Conectado ao servidor {0}.</v>
          </cell>
          <cell r="G329" t="str">
            <v/>
          </cell>
          <cell r="H329">
            <v>0</v>
          </cell>
          <cell r="I329">
            <v>0</v>
          </cell>
          <cell r="J329" t="str">
            <v>SystemAlarm</v>
          </cell>
          <cell r="K329" t="str">
            <v>Severidade 14</v>
          </cell>
          <cell r="L329" t="str">
            <v>Severidade 16</v>
          </cell>
          <cell r="M329" t="b">
            <v>0</v>
          </cell>
        </row>
        <row r="330">
          <cell r="A330" t="str">
            <v>ISPS Client Disconnected</v>
          </cell>
          <cell r="B330" t="str">
            <v/>
          </cell>
          <cell r="C330" t="str">
            <v/>
          </cell>
          <cell r="D330" t="str">
            <v>SYSTEM_ISPS_ISPSDISCONNECTED_2</v>
          </cell>
          <cell r="E330" t="b">
            <v>0</v>
          </cell>
          <cell r="F330" t="str">
            <v>Conexão perdida com o servidor {0}.</v>
          </cell>
          <cell r="G330" t="str">
            <v/>
          </cell>
          <cell r="H330">
            <v>0</v>
          </cell>
          <cell r="I330">
            <v>0</v>
          </cell>
          <cell r="J330" t="str">
            <v>SystemAlarm</v>
          </cell>
          <cell r="K330" t="str">
            <v>Severidade 14</v>
          </cell>
          <cell r="L330" t="str">
            <v>Severidade 16</v>
          </cell>
          <cell r="M330" t="b">
            <v>0</v>
          </cell>
        </row>
        <row r="331">
          <cell r="A331" t="str">
            <v>ISPS Server Connected</v>
          </cell>
          <cell r="B331" t="str">
            <v/>
          </cell>
          <cell r="C331" t="str">
            <v/>
          </cell>
          <cell r="D331" t="str">
            <v>SYSTEM_ISPS_ISPSCONNECTED_3</v>
          </cell>
          <cell r="E331" t="b">
            <v>0</v>
          </cell>
          <cell r="F331" t="str">
            <v>Conectado ao cliente {0}.</v>
          </cell>
          <cell r="G331" t="str">
            <v/>
          </cell>
          <cell r="H331">
            <v>0</v>
          </cell>
          <cell r="I331">
            <v>0</v>
          </cell>
          <cell r="J331" t="str">
            <v>SystemAlarm</v>
          </cell>
          <cell r="K331" t="str">
            <v>Severidade 14</v>
          </cell>
          <cell r="L331" t="str">
            <v>Severidade 16</v>
          </cell>
          <cell r="M331" t="b">
            <v>0</v>
          </cell>
        </row>
        <row r="332">
          <cell r="A332" t="str">
            <v>ISPS Server Disconnected</v>
          </cell>
          <cell r="B332" t="str">
            <v/>
          </cell>
          <cell r="C332" t="str">
            <v/>
          </cell>
          <cell r="D332" t="str">
            <v>SYSTEM_ISPS_ISPSDISCONNECTED_4</v>
          </cell>
          <cell r="E332" t="b">
            <v>0</v>
          </cell>
          <cell r="F332" t="str">
            <v>Conexão perdida com o cliente {0}.</v>
          </cell>
          <cell r="G332" t="str">
            <v/>
          </cell>
          <cell r="H332">
            <v>0</v>
          </cell>
          <cell r="I332">
            <v>0</v>
          </cell>
          <cell r="J332" t="str">
            <v>SystemAlarm</v>
          </cell>
          <cell r="K332" t="str">
            <v>Severidade 14</v>
          </cell>
          <cell r="L332" t="str">
            <v>Severidade 16</v>
          </cell>
          <cell r="M332" t="b">
            <v>0</v>
          </cell>
        </row>
        <row r="333">
          <cell r="A333" t="str">
            <v>License Expired</v>
          </cell>
          <cell r="B333" t="str">
            <v/>
          </cell>
          <cell r="C333" t="str">
            <v/>
          </cell>
          <cell r="D333" t="str">
            <v>SYSTEM_LICENSEINTEGRITY_LICENSEINTEGRITYERROR_0</v>
          </cell>
          <cell r="E333" t="b">
            <v>0</v>
          </cell>
          <cell r="F333" t="str">
            <v>{0}</v>
          </cell>
          <cell r="G333" t="str">
            <v/>
          </cell>
          <cell r="H333">
            <v>0</v>
          </cell>
          <cell r="I333">
            <v>0</v>
          </cell>
          <cell r="J333" t="str">
            <v>SystemAlarm</v>
          </cell>
          <cell r="K333" t="str">
            <v>Severidade 14</v>
          </cell>
          <cell r="L333" t="str">
            <v>Severidade 16</v>
          </cell>
          <cell r="M333" t="b">
            <v>0</v>
          </cell>
        </row>
        <row r="334">
          <cell r="A334" t="str">
            <v>License Expiring In 1 Hour</v>
          </cell>
          <cell r="B334" t="str">
            <v/>
          </cell>
          <cell r="C334" t="str">
            <v/>
          </cell>
          <cell r="D334" t="str">
            <v>SYSTEM_LICENSEINTEGRITY_LICENSEINTEGRITYWARNING_0</v>
          </cell>
          <cell r="E334" t="b">
            <v>0</v>
          </cell>
          <cell r="F334" t="str">
            <v>{0}</v>
          </cell>
          <cell r="G334" t="str">
            <v/>
          </cell>
          <cell r="H334">
            <v>0</v>
          </cell>
          <cell r="I334">
            <v>0</v>
          </cell>
          <cell r="J334" t="str">
            <v>SystemAlarm</v>
          </cell>
          <cell r="K334" t="str">
            <v>Severidade 14</v>
          </cell>
          <cell r="L334" t="str">
            <v>Severidade 16</v>
          </cell>
          <cell r="M334" t="b">
            <v>0</v>
          </cell>
        </row>
        <row r="335">
          <cell r="A335" t="str">
            <v>License Restored</v>
          </cell>
          <cell r="B335" t="str">
            <v/>
          </cell>
          <cell r="C335" t="str">
            <v/>
          </cell>
          <cell r="D335" t="str">
            <v>SYSTEM_LICENSEINTEGRITY_LICENSEVALID_0</v>
          </cell>
          <cell r="E335" t="b">
            <v>0</v>
          </cell>
          <cell r="F335" t="str">
            <v>{0}</v>
          </cell>
          <cell r="G335" t="str">
            <v/>
          </cell>
          <cell r="H335">
            <v>0</v>
          </cell>
          <cell r="I335">
            <v>0</v>
          </cell>
          <cell r="J335" t="str">
            <v>SystemAlarm</v>
          </cell>
          <cell r="K335" t="str">
            <v>Severidade 14</v>
          </cell>
          <cell r="L335" t="str">
            <v>Severidade 16</v>
          </cell>
          <cell r="M335" t="b">
            <v>0</v>
          </cell>
        </row>
        <row r="336">
          <cell r="A336" t="str">
            <v>Line overload aggregated returned to normal</v>
          </cell>
          <cell r="B336" t="str">
            <v/>
          </cell>
          <cell r="C336" t="str">
            <v/>
          </cell>
          <cell r="D336" t="str">
            <v>DMS_CFS_RTN_AGGREGATE_OVERLOAD_SECTION</v>
          </cell>
          <cell r="E336" t="b">
            <v>0</v>
          </cell>
          <cell r="F336" t="str">
            <v>Sobrecarga de linha agregada ao nível da subestação</v>
          </cell>
          <cell r="G336" t="str">
            <v/>
          </cell>
          <cell r="H336">
            <v>0</v>
          </cell>
          <cell r="I336">
            <v>0</v>
          </cell>
          <cell r="J336" t="str">
            <v>ApplicationAlarm</v>
          </cell>
          <cell r="K336" t="str">
            <v>Severidade 12</v>
          </cell>
          <cell r="L336" t="str">
            <v>Severidade 16</v>
          </cell>
          <cell r="M336" t="b">
            <v>0</v>
          </cell>
        </row>
        <row r="337">
          <cell r="A337" t="str">
            <v>Line overload aggregated returned to normal_1</v>
          </cell>
          <cell r="B337" t="str">
            <v/>
          </cell>
          <cell r="C337" t="str">
            <v/>
          </cell>
          <cell r="D337" t="str">
            <v>DMS_CFS_RTN_SUBSTATION_OVERLOAD_SECTION</v>
          </cell>
          <cell r="E337" t="b">
            <v>0</v>
          </cell>
          <cell r="F337" t="str">
            <v>{0} A seção Sobrecarga voltou ao normal em {1}.</v>
          </cell>
          <cell r="G337" t="str">
            <v/>
          </cell>
          <cell r="H337">
            <v>0</v>
          </cell>
          <cell r="I337">
            <v>0</v>
          </cell>
          <cell r="J337" t="str">
            <v>ApplicationAlarm</v>
          </cell>
          <cell r="K337" t="str">
            <v>Severidade 12</v>
          </cell>
          <cell r="L337" t="str">
            <v>Severidade 16</v>
          </cell>
          <cell r="M337" t="b">
            <v>0</v>
          </cell>
        </row>
        <row r="338">
          <cell r="A338" t="str">
            <v>Load relief canceled</v>
          </cell>
          <cell r="B338" t="str">
            <v/>
          </cell>
          <cell r="C338" t="str">
            <v/>
          </cell>
          <cell r="D338" t="str">
            <v>DMS_CFS_CL_LR_CANCELED</v>
          </cell>
          <cell r="E338" t="b">
            <v>0</v>
          </cell>
          <cell r="F338" t="str">
            <v>O alívio de carga foi cancelado devido a alterações nas condições de entrada.</v>
          </cell>
          <cell r="G338" t="str">
            <v>load relief is detected that there is no reason for the application to react anymore. For example, the last alarm is cleared (the overload value is lower than the configured limit, alarm disappeared â€“ resolved or the load relief status of the circuit is switched to Off) on a part of the network supplied by a substation for which the application was active. The load relief calculation will not be triggered or it is canceled. Load relief remains standby and no additional actions are required by the operator.</v>
          </cell>
          <cell r="H338">
            <v>0</v>
          </cell>
          <cell r="I338">
            <v>0</v>
          </cell>
          <cell r="J338" t="str">
            <v>ApplicationAlarm</v>
          </cell>
          <cell r="K338" t="str">
            <v>Severidade 12</v>
          </cell>
          <cell r="L338" t="str">
            <v>Severidade 16</v>
          </cell>
          <cell r="M338" t="b">
            <v>0</v>
          </cell>
        </row>
        <row r="339">
          <cell r="A339" t="str">
            <v>Load relief did not provide solution</v>
          </cell>
          <cell r="B339" t="str">
            <v/>
          </cell>
          <cell r="C339" t="str">
            <v/>
          </cell>
          <cell r="D339" t="str">
            <v>DMS_CFS_CL_LR_NOT_RESOLVED</v>
          </cell>
          <cell r="E339" t="b">
            <v>0</v>
          </cell>
          <cell r="F339" t="str">
            <v>O alívio de carga não forneceu solução.</v>
          </cell>
          <cell r="G339" t="str">
            <v>The load relief calculation is finished and the application proposed the results which cannot lead to the resolution of any violation on the elements supplied by a substation. Operation room personnel intervention is required to resolve detected violations.</v>
          </cell>
          <cell r="H339">
            <v>0</v>
          </cell>
          <cell r="I339">
            <v>0</v>
          </cell>
          <cell r="J339" t="str">
            <v>ApplicationAlarm</v>
          </cell>
          <cell r="K339" t="str">
            <v>Severidade 10</v>
          </cell>
          <cell r="L339" t="str">
            <v>Severidade 16</v>
          </cell>
          <cell r="M339" t="b">
            <v>0</v>
          </cell>
        </row>
        <row r="340">
          <cell r="A340" t="str">
            <v>Load relief initiated</v>
          </cell>
          <cell r="B340" t="str">
            <v/>
          </cell>
          <cell r="C340" t="str">
            <v/>
          </cell>
          <cell r="D340" t="str">
            <v>DMS_CFS_CL_LR_INITIATED</v>
          </cell>
          <cell r="E340" t="b">
            <v>0</v>
          </cell>
          <cell r="F340" t="str">
            <v>Alívio de carga iniciado.</v>
          </cell>
          <cell r="G340" t="str">
            <v>The first alarm occurrence is detected by the load relief on a part of the network supplied by the substation or the calculation is manually triggered. As a consequence, the load relief is no more in standby and it becomes active. No additional actions are required by the operator, although the operator may perform manual (re)trigger if it is necessary to obtain the solution instantaneously.</v>
          </cell>
          <cell r="H340">
            <v>0</v>
          </cell>
          <cell r="I340">
            <v>0</v>
          </cell>
          <cell r="J340" t="str">
            <v>ApplicationAlarm</v>
          </cell>
          <cell r="K340" t="str">
            <v>Severidade 12</v>
          </cell>
          <cell r="L340" t="str">
            <v>Severidade 16</v>
          </cell>
          <cell r="M340" t="b">
            <v>0</v>
          </cell>
        </row>
        <row r="341">
          <cell r="A341" t="str">
            <v>Load relief provided partial solution</v>
          </cell>
          <cell r="B341" t="str">
            <v/>
          </cell>
          <cell r="C341" t="str">
            <v/>
          </cell>
          <cell r="D341" t="str">
            <v>DMS_CFS_CL_LR_PARTIALLY_RESOLVED</v>
          </cell>
          <cell r="E341" t="b">
            <v>0</v>
          </cell>
          <cell r="F341" t="str">
            <v>O alívio de carga forneceu uma solução parcial. A sequência pode ser executada manualmente.</v>
          </cell>
          <cell r="G341" t="str">
            <v>The load relief calculation is finished and the application proposed the results which will lead to the resolution of some violations on the elements supplied by a substation. The sequence execution has to be performed manually by the operator.</v>
          </cell>
          <cell r="H341">
            <v>0</v>
          </cell>
          <cell r="I341">
            <v>0</v>
          </cell>
          <cell r="J341" t="str">
            <v>ApplicationAlarm</v>
          </cell>
          <cell r="K341" t="str">
            <v>Severidade 10</v>
          </cell>
          <cell r="L341" t="str">
            <v>Severidade 16</v>
          </cell>
          <cell r="M341" t="b">
            <v>0</v>
          </cell>
        </row>
        <row r="342">
          <cell r="A342" t="str">
            <v>Load relief provided solution</v>
          </cell>
          <cell r="B342" t="str">
            <v/>
          </cell>
          <cell r="C342" t="str">
            <v/>
          </cell>
          <cell r="D342" t="str">
            <v>DMS_CFS_CL_LR_RESOLVED</v>
          </cell>
          <cell r="E342" t="b">
            <v>0</v>
          </cell>
          <cell r="F342" t="str">
            <v>Solução fornecida com alívio de carga. A sequência pode ser executada manualmente.</v>
          </cell>
          <cell r="G342" t="str">
            <v>The load relief calculation is finished and the application proposed the results which will lead to the full resolution of all the violations on the elements supplied by a substation. Given that the substation is in the advisory state, the sequence execution has to be performed manually by the operator.</v>
          </cell>
          <cell r="H342">
            <v>0</v>
          </cell>
          <cell r="I342">
            <v>0</v>
          </cell>
          <cell r="J342" t="str">
            <v>ApplicationAlarm</v>
          </cell>
          <cell r="K342" t="str">
            <v>Severidade 10</v>
          </cell>
          <cell r="L342" t="str">
            <v>Severidade 16</v>
          </cell>
          <cell r="M342" t="b">
            <v>0</v>
          </cell>
        </row>
        <row r="343">
          <cell r="A343" t="str">
            <v>Load relief sequence executed successfully</v>
          </cell>
          <cell r="B343" t="str">
            <v/>
          </cell>
          <cell r="C343" t="str">
            <v/>
          </cell>
          <cell r="D343" t="str">
            <v>DMS_CFS_CL_LR_SEQUENCE_EXECUTED</v>
          </cell>
          <cell r="E343" t="b">
            <v>0</v>
          </cell>
          <cell r="F343" t="str">
            <v>Sequência de alívio de carga executada com sucesso.</v>
          </cell>
          <cell r="G343" t="str">
            <v>The automatic execution of the sequence is finished successfully. The network stabilization timer is activated. The operator may monitor the state of the network and condition of the alarms that caused load relief to react.</v>
          </cell>
          <cell r="H343">
            <v>0</v>
          </cell>
          <cell r="I343">
            <v>0</v>
          </cell>
          <cell r="J343" t="str">
            <v>ApplicationAlarm</v>
          </cell>
          <cell r="K343" t="str">
            <v>Severidade 10</v>
          </cell>
          <cell r="L343" t="str">
            <v>Severidade 16</v>
          </cell>
          <cell r="M343" t="b">
            <v>0</v>
          </cell>
        </row>
        <row r="344">
          <cell r="A344" t="str">
            <v>Load relief sequence execution failed</v>
          </cell>
          <cell r="B344" t="str">
            <v/>
          </cell>
          <cell r="C344" t="str">
            <v/>
          </cell>
          <cell r="D344" t="str">
            <v>DMS_CFS_CL_LR_SEQUENCE_FAILED</v>
          </cell>
          <cell r="E344" t="b">
            <v>0</v>
          </cell>
          <cell r="F344" t="str">
            <v>A sequência de alívio de carga falhou durante a execução.</v>
          </cell>
          <cell r="G344" t="str">
            <v>The automatic execution of the sequence is not finished successfully. Operation room personnel intervention is required to analyze the cause and perform additional actions to resolve detected violations.</v>
          </cell>
          <cell r="H344">
            <v>0</v>
          </cell>
          <cell r="I344">
            <v>0</v>
          </cell>
          <cell r="J344" t="str">
            <v>ApplicationAlarm</v>
          </cell>
          <cell r="K344" t="str">
            <v>Severidade 10</v>
          </cell>
          <cell r="L344" t="str">
            <v>Severidade 16</v>
          </cell>
          <cell r="M344" t="b">
            <v>0</v>
          </cell>
        </row>
        <row r="345">
          <cell r="A345" t="str">
            <v>Load relief sequence sent to execution</v>
          </cell>
          <cell r="B345" t="str">
            <v/>
          </cell>
          <cell r="C345" t="str">
            <v/>
          </cell>
          <cell r="D345" t="str">
            <v>DMS_CFS_CL_LR_SEQUENCE_SENT</v>
          </cell>
          <cell r="E345" t="b">
            <v>0</v>
          </cell>
          <cell r="F345" t="str">
            <v>Sequência de alívio de carga enviada para execução.</v>
          </cell>
          <cell r="G345" t="str">
            <v>The load relief calculation is finished and the application proposed the results which will lead to the full resolution of all the violations on the elements supplied by a substation. Given that the substation is in the On state, the automatic switching sequence execution is initiated without any interfere by the operator. The operator may monitor the execution of the sequence.</v>
          </cell>
          <cell r="H345">
            <v>0</v>
          </cell>
          <cell r="I345">
            <v>0</v>
          </cell>
          <cell r="J345" t="str">
            <v>ApplicationAlarm</v>
          </cell>
          <cell r="K345" t="str">
            <v>Severidade 10</v>
          </cell>
          <cell r="L345" t="str">
            <v>Severidade 16</v>
          </cell>
          <cell r="M345" t="b">
            <v>0</v>
          </cell>
        </row>
        <row r="346">
          <cell r="A346" t="str">
            <v>Load Shedding failed to close switch</v>
          </cell>
          <cell r="B346" t="str">
            <v/>
          </cell>
          <cell r="C346" t="str">
            <v/>
          </cell>
          <cell r="D346" t="str">
            <v>DMS_OPS_LS_SW_FAILED_CLOSE</v>
          </cell>
          <cell r="E346" t="b">
            <v>0</v>
          </cell>
          <cell r="F346" t="str">
            <v>A operação de comutação de Load Shedding "fechar" para {0} falhou</v>
          </cell>
          <cell r="G346" t="str">
            <v/>
          </cell>
          <cell r="H346">
            <v>0</v>
          </cell>
          <cell r="I346">
            <v>0</v>
          </cell>
          <cell r="J346" t="str">
            <v>ApplicationAlarm</v>
          </cell>
          <cell r="K346" t="str">
            <v>Severidade 10</v>
          </cell>
          <cell r="L346" t="str">
            <v>Severidade 16</v>
          </cell>
          <cell r="M346" t="b">
            <v>0</v>
          </cell>
        </row>
        <row r="347">
          <cell r="A347" t="str">
            <v>Load Shedding failed to open switch</v>
          </cell>
          <cell r="B347" t="str">
            <v/>
          </cell>
          <cell r="C347" t="str">
            <v/>
          </cell>
          <cell r="D347" t="str">
            <v>DMS_OPS_LS_SW_FAILED_OPEN</v>
          </cell>
          <cell r="E347" t="b">
            <v>0</v>
          </cell>
          <cell r="F347" t="str">
            <v>A operação de comutação de Load Shedding "aberta" para {0} falhou</v>
          </cell>
          <cell r="G347" t="str">
            <v/>
          </cell>
          <cell r="H347">
            <v>0</v>
          </cell>
          <cell r="I347">
            <v>0</v>
          </cell>
          <cell r="J347" t="str">
            <v>ApplicationAlarm</v>
          </cell>
          <cell r="K347" t="str">
            <v>Severidade 10</v>
          </cell>
          <cell r="L347" t="str">
            <v>Severidade 16</v>
          </cell>
          <cell r="M347" t="b">
            <v>0</v>
          </cell>
        </row>
        <row r="348">
          <cell r="A348" t="str">
            <v>Load Shedding started</v>
          </cell>
          <cell r="B348" t="str">
            <v/>
          </cell>
          <cell r="C348" t="str">
            <v/>
          </cell>
          <cell r="D348" t="str">
            <v>DMS_OPS_LS_STARTED</v>
          </cell>
          <cell r="E348" t="b">
            <v>0</v>
          </cell>
          <cell r="F348" t="str">
            <v>{0} Load Shedding {1}</v>
          </cell>
          <cell r="G348" t="str">
            <v/>
          </cell>
          <cell r="H348">
            <v>0</v>
          </cell>
          <cell r="I348">
            <v>0</v>
          </cell>
          <cell r="J348" t="str">
            <v>ApplicationAlarm</v>
          </cell>
          <cell r="K348" t="str">
            <v>Severidade 8</v>
          </cell>
          <cell r="L348" t="str">
            <v>Severidade 16</v>
          </cell>
          <cell r="M348" t="b">
            <v>0</v>
          </cell>
        </row>
        <row r="349">
          <cell r="A349" t="str">
            <v>Load transfer feasibility</v>
          </cell>
          <cell r="B349" t="str">
            <v/>
          </cell>
          <cell r="C349" t="str">
            <v/>
          </cell>
          <cell r="D349" t="str">
            <v>DMS_CFS_TRANSFER_CAPACITY_LIMIT_GREATER</v>
          </cell>
          <cell r="E349" t="b">
            <v>0</v>
          </cell>
          <cell r="F349" t="str">
            <v>A lógica de controle deve ser desativada, pois o limite {0} pode ser violado.</v>
          </cell>
          <cell r="G349" t="str">
            <v/>
          </cell>
          <cell r="H349">
            <v>0</v>
          </cell>
          <cell r="I349">
            <v>0</v>
          </cell>
          <cell r="J349" t="str">
            <v>ApplicationAlarm</v>
          </cell>
          <cell r="K349" t="str">
            <v>Severidade 10</v>
          </cell>
          <cell r="L349" t="str">
            <v>Severidade 16</v>
          </cell>
          <cell r="M349" t="b">
            <v>0</v>
          </cell>
        </row>
        <row r="350">
          <cell r="A350" t="str">
            <v>Load transfer feasibility return to normal</v>
          </cell>
          <cell r="B350" t="str">
            <v/>
          </cell>
          <cell r="C350" t="str">
            <v/>
          </cell>
          <cell r="D350" t="str">
            <v>DMS_CFS_RTN_TRANSFER_CAPACITY_LIMIT_GREATER</v>
          </cell>
          <cell r="E350" t="b">
            <v>0</v>
          </cell>
          <cell r="F350" t="str">
            <v>A lógica de controle pode ser ativada.</v>
          </cell>
          <cell r="G350" t="str">
            <v/>
          </cell>
          <cell r="H350">
            <v>0</v>
          </cell>
          <cell r="I350">
            <v>0</v>
          </cell>
          <cell r="J350" t="str">
            <v>ApplicationAlarm</v>
          </cell>
          <cell r="K350" t="str">
            <v>Severidade 10</v>
          </cell>
          <cell r="L350" t="str">
            <v>Severidade 16</v>
          </cell>
          <cell r="M350" t="b">
            <v>0</v>
          </cell>
        </row>
        <row r="351">
          <cell r="A351" t="str">
            <v>Look Ahead Load Imbalanse Alarm</v>
          </cell>
          <cell r="B351" t="str">
            <v/>
          </cell>
          <cell r="C351" t="str">
            <v/>
          </cell>
          <cell r="D351" t="str">
            <v>DMS_CFS_LOOK_AHEAD_LOAD_IMBALANCE</v>
          </cell>
          <cell r="E351" t="b">
            <v>0</v>
          </cell>
          <cell r="F351" t="str">
            <v>Alarme de desequilíbrio de carga detectado no cálculo do Look Ahead. Tempo / valor mais crítico: {0}.</v>
          </cell>
          <cell r="G351" t="str">
            <v/>
          </cell>
          <cell r="H351">
            <v>0</v>
          </cell>
          <cell r="I351">
            <v>0</v>
          </cell>
          <cell r="J351" t="str">
            <v>ApplicationAlarm</v>
          </cell>
          <cell r="K351" t="str">
            <v>Severidade 10</v>
          </cell>
          <cell r="L351" t="str">
            <v>Severidade 16</v>
          </cell>
          <cell r="M351" t="b">
            <v>0</v>
          </cell>
        </row>
        <row r="352">
          <cell r="A352" t="str">
            <v>Look Ahead Load Imbalanse Return to Normal Alarm</v>
          </cell>
          <cell r="B352" t="str">
            <v/>
          </cell>
          <cell r="C352" t="str">
            <v/>
          </cell>
          <cell r="D352" t="str">
            <v>DMS_CFS_LOOK_AHEAD_LOAD_IMBALANCE_RTN</v>
          </cell>
          <cell r="E352" t="b">
            <v>0</v>
          </cell>
          <cell r="F352" t="str">
            <v>Alarme de retorno de desequilíbrio de carga detectado no cálculo do Look Ahead.</v>
          </cell>
          <cell r="G352" t="str">
            <v/>
          </cell>
          <cell r="H352">
            <v>0</v>
          </cell>
          <cell r="I352">
            <v>0</v>
          </cell>
          <cell r="J352" t="str">
            <v>ApplicationAlarm</v>
          </cell>
          <cell r="K352" t="str">
            <v>Severidade 10</v>
          </cell>
          <cell r="L352" t="str">
            <v>Severidade 16</v>
          </cell>
          <cell r="M352" t="b">
            <v>0</v>
          </cell>
        </row>
        <row r="353">
          <cell r="A353" t="str">
            <v>Look Ahead Overload Alarm</v>
          </cell>
          <cell r="B353" t="str">
            <v/>
          </cell>
          <cell r="C353" t="str">
            <v/>
          </cell>
          <cell r="D353" t="str">
            <v>DMS_CFS_LOOK_AHEAD_OVERLOAD</v>
          </cell>
          <cell r="E353" t="b">
            <v>0</v>
          </cell>
          <cell r="F353" t="str">
            <v>Alarme de sobrecarga detectado no cálculo do Look Ahead. Tempo / valor mais crítico: {0}.</v>
          </cell>
          <cell r="G353" t="str">
            <v/>
          </cell>
          <cell r="H353">
            <v>0</v>
          </cell>
          <cell r="I353">
            <v>0</v>
          </cell>
          <cell r="J353" t="str">
            <v>ApplicationAlarm</v>
          </cell>
          <cell r="K353" t="str">
            <v>Severidade 10</v>
          </cell>
          <cell r="L353" t="str">
            <v>Severidade 16</v>
          </cell>
          <cell r="M353" t="b">
            <v>0</v>
          </cell>
        </row>
        <row r="354">
          <cell r="A354" t="str">
            <v>Look Ahead Overload Return to Normal Alarm</v>
          </cell>
          <cell r="B354" t="str">
            <v/>
          </cell>
          <cell r="C354" t="str">
            <v/>
          </cell>
          <cell r="D354" t="str">
            <v>DMS_CFS_LOOK_AHEAD_OVERLOAD_RTN</v>
          </cell>
          <cell r="E354" t="b">
            <v>0</v>
          </cell>
          <cell r="F354" t="str">
            <v>Retorno do alarme de sobrecarga detectado no cálculo do Look Ahead.</v>
          </cell>
          <cell r="G354" t="str">
            <v/>
          </cell>
          <cell r="H354">
            <v>0</v>
          </cell>
          <cell r="I354">
            <v>0</v>
          </cell>
          <cell r="J354" t="str">
            <v>ApplicationAlarm</v>
          </cell>
          <cell r="K354" t="str">
            <v>Severidade 10</v>
          </cell>
          <cell r="L354" t="str">
            <v>Severidade 16</v>
          </cell>
          <cell r="M354" t="b">
            <v>0</v>
          </cell>
        </row>
        <row r="355">
          <cell r="A355" t="str">
            <v>Look Ahead Overvoltage Alarm</v>
          </cell>
          <cell r="B355" t="str">
            <v/>
          </cell>
          <cell r="C355" t="str">
            <v/>
          </cell>
          <cell r="D355" t="str">
            <v>DMS_CFS_LOOK_AHEAD_OVERVOLTAGE</v>
          </cell>
          <cell r="E355" t="b">
            <v>0</v>
          </cell>
          <cell r="F355" t="str">
            <v>Alarme de sobretensão detectado no cálculo do Look Ahead. Tempo / valor mais crítico: {0}.</v>
          </cell>
          <cell r="G355" t="str">
            <v/>
          </cell>
          <cell r="H355">
            <v>0</v>
          </cell>
          <cell r="I355">
            <v>0</v>
          </cell>
          <cell r="J355" t="str">
            <v>ApplicationAlarm</v>
          </cell>
          <cell r="K355" t="str">
            <v>Severidade 10</v>
          </cell>
          <cell r="L355" t="str">
            <v>Severidade 16</v>
          </cell>
          <cell r="M355" t="b">
            <v>0</v>
          </cell>
        </row>
        <row r="356">
          <cell r="A356" t="str">
            <v>Look Ahead Overvoltage Return to Normal Alarm</v>
          </cell>
          <cell r="B356" t="str">
            <v/>
          </cell>
          <cell r="C356" t="str">
            <v/>
          </cell>
          <cell r="D356" t="str">
            <v>DMS_CFS_LOOK_AHEAD_OVERVOLTAGE_RTN</v>
          </cell>
          <cell r="E356" t="b">
            <v>0</v>
          </cell>
          <cell r="F356" t="str">
            <v>Retorno do alarme de sobretensão detectado no cálculo do Look Ahead.</v>
          </cell>
          <cell r="G356" t="str">
            <v/>
          </cell>
          <cell r="H356">
            <v>0</v>
          </cell>
          <cell r="I356">
            <v>0</v>
          </cell>
          <cell r="J356" t="str">
            <v>ApplicationAlarm</v>
          </cell>
          <cell r="K356" t="str">
            <v>Severidade 10</v>
          </cell>
          <cell r="L356" t="str">
            <v>Severidade 16</v>
          </cell>
          <cell r="M356" t="b">
            <v>0</v>
          </cell>
        </row>
        <row r="357">
          <cell r="A357" t="str">
            <v>Look Ahead Reverse Flow Alarm</v>
          </cell>
          <cell r="B357" t="str">
            <v/>
          </cell>
          <cell r="C357" t="str">
            <v/>
          </cell>
          <cell r="D357" t="str">
            <v>DMS_CFS_LOOK_AHEAD_REVERSE_FLOW</v>
          </cell>
          <cell r="E357" t="b">
            <v>0</v>
          </cell>
          <cell r="F357" t="str">
            <v>Alarme de fluxo reverso detectado no cálculo do Look Ahead. Tempo / valor mais crítico: {0}.</v>
          </cell>
          <cell r="G357" t="str">
            <v/>
          </cell>
          <cell r="H357">
            <v>0</v>
          </cell>
          <cell r="I357">
            <v>0</v>
          </cell>
          <cell r="J357" t="str">
            <v>ApplicationAlarm</v>
          </cell>
          <cell r="K357" t="str">
            <v>Severidade 10</v>
          </cell>
          <cell r="L357" t="str">
            <v>Severidade 16</v>
          </cell>
          <cell r="M357" t="b">
            <v>0</v>
          </cell>
        </row>
        <row r="358">
          <cell r="A358" t="str">
            <v>Look Ahead Reverse Flow Return to Normal Alarm</v>
          </cell>
          <cell r="B358" t="str">
            <v/>
          </cell>
          <cell r="C358" t="str">
            <v/>
          </cell>
          <cell r="D358" t="str">
            <v>DMS_CFS_LOOK_AHEAD_REVERSE_FLOW_RTN</v>
          </cell>
          <cell r="E358" t="b">
            <v>0</v>
          </cell>
          <cell r="F358" t="str">
            <v>Retorno do alarme de fluxo reverso detectado no cálculo do Look Ahead.</v>
          </cell>
          <cell r="G358" t="str">
            <v/>
          </cell>
          <cell r="H358">
            <v>0</v>
          </cell>
          <cell r="I358">
            <v>0</v>
          </cell>
          <cell r="J358" t="str">
            <v>ApplicationAlarm</v>
          </cell>
          <cell r="K358" t="str">
            <v>Severidade 10</v>
          </cell>
          <cell r="L358" t="str">
            <v>Severidade 16</v>
          </cell>
          <cell r="M358" t="b">
            <v>0</v>
          </cell>
        </row>
        <row r="359">
          <cell r="A359" t="str">
            <v>Look Ahead Under Voltage Return to Normal Alarm</v>
          </cell>
          <cell r="B359" t="str">
            <v/>
          </cell>
          <cell r="C359" t="str">
            <v/>
          </cell>
          <cell r="D359" t="str">
            <v>DMS_CFS_LOOK_AHEAD_UNDER_VOLTAGE_RTN</v>
          </cell>
          <cell r="E359" t="b">
            <v>0</v>
          </cell>
          <cell r="F359" t="str">
            <v>Retorno do alarme de subtensão detectado no cálculo do Look Ahead.</v>
          </cell>
          <cell r="G359" t="str">
            <v/>
          </cell>
          <cell r="H359">
            <v>0</v>
          </cell>
          <cell r="I359">
            <v>0</v>
          </cell>
          <cell r="J359" t="str">
            <v>ApplicationAlarm</v>
          </cell>
          <cell r="K359" t="str">
            <v>Severidade 10</v>
          </cell>
          <cell r="L359" t="str">
            <v>Severidade 16</v>
          </cell>
          <cell r="M359" t="b">
            <v>0</v>
          </cell>
        </row>
        <row r="360">
          <cell r="A360" t="str">
            <v>Look Ahead Undervoltage Alarm</v>
          </cell>
          <cell r="B360" t="str">
            <v/>
          </cell>
          <cell r="C360" t="str">
            <v/>
          </cell>
          <cell r="D360" t="str">
            <v>DMS_CFS_LOOK_AHEAD_UNDER_VOLTAGE</v>
          </cell>
          <cell r="E360" t="b">
            <v>0</v>
          </cell>
          <cell r="F360" t="str">
            <v>Alarme de subtensão detectado no cálculo de antecipação. Tempo / valor mais crítico: {0}.</v>
          </cell>
          <cell r="G360" t="str">
            <v/>
          </cell>
          <cell r="H360">
            <v>0</v>
          </cell>
          <cell r="I360">
            <v>0</v>
          </cell>
          <cell r="J360" t="str">
            <v>ApplicationAlarm</v>
          </cell>
          <cell r="K360" t="str">
            <v>Severidade 10</v>
          </cell>
          <cell r="L360" t="str">
            <v>Severidade 16</v>
          </cell>
          <cell r="M360" t="b">
            <v>0</v>
          </cell>
        </row>
        <row r="361">
          <cell r="A361" t="str">
            <v>Model update affecting active incidents</v>
          </cell>
          <cell r="B361" t="str">
            <v/>
          </cell>
          <cell r="C361" t="str">
            <v/>
          </cell>
          <cell r="D361" t="str">
            <v>OMS_ALARM_MODEL_UPDATE</v>
          </cell>
          <cell r="E361" t="b">
            <v>0</v>
          </cell>
          <cell r="F361" t="str">
            <v>A atualização do modelo que afeta incidentes ativos é executada.</v>
          </cell>
          <cell r="G361" t="str">
            <v/>
          </cell>
          <cell r="H361">
            <v>0</v>
          </cell>
          <cell r="I361">
            <v>0</v>
          </cell>
          <cell r="J361" t="str">
            <v>ApplicationAlarm</v>
          </cell>
          <cell r="K361" t="str">
            <v>Severidade 10</v>
          </cell>
          <cell r="L361" t="str">
            <v>Severidade 16</v>
          </cell>
          <cell r="M361" t="b">
            <v>0</v>
          </cell>
        </row>
        <row r="362">
          <cell r="A362" t="str">
            <v>Modem Availability Timeout Expired</v>
          </cell>
          <cell r="B362" t="str">
            <v/>
          </cell>
          <cell r="C362" t="str">
            <v/>
          </cell>
          <cell r="D362" t="str">
            <v>FEP_MODEM_AVAILABILITY_TIMEOUT_EXPIRED</v>
          </cell>
          <cell r="E362" t="b">
            <v>0</v>
          </cell>
          <cell r="F362" t="str">
            <v>Não houve modem disponível por {0} segundos para a RTU no número {1}.</v>
          </cell>
          <cell r="G362" t="str">
            <v/>
          </cell>
          <cell r="H362">
            <v>0</v>
          </cell>
          <cell r="I362">
            <v>0</v>
          </cell>
          <cell r="J362" t="str">
            <v>ApplicationAlarm</v>
          </cell>
          <cell r="K362" t="str">
            <v>Severidade 16</v>
          </cell>
          <cell r="L362" t="str">
            <v>Severidade 16</v>
          </cell>
          <cell r="M362" t="b">
            <v>0</v>
          </cell>
        </row>
        <row r="363">
          <cell r="A363" t="str">
            <v>Modem Call Timeout Expired</v>
          </cell>
          <cell r="B363" t="str">
            <v/>
          </cell>
          <cell r="C363" t="str">
            <v/>
          </cell>
          <cell r="D363" t="str">
            <v>FEP_MODEM_CALL_TIMEOUT_EXPIRED</v>
          </cell>
          <cell r="E363" t="b">
            <v>0</v>
          </cell>
          <cell r="F363" t="str">
            <v>O tempo limite da chamada expirou para a RTU no número {0}.</v>
          </cell>
          <cell r="G363" t="str">
            <v/>
          </cell>
          <cell r="H363">
            <v>0</v>
          </cell>
          <cell r="I363">
            <v>0</v>
          </cell>
          <cell r="J363" t="str">
            <v>ApplicationAlarm</v>
          </cell>
          <cell r="K363" t="str">
            <v>Severidade 16</v>
          </cell>
          <cell r="L363" t="str">
            <v>Severidade 16</v>
          </cell>
          <cell r="M363" t="b">
            <v>0</v>
          </cell>
        </row>
        <row r="364">
          <cell r="A364" t="str">
            <v>Network Monitor Connection Established</v>
          </cell>
          <cell r="B364" t="str">
            <v/>
          </cell>
          <cell r="C364" t="str">
            <v/>
          </cell>
          <cell r="D364" t="str">
            <v>SYSTEM_HEALTHMONITOR_CONNECTIONESTABLISHED_20</v>
          </cell>
          <cell r="E364" t="b">
            <v>0</v>
          </cell>
          <cell r="F364" t="str">
            <v>[NetworkMonitor] Conexão estabelecida com o dispositivo '{0}'.</v>
          </cell>
          <cell r="G364" t="str">
            <v/>
          </cell>
          <cell r="H364">
            <v>0</v>
          </cell>
          <cell r="I364">
            <v>0</v>
          </cell>
          <cell r="J364" t="str">
            <v>SystemAlarm</v>
          </cell>
          <cell r="K364" t="str">
            <v>Severidade 14</v>
          </cell>
          <cell r="L364" t="str">
            <v>Severidade 16</v>
          </cell>
          <cell r="M364" t="b">
            <v>0</v>
          </cell>
        </row>
        <row r="365">
          <cell r="A365" t="str">
            <v>Network Monitor Connection Lost</v>
          </cell>
          <cell r="B365" t="str">
            <v/>
          </cell>
          <cell r="C365" t="str">
            <v/>
          </cell>
          <cell r="D365" t="str">
            <v>SYSTEM_HEALTHMONITOR_CONNECTIONLOST_21</v>
          </cell>
          <cell r="E365" t="b">
            <v>0</v>
          </cell>
          <cell r="F365" t="str">
            <v>[NetworkMonitor] Não há conexão com o dispositivo '{0}'.</v>
          </cell>
          <cell r="G365" t="str">
            <v/>
          </cell>
          <cell r="H365">
            <v>0</v>
          </cell>
          <cell r="I365">
            <v>0</v>
          </cell>
          <cell r="J365" t="str">
            <v>SystemAlarm</v>
          </cell>
          <cell r="K365" t="str">
            <v>Severidade 14</v>
          </cell>
          <cell r="L365" t="str">
            <v>Severidade 16</v>
          </cell>
          <cell r="M365" t="b">
            <v>0</v>
          </cell>
        </row>
        <row r="366">
          <cell r="A366" t="str">
            <v>Network Monitor Failure</v>
          </cell>
          <cell r="B366" t="str">
            <v/>
          </cell>
          <cell r="C366" t="str">
            <v/>
          </cell>
          <cell r="D366" t="str">
            <v>SYSTEM_HEALTHMONITOR_INVALIDPROPERTYVALUE_22</v>
          </cell>
          <cell r="E366" t="b">
            <v>0</v>
          </cell>
          <cell r="F366" t="str">
            <v>[NetworkMonitor] Falha no dispositivo de rede '{0}'. {1}. [NetworkMonitor] Falha no dispositivo de rede '{2}'. O valor da propriedade '{3}' está fora do intervalo ou não corresponde a nenhum dos valores permitidos.</v>
          </cell>
          <cell r="G366" t="str">
            <v/>
          </cell>
          <cell r="H366">
            <v>0</v>
          </cell>
          <cell r="I366">
            <v>0</v>
          </cell>
          <cell r="J366" t="str">
            <v>SystemAlarm</v>
          </cell>
          <cell r="K366" t="str">
            <v>Severidade 14</v>
          </cell>
          <cell r="L366" t="str">
            <v>Severidade 16</v>
          </cell>
          <cell r="M366" t="b">
            <v>0</v>
          </cell>
        </row>
        <row r="367">
          <cell r="A367" t="str">
            <v>New hazard call</v>
          </cell>
          <cell r="B367" t="str">
            <v/>
          </cell>
          <cell r="C367" t="str">
            <v/>
          </cell>
          <cell r="D367" t="str">
            <v>OMS_ALARM_HAZARD_CALL_ADDED_TO_INC_PRIO1</v>
          </cell>
          <cell r="E367" t="b">
            <v>0</v>
          </cell>
          <cell r="F367" t="str">
            <v>Nova chamada de perigo adicionada ao incidente {0}</v>
          </cell>
          <cell r="G367" t="str">
            <v/>
          </cell>
          <cell r="H367">
            <v>0</v>
          </cell>
          <cell r="I367">
            <v>0</v>
          </cell>
          <cell r="J367" t="str">
            <v>ApplicationAlarm</v>
          </cell>
          <cell r="K367" t="str">
            <v>Severidade 8</v>
          </cell>
          <cell r="L367" t="str">
            <v>Severidade 16</v>
          </cell>
          <cell r="M367" t="b">
            <v>0</v>
          </cell>
        </row>
        <row r="368">
          <cell r="A368" t="str">
            <v>New hazard call_1</v>
          </cell>
          <cell r="B368" t="str">
            <v/>
          </cell>
          <cell r="C368" t="str">
            <v/>
          </cell>
          <cell r="D368" t="str">
            <v>OMS_ALARM_HAZARD_CALL_ADDED_TO_INC</v>
          </cell>
          <cell r="E368" t="b">
            <v>0</v>
          </cell>
          <cell r="F368" t="str">
            <v>Nova chamada de perigo adicionada ao incidente {0}</v>
          </cell>
          <cell r="G368" t="str">
            <v/>
          </cell>
          <cell r="H368">
            <v>0</v>
          </cell>
          <cell r="I368">
            <v>0</v>
          </cell>
          <cell r="J368" t="str">
            <v>ApplicationAlarm</v>
          </cell>
          <cell r="K368" t="str">
            <v>Severidade 10</v>
          </cell>
          <cell r="L368" t="str">
            <v>Severidade 16</v>
          </cell>
          <cell r="M368" t="b">
            <v>0</v>
          </cell>
        </row>
        <row r="369">
          <cell r="A369" t="str">
            <v>NewElement</v>
          </cell>
          <cell r="B369" t="str">
            <v/>
          </cell>
          <cell r="C369" t="str">
            <v/>
          </cell>
          <cell r="D369" t="str">
            <v>0b3c46e6-51f0-47fc-b120-dfb14a773b59</v>
          </cell>
          <cell r="E369" t="b">
            <v>1</v>
          </cell>
          <cell r="F369" t="str">
            <v/>
          </cell>
          <cell r="G369" t="str">
            <v/>
          </cell>
          <cell r="H369">
            <v>0</v>
          </cell>
          <cell r="I369">
            <v>0</v>
          </cell>
          <cell r="J369" t="str">
            <v>ApplicationAlarm</v>
          </cell>
          <cell r="K369" t="str">
            <v>Severidade 16</v>
          </cell>
          <cell r="L369" t="str">
            <v>Severidade 16</v>
          </cell>
          <cell r="M369" t="b">
            <v>0</v>
          </cell>
        </row>
        <row r="370">
          <cell r="A370" t="str">
            <v>Obsolete alarm</v>
          </cell>
          <cell r="B370" t="str">
            <v/>
          </cell>
          <cell r="C370" t="str">
            <v/>
          </cell>
          <cell r="D370" t="str">
            <v>DMS_CFS_OBSOLETE</v>
          </cell>
          <cell r="E370" t="b">
            <v>0</v>
          </cell>
          <cell r="F370" t="str">
            <v>O alarme está obsoleto.</v>
          </cell>
          <cell r="G370" t="str">
            <v/>
          </cell>
          <cell r="H370">
            <v>0</v>
          </cell>
          <cell r="I370">
            <v>0</v>
          </cell>
          <cell r="J370" t="str">
            <v>ApplicationAlarm</v>
          </cell>
          <cell r="K370" t="str">
            <v>Severidade 12</v>
          </cell>
          <cell r="L370" t="str">
            <v>Severidade 16</v>
          </cell>
          <cell r="M370" t="b">
            <v>0</v>
          </cell>
        </row>
        <row r="371">
          <cell r="A371" t="str">
            <v>Overvoltage aggregated</v>
          </cell>
          <cell r="B371" t="str">
            <v/>
          </cell>
          <cell r="C371" t="str">
            <v/>
          </cell>
          <cell r="D371" t="str">
            <v>DMS_CFS_SUBSTATION_OVERVOLTAGE</v>
          </cell>
          <cell r="E371" t="b">
            <v>0</v>
          </cell>
          <cell r="F371" t="str">
            <v>Sobretensão agregada acima de {0}</v>
          </cell>
          <cell r="G371" t="str">
            <v/>
          </cell>
          <cell r="H371">
            <v>0</v>
          </cell>
          <cell r="I371">
            <v>0</v>
          </cell>
          <cell r="J371" t="str">
            <v>ApplicationAlarm</v>
          </cell>
          <cell r="K371" t="str">
            <v>Severidade 10</v>
          </cell>
          <cell r="L371" t="str">
            <v>Severidade 16</v>
          </cell>
          <cell r="M371" t="b">
            <v>0</v>
          </cell>
        </row>
        <row r="372">
          <cell r="A372" t="str">
            <v>Overvoltage aggregated returned to normal</v>
          </cell>
          <cell r="B372" t="str">
            <v/>
          </cell>
          <cell r="C372" t="str">
            <v/>
          </cell>
          <cell r="D372" t="str">
            <v>DMS_CFS_RTN_SUBSTATION_OVERVOLTAGE</v>
          </cell>
          <cell r="E372" t="b">
            <v>0</v>
          </cell>
          <cell r="F372" t="str">
            <v>Sobretensão agregada dentro dos limites</v>
          </cell>
          <cell r="G372" t="str">
            <v/>
          </cell>
          <cell r="H372">
            <v>0</v>
          </cell>
          <cell r="I372">
            <v>0</v>
          </cell>
          <cell r="J372" t="str">
            <v>ApplicationAlarm</v>
          </cell>
          <cell r="K372" t="str">
            <v>Severidade 10</v>
          </cell>
          <cell r="L372" t="str">
            <v>Severidade 16</v>
          </cell>
          <cell r="M372" t="b">
            <v>0</v>
          </cell>
        </row>
        <row r="373">
          <cell r="A373" t="str">
            <v>Overvoltage aggregated returned to normal_1</v>
          </cell>
          <cell r="B373" t="str">
            <v/>
          </cell>
          <cell r="C373" t="str">
            <v/>
          </cell>
          <cell r="D373" t="str">
            <v>DMS_CFS_RTN_AGGREGATE_OVERVOLTAGE</v>
          </cell>
          <cell r="E373" t="b">
            <v>0</v>
          </cell>
          <cell r="F373" t="str">
            <v>Sobretensão no alimentador agregado ao nível da subestação</v>
          </cell>
          <cell r="G373" t="str">
            <v/>
          </cell>
          <cell r="H373">
            <v>0</v>
          </cell>
          <cell r="I373">
            <v>0</v>
          </cell>
          <cell r="J373" t="str">
            <v>ApplicationAlarm</v>
          </cell>
          <cell r="K373" t="str">
            <v>Severidade 10</v>
          </cell>
          <cell r="L373" t="str">
            <v>Severidade 16</v>
          </cell>
          <cell r="M373" t="b">
            <v>0</v>
          </cell>
        </row>
        <row r="374">
          <cell r="A374" t="str">
            <v>Periodic Command Failed</v>
          </cell>
          <cell r="B374" t="str">
            <v/>
          </cell>
          <cell r="C374" t="str">
            <v/>
          </cell>
          <cell r="D374" t="str">
            <v>FEP_PERIODIC_COMMAND_FAILED</v>
          </cell>
          <cell r="E374" t="b">
            <v>1</v>
          </cell>
          <cell r="F374" t="str">
            <v>Falha na execução periódica do comando. Tipo de comando: {0}.</v>
          </cell>
          <cell r="G374" t="str">
            <v/>
          </cell>
          <cell r="H374">
            <v>0</v>
          </cell>
          <cell r="I374">
            <v>0</v>
          </cell>
          <cell r="J374" t="str">
            <v>ApplicationAlarm</v>
          </cell>
          <cell r="K374" t="str">
            <v>Severidade 16</v>
          </cell>
          <cell r="L374" t="str">
            <v>Severidade 16</v>
          </cell>
          <cell r="M374" t="b">
            <v>0</v>
          </cell>
        </row>
        <row r="375">
          <cell r="A375" t="str">
            <v>Periodic Command Timeout</v>
          </cell>
          <cell r="B375" t="str">
            <v/>
          </cell>
          <cell r="C375" t="str">
            <v/>
          </cell>
          <cell r="D375" t="str">
            <v>FEP_PERIODIC_COMMAND_TIMEOUT</v>
          </cell>
          <cell r="E375" t="b">
            <v>1</v>
          </cell>
          <cell r="F375" t="str">
            <v>Tempo limite de execução do comando periódico. Tipo de comando: {0}.</v>
          </cell>
          <cell r="G375" t="str">
            <v/>
          </cell>
          <cell r="H375">
            <v>0</v>
          </cell>
          <cell r="I375">
            <v>0</v>
          </cell>
          <cell r="J375" t="str">
            <v>ApplicationAlarm</v>
          </cell>
          <cell r="K375" t="str">
            <v>Severidade 16</v>
          </cell>
          <cell r="L375" t="str">
            <v>Severidade 16</v>
          </cell>
          <cell r="M375" t="b">
            <v>0</v>
          </cell>
        </row>
        <row r="376">
          <cell r="A376" t="str">
            <v>Power plant active overload</v>
          </cell>
          <cell r="B376" t="str">
            <v/>
          </cell>
          <cell r="C376" t="str">
            <v/>
          </cell>
          <cell r="D376" t="str">
            <v>DMS_CFS_PWRPLANT_PGEN_HI_VIOLATION</v>
          </cell>
          <cell r="E376" t="b">
            <v>0</v>
          </cell>
          <cell r="F376" t="str">
            <v>Potência ativa da usina acima de {0}.</v>
          </cell>
          <cell r="G376" t="str">
            <v/>
          </cell>
          <cell r="H376">
            <v>0</v>
          </cell>
          <cell r="I376">
            <v>0</v>
          </cell>
          <cell r="J376" t="str">
            <v>ApplicationAlarm</v>
          </cell>
          <cell r="K376" t="str">
            <v>Severidade 10</v>
          </cell>
          <cell r="L376" t="str">
            <v>Severidade 16</v>
          </cell>
          <cell r="M376" t="b">
            <v>0</v>
          </cell>
        </row>
        <row r="377">
          <cell r="A377" t="str">
            <v>Power plant active power returned to normal</v>
          </cell>
          <cell r="B377" t="str">
            <v/>
          </cell>
          <cell r="C377" t="str">
            <v/>
          </cell>
          <cell r="D377" t="str">
            <v>DMS_CFS_RTN_PWRPLANT_PGEN_VIOLATION</v>
          </cell>
          <cell r="E377" t="b">
            <v>0</v>
          </cell>
          <cell r="F377" t="str">
            <v>Potência ativa da usina dentro dos limites.</v>
          </cell>
          <cell r="G377" t="str">
            <v/>
          </cell>
          <cell r="H377">
            <v>0</v>
          </cell>
          <cell r="I377">
            <v>0</v>
          </cell>
          <cell r="J377" t="str">
            <v>ApplicationAlarm</v>
          </cell>
          <cell r="K377" t="str">
            <v>Severidade 10</v>
          </cell>
          <cell r="L377" t="str">
            <v>Severidade 16</v>
          </cell>
          <cell r="M377" t="b">
            <v>0</v>
          </cell>
        </row>
        <row r="378">
          <cell r="A378" t="str">
            <v>Power plant active underload</v>
          </cell>
          <cell r="B378" t="str">
            <v/>
          </cell>
          <cell r="C378" t="str">
            <v/>
          </cell>
          <cell r="D378" t="str">
            <v>DMS_CFS_PWRPLANT_PGEN_LOW_VIOLATION</v>
          </cell>
          <cell r="E378" t="b">
            <v>0</v>
          </cell>
          <cell r="F378" t="str">
            <v>Potência ativa da usina abaixo de {0}.</v>
          </cell>
          <cell r="G378" t="str">
            <v/>
          </cell>
          <cell r="H378">
            <v>0</v>
          </cell>
          <cell r="I378">
            <v>0</v>
          </cell>
          <cell r="J378" t="str">
            <v>ApplicationAlarm</v>
          </cell>
          <cell r="K378" t="str">
            <v>Severidade 10</v>
          </cell>
          <cell r="L378" t="str">
            <v>Severidade 16</v>
          </cell>
          <cell r="M378" t="b">
            <v>0</v>
          </cell>
        </row>
        <row r="379">
          <cell r="A379" t="str">
            <v>Power plant has a high power factor</v>
          </cell>
          <cell r="B379" t="str">
            <v/>
          </cell>
          <cell r="C379" t="str">
            <v/>
          </cell>
          <cell r="D379" t="str">
            <v>DMS_CFS_PWRPLANT_PF_HI_VIOLATION</v>
          </cell>
          <cell r="E379" t="b">
            <v>0</v>
          </cell>
          <cell r="F379" t="str">
            <v>Fator de potência da usina acima de {0}.</v>
          </cell>
          <cell r="G379" t="str">
            <v/>
          </cell>
          <cell r="H379">
            <v>0</v>
          </cell>
          <cell r="I379">
            <v>0</v>
          </cell>
          <cell r="J379" t="str">
            <v>ApplicationAlarm</v>
          </cell>
          <cell r="K379" t="str">
            <v>Severidade 12</v>
          </cell>
          <cell r="L379" t="str">
            <v>Severidade 16</v>
          </cell>
          <cell r="M379" t="b">
            <v>0</v>
          </cell>
        </row>
        <row r="380">
          <cell r="A380" t="str">
            <v>Power plant has a low power factor</v>
          </cell>
          <cell r="B380" t="str">
            <v/>
          </cell>
          <cell r="C380" t="str">
            <v/>
          </cell>
          <cell r="D380" t="str">
            <v>DMS_CFS_PWRPLANT_PF_LO_VIOLATION</v>
          </cell>
          <cell r="E380" t="b">
            <v>0</v>
          </cell>
          <cell r="F380" t="str">
            <v>Fator de potência da usina abaixo de {0}.</v>
          </cell>
          <cell r="G380" t="str">
            <v/>
          </cell>
          <cell r="H380">
            <v>0</v>
          </cell>
          <cell r="I380">
            <v>0</v>
          </cell>
          <cell r="J380" t="str">
            <v>ApplicationAlarm</v>
          </cell>
          <cell r="K380" t="str">
            <v>Severidade 12</v>
          </cell>
          <cell r="L380" t="str">
            <v>Severidade 16</v>
          </cell>
          <cell r="M380" t="b">
            <v>0</v>
          </cell>
        </row>
        <row r="381">
          <cell r="A381" t="str">
            <v>Power plant overvoltage</v>
          </cell>
          <cell r="B381" t="str">
            <v/>
          </cell>
          <cell r="C381" t="str">
            <v/>
          </cell>
          <cell r="D381" t="str">
            <v>DMS_CFS_PWRPLANT_OVERVOLTAGE_VIOLATION</v>
          </cell>
          <cell r="E381" t="b">
            <v>0</v>
          </cell>
          <cell r="F381" t="str">
            <v>Tensão da usina acima de {0}.</v>
          </cell>
          <cell r="G381" t="str">
            <v/>
          </cell>
          <cell r="H381">
            <v>0</v>
          </cell>
          <cell r="I381">
            <v>0</v>
          </cell>
          <cell r="J381" t="str">
            <v>ApplicationAlarm</v>
          </cell>
          <cell r="K381" t="str">
            <v>Severidade 10</v>
          </cell>
          <cell r="L381" t="str">
            <v>Severidade 16</v>
          </cell>
          <cell r="M381" t="b">
            <v>0</v>
          </cell>
        </row>
        <row r="382">
          <cell r="A382" t="str">
            <v>Power plant power factor returned to normal</v>
          </cell>
          <cell r="B382" t="str">
            <v/>
          </cell>
          <cell r="C382" t="str">
            <v/>
          </cell>
          <cell r="D382" t="str">
            <v>DMS_CFS_RTN_PWRPLANT_PF_VIOLATION</v>
          </cell>
          <cell r="E382" t="b">
            <v>0</v>
          </cell>
          <cell r="F382" t="str">
            <v>Fator de potência da usina dentro dos limites.</v>
          </cell>
          <cell r="G382" t="str">
            <v/>
          </cell>
          <cell r="H382">
            <v>0</v>
          </cell>
          <cell r="I382">
            <v>0</v>
          </cell>
          <cell r="J382" t="str">
            <v>ApplicationAlarm</v>
          </cell>
          <cell r="K382" t="str">
            <v>Severidade 12</v>
          </cell>
          <cell r="L382" t="str">
            <v>Severidade 16</v>
          </cell>
          <cell r="M382" t="b">
            <v>0</v>
          </cell>
        </row>
        <row r="383">
          <cell r="A383" t="str">
            <v>Power plant reactive overload</v>
          </cell>
          <cell r="B383" t="str">
            <v/>
          </cell>
          <cell r="C383" t="str">
            <v/>
          </cell>
          <cell r="D383" t="str">
            <v>DMS_CFS_PWRPLANT_QGEN_HI_VIOLATION</v>
          </cell>
          <cell r="E383" t="b">
            <v>0</v>
          </cell>
          <cell r="F383" t="str">
            <v>Potência reativa da usina acima de {0}.</v>
          </cell>
          <cell r="G383" t="str">
            <v/>
          </cell>
          <cell r="H383">
            <v>0</v>
          </cell>
          <cell r="I383">
            <v>0</v>
          </cell>
          <cell r="J383" t="str">
            <v>ApplicationAlarm</v>
          </cell>
          <cell r="K383" t="str">
            <v>Severidade 10</v>
          </cell>
          <cell r="L383" t="str">
            <v>Severidade 16</v>
          </cell>
          <cell r="M383" t="b">
            <v>0</v>
          </cell>
        </row>
        <row r="384">
          <cell r="A384" t="str">
            <v>Power plant reactive power returned to normal</v>
          </cell>
          <cell r="B384" t="str">
            <v/>
          </cell>
          <cell r="C384" t="str">
            <v/>
          </cell>
          <cell r="D384" t="str">
            <v>DMS_CFS_RTN_PWRPLANT_QGEN_VIOLATION</v>
          </cell>
          <cell r="E384" t="b">
            <v>0</v>
          </cell>
          <cell r="F384" t="str">
            <v>Potência reativa da usina dentro dos limites.</v>
          </cell>
          <cell r="G384" t="str">
            <v/>
          </cell>
          <cell r="H384">
            <v>0</v>
          </cell>
          <cell r="I384">
            <v>0</v>
          </cell>
          <cell r="J384" t="str">
            <v>ApplicationAlarm</v>
          </cell>
          <cell r="K384" t="str">
            <v>Severidade 10</v>
          </cell>
          <cell r="L384" t="str">
            <v>Severidade 16</v>
          </cell>
          <cell r="M384" t="b">
            <v>0</v>
          </cell>
        </row>
        <row r="385">
          <cell r="A385" t="str">
            <v>Power plant reactive underload</v>
          </cell>
          <cell r="B385" t="str">
            <v/>
          </cell>
          <cell r="C385" t="str">
            <v/>
          </cell>
          <cell r="D385" t="str">
            <v>DMS_CFS_PWRPLANT_QGEN_LOW_VIOLATION</v>
          </cell>
          <cell r="E385" t="b">
            <v>0</v>
          </cell>
          <cell r="F385" t="str">
            <v>Potência reativa da usina abaixo de {0}.</v>
          </cell>
          <cell r="G385" t="str">
            <v/>
          </cell>
          <cell r="H385">
            <v>0</v>
          </cell>
          <cell r="I385">
            <v>0</v>
          </cell>
          <cell r="J385" t="str">
            <v>ApplicationAlarm</v>
          </cell>
          <cell r="K385" t="str">
            <v>Severidade 10</v>
          </cell>
          <cell r="L385" t="str">
            <v>Severidade 16</v>
          </cell>
          <cell r="M385" t="b">
            <v>0</v>
          </cell>
        </row>
        <row r="386">
          <cell r="A386" t="str">
            <v>Power Plant SoC below limit</v>
          </cell>
          <cell r="B386" t="str">
            <v/>
          </cell>
          <cell r="C386" t="str">
            <v/>
          </cell>
          <cell r="D386" t="str">
            <v>DMS_CFS_PWRPLANT_UNDERCAPACITY_VIOLATION</v>
          </cell>
          <cell r="E386" t="b">
            <v>0</v>
          </cell>
          <cell r="F386" t="str">
            <v>Estado de carga da usina abaixo do limite de {0} {1}.</v>
          </cell>
          <cell r="G386" t="str">
            <v/>
          </cell>
          <cell r="H386">
            <v>0</v>
          </cell>
          <cell r="I386">
            <v>0</v>
          </cell>
          <cell r="J386" t="str">
            <v>ApplicationAlarm</v>
          </cell>
          <cell r="K386" t="str">
            <v>Severidade 10</v>
          </cell>
          <cell r="L386" t="str">
            <v>Severidade 16</v>
          </cell>
          <cell r="M386" t="b">
            <v>0</v>
          </cell>
        </row>
        <row r="387">
          <cell r="A387" t="str">
            <v>Power Plant SoC returned to normal</v>
          </cell>
          <cell r="B387" t="str">
            <v/>
          </cell>
          <cell r="C387" t="str">
            <v/>
          </cell>
          <cell r="D387" t="str">
            <v>DMS_CFS_RTN_PWRPLANT_WP_VIOLATION</v>
          </cell>
          <cell r="E387" t="b">
            <v>0</v>
          </cell>
          <cell r="F387" t="str">
            <v>Estado da carga da usina dentro dos limites.</v>
          </cell>
          <cell r="G387" t="str">
            <v/>
          </cell>
          <cell r="H387">
            <v>0</v>
          </cell>
          <cell r="I387">
            <v>0</v>
          </cell>
          <cell r="J387" t="str">
            <v>ApplicationAlarm</v>
          </cell>
          <cell r="K387" t="str">
            <v>Severidade 10</v>
          </cell>
          <cell r="L387" t="str">
            <v>Severidade 16</v>
          </cell>
          <cell r="M387" t="b">
            <v>0</v>
          </cell>
        </row>
        <row r="388">
          <cell r="A388" t="str">
            <v>Power plant undervoltage</v>
          </cell>
          <cell r="B388" t="str">
            <v/>
          </cell>
          <cell r="C388" t="str">
            <v/>
          </cell>
          <cell r="D388" t="str">
            <v>DMS_CFS_PWRPLANT_UNDERVOLTAGE_VIOLATION</v>
          </cell>
          <cell r="E388" t="b">
            <v>0</v>
          </cell>
          <cell r="F388" t="str">
            <v>Tensão da usina abaixo de {0}.</v>
          </cell>
          <cell r="G388" t="str">
            <v/>
          </cell>
          <cell r="H388">
            <v>0</v>
          </cell>
          <cell r="I388">
            <v>0</v>
          </cell>
          <cell r="J388" t="str">
            <v>ApplicationAlarm</v>
          </cell>
          <cell r="K388" t="str">
            <v>Severidade 10</v>
          </cell>
          <cell r="L388" t="str">
            <v>Severidade 16</v>
          </cell>
          <cell r="M388" t="b">
            <v>0</v>
          </cell>
        </row>
        <row r="389">
          <cell r="A389" t="str">
            <v>Power plant voltage returned to normal</v>
          </cell>
          <cell r="B389" t="str">
            <v/>
          </cell>
          <cell r="C389" t="str">
            <v/>
          </cell>
          <cell r="D389" t="str">
            <v>DMS_CFS_RTN_PWRPLANT_V_VIOLATION</v>
          </cell>
          <cell r="E389" t="b">
            <v>0</v>
          </cell>
          <cell r="F389" t="str">
            <v>Tensão da usina dentro dos limites.</v>
          </cell>
          <cell r="G389" t="str">
            <v/>
          </cell>
          <cell r="H389">
            <v>0</v>
          </cell>
          <cell r="I389">
            <v>0</v>
          </cell>
          <cell r="J389" t="str">
            <v>ApplicationAlarm</v>
          </cell>
          <cell r="K389" t="str">
            <v>Severidade 10</v>
          </cell>
          <cell r="L389" t="str">
            <v>Severidade 16</v>
          </cell>
          <cell r="M389" t="b">
            <v>0</v>
          </cell>
        </row>
        <row r="390">
          <cell r="A390" t="str">
            <v>Prediction profile changed</v>
          </cell>
          <cell r="B390" t="str">
            <v/>
          </cell>
          <cell r="C390" t="str">
            <v/>
          </cell>
          <cell r="D390" t="str">
            <v>OMS_ALARM_PROFILE_CONFIG_CHANGED_PREDICTON_PROF</v>
          </cell>
          <cell r="E390" t="b">
            <v>0</v>
          </cell>
          <cell r="F390" t="str">
            <v>A configuração do OMS para o perfil de previsão foi alterada de {0} para {1}</v>
          </cell>
          <cell r="G390" t="str">
            <v/>
          </cell>
          <cell r="H390">
            <v>0</v>
          </cell>
          <cell r="I390">
            <v>0</v>
          </cell>
          <cell r="J390" t="str">
            <v>ApplicationAlarm</v>
          </cell>
          <cell r="K390" t="str">
            <v>Severidade 10</v>
          </cell>
          <cell r="L390" t="str">
            <v>Severidade 16</v>
          </cell>
          <cell r="M390" t="b">
            <v>0</v>
          </cell>
        </row>
        <row r="391">
          <cell r="A391" t="str">
            <v>Priority profile changed</v>
          </cell>
          <cell r="B391" t="str">
            <v/>
          </cell>
          <cell r="C391" t="str">
            <v/>
          </cell>
          <cell r="D391" t="str">
            <v>OMS_ALARM_PROFILE_CONFIG_CHANGED_PRIORITY_PROF</v>
          </cell>
          <cell r="E391" t="b">
            <v>0</v>
          </cell>
          <cell r="F391" t="str">
            <v>A configuração do OMS para o perfil de prioridade mudou de {0} para {1}</v>
          </cell>
          <cell r="G391" t="str">
            <v/>
          </cell>
          <cell r="H391">
            <v>0</v>
          </cell>
          <cell r="I391">
            <v>0</v>
          </cell>
          <cell r="J391" t="str">
            <v>ApplicationAlarm</v>
          </cell>
          <cell r="K391" t="str">
            <v>Severidade 10</v>
          </cell>
          <cell r="L391" t="str">
            <v>Severidade 16</v>
          </cell>
          <cell r="M391" t="b">
            <v>0</v>
          </cell>
        </row>
        <row r="392">
          <cell r="A392" t="str">
            <v>Process Monitor Critical Process Dead</v>
          </cell>
          <cell r="B392" t="str">
            <v/>
          </cell>
          <cell r="C392" t="str">
            <v/>
          </cell>
          <cell r="D392" t="str">
            <v>SYSTEM_PROCESSMONITOR_PROCESSMONITOREXCEPTION_1</v>
          </cell>
          <cell r="E392" t="b">
            <v>0</v>
          </cell>
          <cell r="F392" t="str">
            <v>Processo crítico {0} '{1}' morto em {2}.</v>
          </cell>
          <cell r="G392" t="str">
            <v/>
          </cell>
          <cell r="H392">
            <v>0</v>
          </cell>
          <cell r="I392">
            <v>0</v>
          </cell>
          <cell r="J392" t="str">
            <v>SystemAlarm</v>
          </cell>
          <cell r="K392" t="str">
            <v>Severidade 14</v>
          </cell>
          <cell r="L392" t="str">
            <v>Severidade 16</v>
          </cell>
          <cell r="M392" t="b">
            <v>0</v>
          </cell>
        </row>
        <row r="393">
          <cell r="A393" t="str">
            <v>Process Monitor Critical Process Inactive</v>
          </cell>
          <cell r="B393" t="str">
            <v/>
          </cell>
          <cell r="C393" t="str">
            <v/>
          </cell>
          <cell r="D393" t="str">
            <v>SYSTEM_PROCESSMONITOR_PROCESSMONITOREXCEPTION_4</v>
          </cell>
          <cell r="E393" t="b">
            <v>0</v>
          </cell>
          <cell r="F393" t="str">
            <v>Processo crítico {0} '{1}' inativo em {2}.</v>
          </cell>
          <cell r="G393" t="str">
            <v/>
          </cell>
          <cell r="H393">
            <v>0</v>
          </cell>
          <cell r="I393">
            <v>0</v>
          </cell>
          <cell r="J393" t="str">
            <v>SystemAlarm</v>
          </cell>
          <cell r="K393" t="str">
            <v>Severidade 14</v>
          </cell>
          <cell r="L393" t="str">
            <v>Severidade 16</v>
          </cell>
          <cell r="M393" t="b">
            <v>0</v>
          </cell>
        </row>
        <row r="394">
          <cell r="A394" t="str">
            <v>Process Monitor Handle Critical</v>
          </cell>
          <cell r="B394" t="str">
            <v/>
          </cell>
          <cell r="C394" t="str">
            <v/>
          </cell>
          <cell r="D394" t="str">
            <v>SYSTEM_PROCESSMONITOR_PROCESSMONITOREXCEPTION_8</v>
          </cell>
          <cell r="E394" t="b">
            <v>0</v>
          </cell>
          <cell r="F394" t="str">
            <v>O processo {0} '{1}' excedeu o limite crítico para a contagem de identificadores em {2}.</v>
          </cell>
          <cell r="G394" t="str">
            <v/>
          </cell>
          <cell r="H394">
            <v>0</v>
          </cell>
          <cell r="I394">
            <v>0</v>
          </cell>
          <cell r="J394" t="str">
            <v>SystemAlarm</v>
          </cell>
          <cell r="K394" t="str">
            <v>Severidade 14</v>
          </cell>
          <cell r="L394" t="str">
            <v>Severidade 16</v>
          </cell>
          <cell r="M394" t="b">
            <v>0</v>
          </cell>
        </row>
        <row r="395">
          <cell r="A395" t="str">
            <v>Process Monitor Handle Warning</v>
          </cell>
          <cell r="B395" t="str">
            <v/>
          </cell>
          <cell r="C395" t="str">
            <v/>
          </cell>
          <cell r="D395" t="str">
            <v>SYSTEM_PROCESSMONITOR_PROCESSMONITOREXCEPTION_7</v>
          </cell>
          <cell r="E395" t="b">
            <v>0</v>
          </cell>
          <cell r="F395" t="str">
            <v>O processo {0} '{1}' excedeu o limite de aviso para a contagem de identificadores em {2}.</v>
          </cell>
          <cell r="G395" t="str">
            <v/>
          </cell>
          <cell r="H395">
            <v>0</v>
          </cell>
          <cell r="I395">
            <v>0</v>
          </cell>
          <cell r="J395" t="str">
            <v>SystemAlarm</v>
          </cell>
          <cell r="K395" t="str">
            <v>Severidade 14</v>
          </cell>
          <cell r="L395" t="str">
            <v>Severidade 16</v>
          </cell>
          <cell r="M395" t="b">
            <v>0</v>
          </cell>
        </row>
        <row r="396">
          <cell r="A396" t="str">
            <v>Process Monitor Non-Critical Process Dead</v>
          </cell>
          <cell r="B396" t="str">
            <v/>
          </cell>
          <cell r="C396" t="str">
            <v/>
          </cell>
          <cell r="D396" t="str">
            <v>SYSTEM_PROCESSMONITOR_PROCESSMONITOREXCEPTION_2</v>
          </cell>
          <cell r="E396" t="b">
            <v>0</v>
          </cell>
          <cell r="F396" t="str">
            <v>Processo {0} não crítico '{1}' morto em {1}.</v>
          </cell>
          <cell r="G396" t="str">
            <v/>
          </cell>
          <cell r="H396">
            <v>0</v>
          </cell>
          <cell r="I396">
            <v>0</v>
          </cell>
          <cell r="J396" t="str">
            <v>SystemAlarm</v>
          </cell>
          <cell r="K396" t="str">
            <v>Severidade 14</v>
          </cell>
          <cell r="L396" t="str">
            <v>Severidade 16</v>
          </cell>
          <cell r="M396" t="b">
            <v>0</v>
          </cell>
        </row>
        <row r="397">
          <cell r="A397" t="str">
            <v>Process Monitor Non-Critical Process Dead And Restarting</v>
          </cell>
          <cell r="B397" t="str">
            <v/>
          </cell>
          <cell r="C397" t="str">
            <v/>
          </cell>
          <cell r="D397" t="str">
            <v>SYSTEM_PROCESSMONITOR_PROCESSMONITOREXCEPTION_3</v>
          </cell>
          <cell r="E397" t="b">
            <v>0</v>
          </cell>
          <cell r="F397" t="str">
            <v>Processo {0} não crítico '{1}' morto em {2}. Processo de reinicialização.</v>
          </cell>
          <cell r="G397" t="str">
            <v/>
          </cell>
          <cell r="H397">
            <v>0</v>
          </cell>
          <cell r="I397">
            <v>0</v>
          </cell>
          <cell r="J397" t="str">
            <v>SystemAlarm</v>
          </cell>
          <cell r="K397" t="str">
            <v>Severidade 14</v>
          </cell>
          <cell r="L397" t="str">
            <v>Severidade 16</v>
          </cell>
          <cell r="M397" t="b">
            <v>0</v>
          </cell>
        </row>
        <row r="398">
          <cell r="A398" t="str">
            <v>Process Monitor Non-Critical Process Inactive</v>
          </cell>
          <cell r="B398" t="str">
            <v/>
          </cell>
          <cell r="C398" t="str">
            <v/>
          </cell>
          <cell r="D398" t="str">
            <v>SYSTEM_PROCESSMONITOR_PROCESSMONITOREXCEPTION_5</v>
          </cell>
          <cell r="E398" t="b">
            <v>0</v>
          </cell>
          <cell r="F398" t="str">
            <v>Processo não crítico {0} '{1}' inativo em {2}.</v>
          </cell>
          <cell r="G398" t="str">
            <v/>
          </cell>
          <cell r="H398">
            <v>0</v>
          </cell>
          <cell r="I398">
            <v>0</v>
          </cell>
          <cell r="J398" t="str">
            <v>SystemAlarm</v>
          </cell>
          <cell r="K398" t="str">
            <v>Severidade 14</v>
          </cell>
          <cell r="L398" t="str">
            <v>Severidade 16</v>
          </cell>
          <cell r="M398" t="b">
            <v>0</v>
          </cell>
        </row>
        <row r="399">
          <cell r="A399" t="str">
            <v>Protocol invalid timestamp on RTU</v>
          </cell>
          <cell r="B399" t="str">
            <v/>
          </cell>
          <cell r="C399" t="str">
            <v>DGNSIS</v>
          </cell>
          <cell r="D399" t="str">
            <v>RTU_PROTOCOL_INVALID_TIMESTAMP</v>
          </cell>
          <cell r="E399" t="b">
            <v>0</v>
          </cell>
          <cell r="F399" t="str">
            <v>DGNSIS - O registro de data e hora inválido do protocolo existe em pelo menos um sinal RTU.</v>
          </cell>
          <cell r="G399" t="str">
            <v/>
          </cell>
          <cell r="H399">
            <v>0</v>
          </cell>
          <cell r="I399">
            <v>0</v>
          </cell>
          <cell r="J399" t="str">
            <v>ApplicationAlarm</v>
          </cell>
          <cell r="K399" t="str">
            <v>Severidade 15</v>
          </cell>
          <cell r="L399" t="str">
            <v>Severidade 16</v>
          </cell>
          <cell r="M399" t="b">
            <v>0</v>
          </cell>
        </row>
        <row r="400">
          <cell r="A400" t="str">
            <v>RDBMS Monitor SQL Server Connection Failed</v>
          </cell>
          <cell r="B400" t="str">
            <v/>
          </cell>
          <cell r="C400" t="str">
            <v/>
          </cell>
          <cell r="D400" t="str">
            <v>SYSTEM_RDBMSMONITOR_SQLCONNECTIONFAILURE_2</v>
          </cell>
          <cell r="E400" t="b">
            <v>0</v>
          </cell>
          <cell r="F400" t="str">
            <v>{0} não consegue se conectar ao SQL Server no sistema {1}</v>
          </cell>
          <cell r="G400" t="str">
            <v/>
          </cell>
          <cell r="H400">
            <v>0</v>
          </cell>
          <cell r="I400">
            <v>0</v>
          </cell>
          <cell r="J400" t="str">
            <v>SystemAlarm</v>
          </cell>
          <cell r="K400" t="str">
            <v>Severidade 14</v>
          </cell>
          <cell r="L400" t="str">
            <v>Severidade 16</v>
          </cell>
          <cell r="M400" t="b">
            <v>0</v>
          </cell>
        </row>
        <row r="401">
          <cell r="A401" t="str">
            <v>RDBMS Monitor SQL Server Connection Restored</v>
          </cell>
          <cell r="B401" t="str">
            <v/>
          </cell>
          <cell r="C401" t="str">
            <v/>
          </cell>
          <cell r="D401" t="str">
            <v>SYSTEM_RDBMSMONITOR_SQLCONNECTIONRESTORED_1</v>
          </cell>
          <cell r="E401" t="b">
            <v>0</v>
          </cell>
          <cell r="F401" t="str">
            <v>A conexão de {0} com o SQL Server no sistema {1} foi restaurada.</v>
          </cell>
          <cell r="G401" t="str">
            <v/>
          </cell>
          <cell r="H401">
            <v>0</v>
          </cell>
          <cell r="I401">
            <v>0</v>
          </cell>
          <cell r="J401" t="str">
            <v>SystemAlarm</v>
          </cell>
          <cell r="K401" t="str">
            <v>Severidade 14</v>
          </cell>
          <cell r="L401" t="str">
            <v>Severidade 16</v>
          </cell>
          <cell r="M401" t="b">
            <v>0</v>
          </cell>
        </row>
        <row r="402">
          <cell r="A402" t="str">
            <v>Reactive reserve below limit</v>
          </cell>
          <cell r="B402" t="str">
            <v/>
          </cell>
          <cell r="C402" t="str">
            <v/>
          </cell>
          <cell r="D402" t="str">
            <v>EMS_RRM_UNDERLOAD</v>
          </cell>
          <cell r="E402" t="b">
            <v>0</v>
          </cell>
          <cell r="F402" t="str">
            <v>Reserva reativa abaixo do limite {0}.</v>
          </cell>
          <cell r="G402" t="str">
            <v/>
          </cell>
          <cell r="H402">
            <v>0</v>
          </cell>
          <cell r="I402">
            <v>0</v>
          </cell>
          <cell r="J402" t="str">
            <v>ApplicationAlarm</v>
          </cell>
          <cell r="K402" t="str">
            <v>Severidade 12</v>
          </cell>
          <cell r="L402" t="str">
            <v>Severidade 16</v>
          </cell>
          <cell r="M402" t="b">
            <v>0</v>
          </cell>
        </row>
        <row r="403">
          <cell r="A403" t="str">
            <v>Reactive reserve within limits</v>
          </cell>
          <cell r="B403" t="str">
            <v/>
          </cell>
          <cell r="C403" t="str">
            <v/>
          </cell>
          <cell r="D403" t="str">
            <v>EMS_RRM_RTN_UNDERLOAD</v>
          </cell>
          <cell r="E403" t="b">
            <v>0</v>
          </cell>
          <cell r="F403" t="str">
            <v>Reserva reativa dentro dos limites.</v>
          </cell>
          <cell r="G403" t="str">
            <v/>
          </cell>
          <cell r="H403">
            <v>0</v>
          </cell>
          <cell r="I403">
            <v>0</v>
          </cell>
          <cell r="J403" t="str">
            <v>ApplicationAlarm</v>
          </cell>
          <cell r="K403" t="str">
            <v>Severidade 12</v>
          </cell>
          <cell r="L403" t="str">
            <v>Severidade 16</v>
          </cell>
          <cell r="M403" t="b">
            <v>0</v>
          </cell>
        </row>
        <row r="404">
          <cell r="A404" t="str">
            <v>Remote Unit Buffer Overflow Event</v>
          </cell>
          <cell r="B404" t="str">
            <v/>
          </cell>
          <cell r="C404" t="str">
            <v/>
          </cell>
          <cell r="D404" t="str">
            <v>FEP_RTU_BUFFER_OVERFLOW_EVENT</v>
          </cell>
          <cell r="E404" t="b">
            <v>0</v>
          </cell>
          <cell r="F404" t="str">
            <v>{0} excederam o tamanho do buffer na unidade remota.</v>
          </cell>
          <cell r="G404" t="str">
            <v/>
          </cell>
          <cell r="H404">
            <v>0</v>
          </cell>
          <cell r="I404">
            <v>0</v>
          </cell>
          <cell r="J404" t="str">
            <v>ApplicationAlarm</v>
          </cell>
          <cell r="K404" t="str">
            <v>Severidade 16</v>
          </cell>
          <cell r="L404" t="str">
            <v>Severidade 16</v>
          </cell>
          <cell r="M404" t="b">
            <v>0</v>
          </cell>
        </row>
        <row r="405">
          <cell r="A405" t="str">
            <v>Remote unit is returned to normal state</v>
          </cell>
          <cell r="B405" t="str">
            <v/>
          </cell>
          <cell r="C405" t="str">
            <v>UTRRES</v>
          </cell>
          <cell r="D405" t="str">
            <v>FEP_TELEMETRY_FAILURE_REMOTE_UNIT_RTN</v>
          </cell>
          <cell r="E405" t="b">
            <v>1</v>
          </cell>
          <cell r="F405" t="str">
            <v>UTRRES - A UTR ou PTR está no estado {0}.</v>
          </cell>
          <cell r="G405" t="str">
            <v>UTR voltou a responder.</v>
          </cell>
          <cell r="H405">
            <v>180</v>
          </cell>
          <cell r="I405">
            <v>0</v>
          </cell>
          <cell r="J405" t="str">
            <v>ApplicationAlarm</v>
          </cell>
          <cell r="K405" t="str">
            <v>Severidade 9</v>
          </cell>
          <cell r="L405" t="str">
            <v>Severidade 16</v>
          </cell>
          <cell r="M405" t="b">
            <v>0</v>
          </cell>
        </row>
        <row r="406">
          <cell r="A406" t="str">
            <v>Replication Route Synchronization State Changed To Not Synchronized</v>
          </cell>
          <cell r="B406" t="str">
            <v/>
          </cell>
          <cell r="C406" t="str">
            <v/>
          </cell>
          <cell r="D406" t="str">
            <v>SYSTEM_REPLICATION_ROUTESYNCHRONIZATIONSTATE_1</v>
          </cell>
          <cell r="E406" t="b">
            <v>0</v>
          </cell>
          <cell r="F406" t="str">
            <v>Rota de replicação '{0}: {1}' para '{2}: {3}' NÃO É SINCRONIZADO</v>
          </cell>
          <cell r="G406" t="str">
            <v/>
          </cell>
          <cell r="H406">
            <v>0</v>
          </cell>
          <cell r="I406">
            <v>0</v>
          </cell>
          <cell r="J406" t="str">
            <v>SystemAlarm</v>
          </cell>
          <cell r="K406" t="str">
            <v>Severidade 4</v>
          </cell>
          <cell r="L406" t="str">
            <v>Severidade 16</v>
          </cell>
          <cell r="M406" t="b">
            <v>0</v>
          </cell>
        </row>
        <row r="407">
          <cell r="A407" t="str">
            <v>Replication Route Synchronization State Changed To Synchronized</v>
          </cell>
          <cell r="B407" t="str">
            <v/>
          </cell>
          <cell r="C407" t="str">
            <v/>
          </cell>
          <cell r="D407" t="str">
            <v>SYSTEM_REPLICATION_ROUTESYNCHRONIZATIONSTATE_2</v>
          </cell>
          <cell r="E407" t="b">
            <v>0</v>
          </cell>
          <cell r="F407" t="str">
            <v>Rota de replicação '{0}: {1}' para '{2}: {3}' agora está SINCRONIZADO</v>
          </cell>
          <cell r="G407" t="str">
            <v/>
          </cell>
          <cell r="H407">
            <v>0</v>
          </cell>
          <cell r="I407">
            <v>0</v>
          </cell>
          <cell r="J407" t="str">
            <v>SystemAlarm</v>
          </cell>
          <cell r="K407" t="str">
            <v>Severidade 14</v>
          </cell>
          <cell r="L407" t="str">
            <v>Severidade 16</v>
          </cell>
          <cell r="M407" t="b">
            <v>0</v>
          </cell>
        </row>
        <row r="408">
          <cell r="A408" t="str">
            <v>Replication Service Communication Failure</v>
          </cell>
          <cell r="B408" t="str">
            <v/>
          </cell>
          <cell r="C408" t="str">
            <v/>
          </cell>
          <cell r="D408" t="str">
            <v>SYSTEM_REPLICATION_COMMUNICATIONFAULT_1</v>
          </cell>
          <cell r="E408" t="b">
            <v>0</v>
          </cell>
          <cell r="F408" t="str">
            <v>O serviço de replicação apresentou falha permanente na comunicação no host: '{0}', para o serviço: '{1}'</v>
          </cell>
          <cell r="G408" t="str">
            <v/>
          </cell>
          <cell r="H408">
            <v>0</v>
          </cell>
          <cell r="I408">
            <v>0</v>
          </cell>
          <cell r="J408" t="str">
            <v>SystemAlarm</v>
          </cell>
          <cell r="K408" t="str">
            <v>Severidade 3</v>
          </cell>
          <cell r="L408" t="str">
            <v>Severidade 16</v>
          </cell>
          <cell r="M408" t="b">
            <v>0</v>
          </cell>
        </row>
        <row r="409">
          <cell r="A409" t="str">
            <v>Replication Service Communication Status Return To Normal</v>
          </cell>
          <cell r="B409" t="str">
            <v/>
          </cell>
          <cell r="C409" t="str">
            <v/>
          </cell>
          <cell r="D409" t="str">
            <v>SYSTEM_REPLICATION_COMMUNICATIONFAULT_2</v>
          </cell>
          <cell r="E409" t="b">
            <v>0</v>
          </cell>
          <cell r="F409" t="str">
            <v>O serviço de replicação redefiniu o estado da comunicação para NORMAL no host: '{0}', para o serviço: '{1}'</v>
          </cell>
          <cell r="G409" t="str">
            <v/>
          </cell>
          <cell r="H409">
            <v>0</v>
          </cell>
          <cell r="I409">
            <v>0</v>
          </cell>
          <cell r="J409" t="str">
            <v>SystemAlarm</v>
          </cell>
          <cell r="K409" t="str">
            <v>Severidade 14</v>
          </cell>
          <cell r="L409" t="str">
            <v>Severidade 16</v>
          </cell>
          <cell r="M409" t="b">
            <v>0</v>
          </cell>
        </row>
        <row r="410">
          <cell r="A410" t="str">
            <v>Reserve  returned to normal</v>
          </cell>
          <cell r="B410" t="str">
            <v/>
          </cell>
          <cell r="C410" t="str">
            <v/>
          </cell>
          <cell r="D410" t="str">
            <v>GMS_AGC_RESERVE_BELOW_THRESHOLD_RTN</v>
          </cell>
          <cell r="E410" t="b">
            <v>1</v>
          </cell>
          <cell r="F410" t="str">
            <v>{0} {1} está no intervalo desejado.</v>
          </cell>
          <cell r="G410" t="str">
            <v/>
          </cell>
          <cell r="H410">
            <v>0</v>
          </cell>
          <cell r="I410">
            <v>0</v>
          </cell>
          <cell r="J410" t="str">
            <v>ApplicationAlarm</v>
          </cell>
          <cell r="K410" t="str">
            <v>Severidade 10</v>
          </cell>
          <cell r="L410" t="str">
            <v>Severidade 16</v>
          </cell>
          <cell r="M410" t="b">
            <v>0</v>
          </cell>
        </row>
        <row r="411">
          <cell r="A411" t="str">
            <v>Reserve below threshold</v>
          </cell>
          <cell r="B411" t="str">
            <v/>
          </cell>
          <cell r="C411" t="str">
            <v/>
          </cell>
          <cell r="D411" t="str">
            <v>MGMS_ADC_RESERVE_BELOW_THRESHOLD</v>
          </cell>
          <cell r="E411" t="b">
            <v>1</v>
          </cell>
          <cell r="F411" t="str">
            <v>{0} {1} está abaixo do limite {2}.</v>
          </cell>
          <cell r="G411" t="str">
            <v/>
          </cell>
          <cell r="H411">
            <v>0</v>
          </cell>
          <cell r="I411">
            <v>0</v>
          </cell>
          <cell r="J411" t="str">
            <v>ApplicationAlarm</v>
          </cell>
          <cell r="K411" t="str">
            <v>Severidade 10</v>
          </cell>
          <cell r="L411" t="str">
            <v>Severidade 16</v>
          </cell>
          <cell r="M411" t="b">
            <v>0</v>
          </cell>
        </row>
        <row r="412">
          <cell r="A412" t="str">
            <v>Reserve below threshold_1</v>
          </cell>
          <cell r="B412" t="str">
            <v/>
          </cell>
          <cell r="C412" t="str">
            <v/>
          </cell>
          <cell r="D412" t="str">
            <v>GMS_AGC_RESERVE_BELOW_THRESHOLD</v>
          </cell>
          <cell r="E412" t="b">
            <v>1</v>
          </cell>
          <cell r="F412" t="str">
            <v>{0} {1} está abaixo do limite {2}.</v>
          </cell>
          <cell r="G412" t="str">
            <v/>
          </cell>
          <cell r="H412">
            <v>0</v>
          </cell>
          <cell r="I412">
            <v>0</v>
          </cell>
          <cell r="J412" t="str">
            <v>ApplicationAlarm</v>
          </cell>
          <cell r="K412" t="str">
            <v>Severidade 10</v>
          </cell>
          <cell r="L412" t="str">
            <v>Severidade 16</v>
          </cell>
          <cell r="M412" t="b">
            <v>0</v>
          </cell>
        </row>
        <row r="413">
          <cell r="A413" t="str">
            <v>Reserve returned to normal_1</v>
          </cell>
          <cell r="B413" t="str">
            <v/>
          </cell>
          <cell r="C413" t="str">
            <v/>
          </cell>
          <cell r="D413" t="str">
            <v>MGMS_ADC_RESERVE_BELOW_THRESHOLD_RTN</v>
          </cell>
          <cell r="E413" t="b">
            <v>1</v>
          </cell>
          <cell r="F413" t="str">
            <v>{0} {1} está no intervalo desejado.</v>
          </cell>
          <cell r="G413" t="str">
            <v/>
          </cell>
          <cell r="H413">
            <v>0</v>
          </cell>
          <cell r="I413">
            <v>0</v>
          </cell>
          <cell r="J413" t="str">
            <v>ApplicationAlarm</v>
          </cell>
          <cell r="K413" t="str">
            <v>Severidade 10</v>
          </cell>
          <cell r="L413" t="str">
            <v>Severidade 16</v>
          </cell>
          <cell r="M413" t="b">
            <v>0</v>
          </cell>
        </row>
        <row r="414">
          <cell r="A414" t="str">
            <v>RTN ADC Failure alarm event catalog</v>
          </cell>
          <cell r="B414" t="str">
            <v/>
          </cell>
          <cell r="C414" t="str">
            <v/>
          </cell>
          <cell r="D414" t="str">
            <v>ADC_Failure_Normal</v>
          </cell>
          <cell r="E414" t="b">
            <v>1</v>
          </cell>
          <cell r="F414" t="str">
            <v>Falha no ADC removida da RTU.</v>
          </cell>
          <cell r="G414" t="str">
            <v/>
          </cell>
          <cell r="H414">
            <v>0</v>
          </cell>
          <cell r="I414">
            <v>0</v>
          </cell>
          <cell r="J414" t="str">
            <v>ApplicationAlarm</v>
          </cell>
          <cell r="K414" t="str">
            <v>Severidade 14</v>
          </cell>
          <cell r="L414" t="str">
            <v>Severidade 16</v>
          </cell>
          <cell r="M414" t="b">
            <v>0</v>
          </cell>
        </row>
        <row r="415">
          <cell r="A415" t="str">
            <v>RTU/Communication Channel Command failed</v>
          </cell>
          <cell r="B415" t="str">
            <v/>
          </cell>
          <cell r="C415" t="str">
            <v>CNEXEC</v>
          </cell>
          <cell r="D415" t="str">
            <v>CMD_FAIL_CHANNEL</v>
          </cell>
          <cell r="E415" t="b">
            <v>1</v>
          </cell>
          <cell r="F415" t="str">
            <v>CNEXEC -  {0} FALHOU devido a: {1} []</v>
          </cell>
          <cell r="G415" t="str">
            <v/>
          </cell>
          <cell r="H415">
            <v>0</v>
          </cell>
          <cell r="I415">
            <v>0</v>
          </cell>
          <cell r="J415" t="str">
            <v>ApplicationAlarm</v>
          </cell>
          <cell r="K415" t="str">
            <v>Severidade 9</v>
          </cell>
          <cell r="L415" t="str">
            <v>Severidade 16</v>
          </cell>
          <cell r="M415" t="b">
            <v>0</v>
          </cell>
        </row>
        <row r="416">
          <cell r="A416" t="str">
            <v>SCADA Watchdog Timeout</v>
          </cell>
          <cell r="B416" t="str">
            <v/>
          </cell>
          <cell r="C416" t="str">
            <v/>
          </cell>
          <cell r="D416" t="str">
            <v>SCADA_WATCHDOG_TIMEOUT</v>
          </cell>
          <cell r="E416" t="b">
            <v>0</v>
          </cell>
          <cell r="F416" t="str">
            <v>SCADA watchdog detected that data source {0} has been inactive for more than {1}[s].</v>
          </cell>
          <cell r="G416" t="str">
            <v/>
          </cell>
          <cell r="H416">
            <v>0</v>
          </cell>
          <cell r="I416">
            <v>0</v>
          </cell>
          <cell r="J416" t="str">
            <v>ApplicationAlarm</v>
          </cell>
          <cell r="K416" t="str">
            <v>Severidade 15</v>
          </cell>
          <cell r="L416" t="str">
            <v>Severidade 16</v>
          </cell>
          <cell r="M416" t="b">
            <v>0</v>
          </cell>
        </row>
        <row r="417">
          <cell r="A417" t="str">
            <v>Section overheat</v>
          </cell>
          <cell r="B417" t="str">
            <v/>
          </cell>
          <cell r="C417" t="str">
            <v/>
          </cell>
          <cell r="D417" t="str">
            <v>EMS_CFS_OVERHEAT_SECTION</v>
          </cell>
          <cell r="E417" t="b">
            <v>0</v>
          </cell>
          <cell r="F417" t="str">
            <v>Temperatura da seção acima do limite de {0} {1}.</v>
          </cell>
          <cell r="G417" t="str">
            <v/>
          </cell>
          <cell r="H417">
            <v>0</v>
          </cell>
          <cell r="I417">
            <v>0</v>
          </cell>
          <cell r="J417" t="str">
            <v>ApplicationAlarm</v>
          </cell>
          <cell r="K417" t="str">
            <v>Severidade 12</v>
          </cell>
          <cell r="L417" t="str">
            <v>Severidade 16</v>
          </cell>
          <cell r="M417" t="b">
            <v>0</v>
          </cell>
        </row>
        <row r="418">
          <cell r="A418" t="str">
            <v>Section overheat returned to normal</v>
          </cell>
          <cell r="B418" t="str">
            <v/>
          </cell>
          <cell r="C418" t="str">
            <v/>
          </cell>
          <cell r="D418" t="str">
            <v>EMS_CFS_RTN_OVERHEAT_SECTION</v>
          </cell>
          <cell r="E418" t="b">
            <v>0</v>
          </cell>
          <cell r="F418" t="str">
            <v>Temperatura da seção dentro dos limites.</v>
          </cell>
          <cell r="G418" t="str">
            <v/>
          </cell>
          <cell r="H418">
            <v>0</v>
          </cell>
          <cell r="I418">
            <v>0</v>
          </cell>
          <cell r="J418" t="str">
            <v>ApplicationAlarm</v>
          </cell>
          <cell r="K418" t="str">
            <v>Severidade 12</v>
          </cell>
          <cell r="L418" t="str">
            <v>Severidade 16</v>
          </cell>
          <cell r="M418" t="b">
            <v>0</v>
          </cell>
        </row>
        <row r="419">
          <cell r="A419" t="str">
            <v>Section overload</v>
          </cell>
          <cell r="B419" t="str">
            <v/>
          </cell>
          <cell r="C419" t="str">
            <v/>
          </cell>
          <cell r="D419" t="str">
            <v>EMS_CFS_OVERLOAD_SECTION</v>
          </cell>
          <cell r="E419" t="b">
            <v>0</v>
          </cell>
          <cell r="F419" t="str">
            <v>Carregamento de seção acima do limite de {0} {1}.</v>
          </cell>
          <cell r="G419" t="str">
            <v/>
          </cell>
          <cell r="H419">
            <v>0</v>
          </cell>
          <cell r="I419">
            <v>0</v>
          </cell>
          <cell r="J419" t="str">
            <v>ApplicationAlarm</v>
          </cell>
          <cell r="K419" t="str">
            <v>Severidade 12</v>
          </cell>
          <cell r="L419" t="str">
            <v>Severidade 16</v>
          </cell>
          <cell r="M419" t="b">
            <v>0</v>
          </cell>
        </row>
        <row r="420">
          <cell r="A420" t="str">
            <v>Section overload aggregated</v>
          </cell>
          <cell r="B420" t="str">
            <v/>
          </cell>
          <cell r="C420" t="str">
            <v/>
          </cell>
          <cell r="D420" t="str">
            <v>DMS_CFS_SUBSTATION_OVERLOAD_SECTION</v>
          </cell>
          <cell r="E420" t="b">
            <v>0</v>
          </cell>
          <cell r="F420" t="str">
            <v>Sobrecarga de linha agregada acima de {0} A</v>
          </cell>
          <cell r="G420" t="str">
            <v/>
          </cell>
          <cell r="H420">
            <v>0</v>
          </cell>
          <cell r="I420">
            <v>0</v>
          </cell>
          <cell r="J420" t="str">
            <v>ApplicationAlarm</v>
          </cell>
          <cell r="K420" t="str">
            <v>Severidade 12</v>
          </cell>
          <cell r="L420" t="str">
            <v>Severidade 16</v>
          </cell>
          <cell r="M420" t="b">
            <v>0</v>
          </cell>
        </row>
        <row r="421">
          <cell r="A421" t="str">
            <v>Section overload aggregated returned to normal</v>
          </cell>
          <cell r="B421" t="str">
            <v/>
          </cell>
          <cell r="C421" t="str">
            <v/>
          </cell>
          <cell r="D421" t="str">
            <v>DMS_CFS_RTN_AGGREGATE_OVERLOAD_SERVICE_TRANSF</v>
          </cell>
          <cell r="E421" t="b">
            <v>0</v>
          </cell>
          <cell r="F421" t="str">
            <v>Sobrecarga do transformador de serviço agregada ao nível da subestação</v>
          </cell>
          <cell r="G421" t="str">
            <v/>
          </cell>
          <cell r="H421">
            <v>0</v>
          </cell>
          <cell r="I421">
            <v>0</v>
          </cell>
          <cell r="J421" t="str">
            <v>ApplicationAlarm</v>
          </cell>
          <cell r="K421" t="str">
            <v>Severidade 12</v>
          </cell>
          <cell r="L421" t="str">
            <v>Severidade 16</v>
          </cell>
          <cell r="M421" t="b">
            <v>0</v>
          </cell>
        </row>
        <row r="422">
          <cell r="A422" t="str">
            <v>Section overload returned to normal</v>
          </cell>
          <cell r="B422" t="str">
            <v/>
          </cell>
          <cell r="C422" t="str">
            <v/>
          </cell>
          <cell r="D422" t="str">
            <v>EMS_CFS_RTN_OVERLOAD_SECTION</v>
          </cell>
          <cell r="E422" t="b">
            <v>0</v>
          </cell>
          <cell r="F422" t="str">
            <v>Carregamento de seção dentro dos limites.</v>
          </cell>
          <cell r="G422" t="str">
            <v/>
          </cell>
          <cell r="H422">
            <v>0</v>
          </cell>
          <cell r="I422">
            <v>0</v>
          </cell>
          <cell r="J422" t="str">
            <v>ApplicationAlarm</v>
          </cell>
          <cell r="K422" t="str">
            <v>Severidade 12</v>
          </cell>
          <cell r="L422" t="str">
            <v>Severidade 16</v>
          </cell>
          <cell r="M422" t="b">
            <v>0</v>
          </cell>
        </row>
        <row r="423">
          <cell r="A423" t="str">
            <v>Service transformer overload aggregated</v>
          </cell>
          <cell r="B423" t="str">
            <v/>
          </cell>
          <cell r="C423" t="str">
            <v/>
          </cell>
          <cell r="D423" t="str">
            <v>DMS_CFS_SUBSTATION_OVERLOAD_SERVICE_TRANSFORMER</v>
          </cell>
          <cell r="E423" t="b">
            <v>0</v>
          </cell>
          <cell r="F423" t="str">
            <v>Sobrecarga de transformador de serviço agregado acima de {0}</v>
          </cell>
          <cell r="G423" t="str">
            <v/>
          </cell>
          <cell r="H423">
            <v>0</v>
          </cell>
          <cell r="I423">
            <v>0</v>
          </cell>
          <cell r="J423" t="str">
            <v>ApplicationAlarm</v>
          </cell>
          <cell r="K423" t="str">
            <v>Severidade 12</v>
          </cell>
          <cell r="L423" t="str">
            <v>Severidade 16</v>
          </cell>
          <cell r="M423" t="b">
            <v>0</v>
          </cell>
        </row>
        <row r="424">
          <cell r="A424" t="str">
            <v>Service transformer overload aggregated returned to normal</v>
          </cell>
          <cell r="B424" t="str">
            <v/>
          </cell>
          <cell r="C424" t="str">
            <v/>
          </cell>
          <cell r="D424" t="str">
            <v>DMS_CFS_RTN_SUBSTATION_OVERLOAD_SERVICE_TRANS</v>
          </cell>
          <cell r="E424" t="b">
            <v>0</v>
          </cell>
          <cell r="F424" t="str">
            <v>Sobrecarga agregada do transformador de serviço dentro dos limites</v>
          </cell>
          <cell r="G424" t="str">
            <v/>
          </cell>
          <cell r="H424">
            <v>0</v>
          </cell>
          <cell r="I424">
            <v>0</v>
          </cell>
          <cell r="J424" t="str">
            <v>ApplicationAlarm</v>
          </cell>
          <cell r="K424" t="str">
            <v>Severidade 16</v>
          </cell>
          <cell r="L424" t="str">
            <v>Severidade 16</v>
          </cell>
          <cell r="M424" t="b">
            <v>0</v>
          </cell>
        </row>
        <row r="425">
          <cell r="A425" t="str">
            <v>Short circuit current</v>
          </cell>
          <cell r="B425" t="str">
            <v/>
          </cell>
          <cell r="C425" t="str">
            <v/>
          </cell>
          <cell r="D425" t="str">
            <v>DMS_CFS_SHORT_CIRCUIT_CURRENT</v>
          </cell>
          <cell r="E425" t="b">
            <v>0</v>
          </cell>
          <cell r="F425" t="str">
            <v>A corrente de curto-circuito {0} excede o valor nominal.</v>
          </cell>
          <cell r="G425" t="str">
            <v/>
          </cell>
          <cell r="H425">
            <v>0</v>
          </cell>
          <cell r="I425">
            <v>0</v>
          </cell>
          <cell r="J425" t="str">
            <v>ApplicationAlarm</v>
          </cell>
          <cell r="K425" t="str">
            <v>Severidade 12</v>
          </cell>
          <cell r="L425" t="str">
            <v>Severidade 16</v>
          </cell>
          <cell r="M425" t="b">
            <v>0</v>
          </cell>
        </row>
        <row r="426">
          <cell r="A426" t="str">
            <v>Short circuit current returned to normal</v>
          </cell>
          <cell r="B426" t="str">
            <v/>
          </cell>
          <cell r="C426" t="str">
            <v/>
          </cell>
          <cell r="D426" t="str">
            <v>DMS_CFS_RTN_SHORT_CIRCUIT_CURRENT</v>
          </cell>
          <cell r="E426" t="b">
            <v>0</v>
          </cell>
          <cell r="F426" t="str">
            <v>Corrente de curto-circuito dentro dos limites.</v>
          </cell>
          <cell r="G426" t="str">
            <v/>
          </cell>
          <cell r="H426">
            <v>0</v>
          </cell>
          <cell r="I426">
            <v>0</v>
          </cell>
          <cell r="J426" t="str">
            <v>ApplicationAlarm</v>
          </cell>
          <cell r="K426" t="str">
            <v>Severidade 12</v>
          </cell>
          <cell r="L426" t="str">
            <v>Severidade 16</v>
          </cell>
          <cell r="M426" t="b">
            <v>0</v>
          </cell>
        </row>
        <row r="427">
          <cell r="A427" t="str">
            <v>Small Signal Instability alarm is obsolete</v>
          </cell>
          <cell r="B427" t="str">
            <v/>
          </cell>
          <cell r="C427" t="str">
            <v/>
          </cell>
          <cell r="D427" t="str">
            <v>EMS_SSS_SYSTEM_UNSTABLE_OBSOLETE</v>
          </cell>
          <cell r="E427" t="b">
            <v>0</v>
          </cell>
          <cell r="F427" t="str">
            <v>O alarme de instabilidade de sinal pequeno está obsoleto</v>
          </cell>
          <cell r="G427" t="str">
            <v/>
          </cell>
          <cell r="H427">
            <v>0</v>
          </cell>
          <cell r="I427">
            <v>0</v>
          </cell>
          <cell r="J427" t="str">
            <v>ApplicationAlarm</v>
          </cell>
          <cell r="K427" t="str">
            <v>Severidade 12</v>
          </cell>
          <cell r="L427" t="str">
            <v>Severidade 16</v>
          </cell>
          <cell r="M427" t="b">
            <v>0</v>
          </cell>
        </row>
        <row r="428">
          <cell r="A428" t="str">
            <v>Small Signal Instability detected</v>
          </cell>
          <cell r="B428" t="str">
            <v/>
          </cell>
          <cell r="C428" t="str">
            <v/>
          </cell>
          <cell r="D428" t="str">
            <v>EMS_SSS_SYSTEM_UNSTABLE</v>
          </cell>
          <cell r="E428" t="b">
            <v>0</v>
          </cell>
          <cell r="F428" t="str">
            <v>Instabilidade de sinal pequeno detectada</v>
          </cell>
          <cell r="G428" t="str">
            <v/>
          </cell>
          <cell r="H428">
            <v>0</v>
          </cell>
          <cell r="I428">
            <v>0</v>
          </cell>
          <cell r="J428" t="str">
            <v>ApplicationAlarm</v>
          </cell>
          <cell r="K428" t="str">
            <v>Severidade 12</v>
          </cell>
          <cell r="L428" t="str">
            <v>Severidade 16</v>
          </cell>
          <cell r="M428" t="b">
            <v>0</v>
          </cell>
        </row>
        <row r="429">
          <cell r="A429" t="str">
            <v>Small Signal Instability is no longer detected</v>
          </cell>
          <cell r="B429" t="str">
            <v/>
          </cell>
          <cell r="C429" t="str">
            <v/>
          </cell>
          <cell r="D429" t="str">
            <v>EMS_SSS_SYSTEM_UNSTABLE_RTN</v>
          </cell>
          <cell r="E429" t="b">
            <v>0</v>
          </cell>
          <cell r="F429" t="str">
            <v>Instabilidade de sinal pequeno não é mais detectada</v>
          </cell>
          <cell r="G429" t="str">
            <v/>
          </cell>
          <cell r="H429">
            <v>0</v>
          </cell>
          <cell r="I429">
            <v>0</v>
          </cell>
          <cell r="J429" t="str">
            <v>ApplicationAlarm</v>
          </cell>
          <cell r="K429" t="str">
            <v>Severidade 12</v>
          </cell>
          <cell r="L429" t="str">
            <v>Severidade 16</v>
          </cell>
          <cell r="M429" t="b">
            <v>0</v>
          </cell>
        </row>
        <row r="430">
          <cell r="A430" t="str">
            <v>Smart meter profile changed</v>
          </cell>
          <cell r="B430" t="str">
            <v/>
          </cell>
          <cell r="C430" t="str">
            <v/>
          </cell>
          <cell r="D430" t="str">
            <v>OMS_ALARM_PROFILE_CONFIG_CHANGED_SMARTMET_PROF</v>
          </cell>
          <cell r="E430" t="b">
            <v>0</v>
          </cell>
          <cell r="F430" t="str">
            <v>A configuração do OMS para o perfil do medidor inteligente foi alterada de {0} para {1}</v>
          </cell>
          <cell r="G430" t="str">
            <v/>
          </cell>
          <cell r="H430">
            <v>0</v>
          </cell>
          <cell r="I430">
            <v>0</v>
          </cell>
          <cell r="J430" t="str">
            <v>ApplicationAlarm</v>
          </cell>
          <cell r="K430" t="str">
            <v>Severidade 10</v>
          </cell>
          <cell r="L430" t="str">
            <v>Severidade 16</v>
          </cell>
          <cell r="M430" t="b">
            <v>0</v>
          </cell>
        </row>
        <row r="431">
          <cell r="A431" t="str">
            <v>Spinning reserve below limit</v>
          </cell>
          <cell r="B431" t="str">
            <v/>
          </cell>
          <cell r="C431" t="str">
            <v/>
          </cell>
          <cell r="D431" t="str">
            <v>EMS_RRM_SPINING_UNDERLOAD</v>
          </cell>
          <cell r="E431" t="b">
            <v>0</v>
          </cell>
          <cell r="F431" t="str">
            <v>Participação de reserva rotativa na reserva operacional abaixo do exigido {0}%</v>
          </cell>
          <cell r="G431" t="str">
            <v/>
          </cell>
          <cell r="H431">
            <v>0</v>
          </cell>
          <cell r="I431">
            <v>0</v>
          </cell>
          <cell r="J431" t="str">
            <v>ApplicationAlarm</v>
          </cell>
          <cell r="K431" t="str">
            <v>Severidade 12</v>
          </cell>
          <cell r="L431" t="str">
            <v>Severidade 16</v>
          </cell>
          <cell r="M431" t="b">
            <v>0</v>
          </cell>
        </row>
        <row r="432">
          <cell r="A432" t="str">
            <v>Spinning reserve within limits</v>
          </cell>
          <cell r="B432" t="str">
            <v/>
          </cell>
          <cell r="C432" t="str">
            <v/>
          </cell>
          <cell r="D432" t="str">
            <v>EMS_RRM_SPINING_RTN_UNDERLOAD</v>
          </cell>
          <cell r="E432" t="b">
            <v>0</v>
          </cell>
          <cell r="F432" t="str">
            <v>Participação de reserva rotativa na reserva operacional acima do exigido {0}%</v>
          </cell>
          <cell r="G432" t="str">
            <v/>
          </cell>
          <cell r="H432">
            <v>0</v>
          </cell>
          <cell r="I432">
            <v>0</v>
          </cell>
          <cell r="J432" t="str">
            <v>ApplicationAlarm</v>
          </cell>
          <cell r="K432" t="str">
            <v>Severidade 12</v>
          </cell>
          <cell r="L432" t="str">
            <v>Severidade 16</v>
          </cell>
          <cell r="M432" t="b">
            <v>0</v>
          </cell>
        </row>
        <row r="433">
          <cell r="A433" t="str">
            <v>Split aggregated alarm</v>
          </cell>
          <cell r="B433" t="str">
            <v/>
          </cell>
          <cell r="C433" t="str">
            <v/>
          </cell>
          <cell r="D433" t="str">
            <v>DMS_CFS_SUBSTATION_RTN_SPLIT</v>
          </cell>
          <cell r="E433" t="b">
            <v>0</v>
          </cell>
          <cell r="F433" t="str">
            <v>Divisão de alarme agregada no nível do alimentador</v>
          </cell>
          <cell r="G433" t="str">
            <v/>
          </cell>
          <cell r="H433">
            <v>0</v>
          </cell>
          <cell r="I433">
            <v>0</v>
          </cell>
          <cell r="J433" t="str">
            <v>ApplicationAlarm</v>
          </cell>
          <cell r="K433" t="str">
            <v>Severidade 10</v>
          </cell>
          <cell r="L433" t="str">
            <v>Severidade 16</v>
          </cell>
          <cell r="M433" t="b">
            <v>0</v>
          </cell>
        </row>
        <row r="434">
          <cell r="A434" t="str">
            <v>Staging feed is lost</v>
          </cell>
          <cell r="B434" t="str">
            <v/>
          </cell>
          <cell r="C434" t="str">
            <v/>
          </cell>
          <cell r="D434" t="str">
            <v>FEP_STAGING_FEED_LOST</v>
          </cell>
          <cell r="E434" t="b">
            <v>0</v>
          </cell>
          <cell r="F434" t="str">
            <v>O feed de telemetria da zona de produção é perdido.</v>
          </cell>
          <cell r="G434" t="str">
            <v/>
          </cell>
          <cell r="H434">
            <v>0</v>
          </cell>
          <cell r="I434">
            <v>0</v>
          </cell>
          <cell r="J434" t="str">
            <v>SystemAlarm</v>
          </cell>
          <cell r="K434" t="str">
            <v>Severidade 16</v>
          </cell>
          <cell r="L434" t="str">
            <v>Severidade 16</v>
          </cell>
          <cell r="M434" t="b">
            <v>0</v>
          </cell>
        </row>
        <row r="435">
          <cell r="A435" t="str">
            <v>Substation undervoltage aggregated</v>
          </cell>
          <cell r="B435" t="str">
            <v/>
          </cell>
          <cell r="C435" t="str">
            <v/>
          </cell>
          <cell r="D435" t="str">
            <v>DMS_CFS_SUBSTATION_UNDERVOLTAGE</v>
          </cell>
          <cell r="E435" t="b">
            <v>0</v>
          </cell>
          <cell r="F435" t="str">
            <v>Subtensão agregada abaixo de {0}</v>
          </cell>
          <cell r="G435" t="str">
            <v/>
          </cell>
          <cell r="H435">
            <v>0</v>
          </cell>
          <cell r="I435">
            <v>0</v>
          </cell>
          <cell r="J435" t="str">
            <v>ApplicationAlarm</v>
          </cell>
          <cell r="K435" t="str">
            <v>Severidade 10</v>
          </cell>
          <cell r="L435" t="str">
            <v>Severidade 16</v>
          </cell>
          <cell r="M435" t="b">
            <v>0</v>
          </cell>
        </row>
        <row r="436">
          <cell r="A436" t="str">
            <v>Supply transformer overheat</v>
          </cell>
          <cell r="B436" t="str">
            <v/>
          </cell>
          <cell r="C436" t="str">
            <v/>
          </cell>
          <cell r="D436" t="str">
            <v>DMS_CFS_OVERHEAT_SUPPLY_TRANSFORMER</v>
          </cell>
          <cell r="E436" t="b">
            <v>0</v>
          </cell>
          <cell r="F436" t="str">
            <v>Temperatura do transformador acima do limite {0} {1}.</v>
          </cell>
          <cell r="G436" t="str">
            <v/>
          </cell>
          <cell r="H436">
            <v>0</v>
          </cell>
          <cell r="I436">
            <v>0</v>
          </cell>
          <cell r="J436" t="str">
            <v>ApplicationAlarm</v>
          </cell>
          <cell r="K436" t="str">
            <v>Severidade 10</v>
          </cell>
          <cell r="L436" t="str">
            <v>Severidade 16</v>
          </cell>
          <cell r="M436" t="b">
            <v>0</v>
          </cell>
        </row>
        <row r="437">
          <cell r="A437" t="str">
            <v>Supply transformer overheat returned to normal</v>
          </cell>
          <cell r="B437" t="str">
            <v/>
          </cell>
          <cell r="C437" t="str">
            <v/>
          </cell>
          <cell r="D437" t="str">
            <v>DMS_CFS_RTN_OVERHEAT_SUPPLY_TRANSFORMER</v>
          </cell>
          <cell r="E437" t="b">
            <v>0</v>
          </cell>
          <cell r="F437" t="str">
            <v>Temperatura do transformador dentro dos limites.</v>
          </cell>
          <cell r="G437" t="str">
            <v/>
          </cell>
          <cell r="H437">
            <v>0</v>
          </cell>
          <cell r="I437">
            <v>0</v>
          </cell>
          <cell r="J437" t="str">
            <v>ApplicationAlarm</v>
          </cell>
          <cell r="K437" t="str">
            <v>Severidade 10</v>
          </cell>
          <cell r="L437" t="str">
            <v>Severidade 16</v>
          </cell>
          <cell r="M437" t="b">
            <v>0</v>
          </cell>
        </row>
        <row r="438">
          <cell r="A438" t="str">
            <v>Supply transformer overload</v>
          </cell>
          <cell r="B438" t="str">
            <v/>
          </cell>
          <cell r="C438" t="str">
            <v/>
          </cell>
          <cell r="D438" t="str">
            <v>DMS_CFS_OVERLOAD_SUPPLY_TRANSFORMER</v>
          </cell>
          <cell r="E438" t="b">
            <v>0</v>
          </cell>
          <cell r="F438" t="str">
            <v>Carga do transformador de alimentação acima do limite de {0} {1}.</v>
          </cell>
          <cell r="G438" t="str">
            <v/>
          </cell>
          <cell r="H438">
            <v>0</v>
          </cell>
          <cell r="I438">
            <v>0</v>
          </cell>
          <cell r="J438" t="str">
            <v>ApplicationAlarm</v>
          </cell>
          <cell r="K438" t="str">
            <v>Severidade 10</v>
          </cell>
          <cell r="L438" t="str">
            <v>Severidade 16</v>
          </cell>
          <cell r="M438" t="b">
            <v>0</v>
          </cell>
        </row>
        <row r="439">
          <cell r="A439" t="str">
            <v>Supply transformer overload obsolete</v>
          </cell>
          <cell r="B439" t="str">
            <v/>
          </cell>
          <cell r="C439" t="str">
            <v/>
          </cell>
          <cell r="D439" t="str">
            <v>DMS_CFS_OVERLOAD_SUPPLY_TRANSFORMER_OBSOLETE</v>
          </cell>
          <cell r="E439" t="b">
            <v>0</v>
          </cell>
          <cell r="F439" t="str">
            <v>O alarme de carregamento do transformador de alimentação está obsoleto.</v>
          </cell>
          <cell r="G439" t="str">
            <v/>
          </cell>
          <cell r="H439">
            <v>0</v>
          </cell>
          <cell r="I439">
            <v>0</v>
          </cell>
          <cell r="J439" t="str">
            <v>ApplicationAlarm</v>
          </cell>
          <cell r="K439" t="str">
            <v>Severidade 12</v>
          </cell>
          <cell r="L439" t="str">
            <v>Severidade 16</v>
          </cell>
          <cell r="M439" t="b">
            <v>0</v>
          </cell>
        </row>
        <row r="440">
          <cell r="A440" t="str">
            <v>Supply transformer overload returned to normal</v>
          </cell>
          <cell r="B440" t="str">
            <v/>
          </cell>
          <cell r="C440" t="str">
            <v/>
          </cell>
          <cell r="D440" t="str">
            <v>DMS_CFS_RTN_OVERLOAD_SUPPLY_TRANSFORMER</v>
          </cell>
          <cell r="E440" t="b">
            <v>0</v>
          </cell>
          <cell r="F440" t="str">
            <v>Carga do transformador de alimentação dentro dos limites.</v>
          </cell>
          <cell r="G440" t="str">
            <v/>
          </cell>
          <cell r="H440">
            <v>0</v>
          </cell>
          <cell r="I440">
            <v>0</v>
          </cell>
          <cell r="J440" t="str">
            <v>ApplicationAlarm</v>
          </cell>
          <cell r="K440" t="str">
            <v>Severidade 10</v>
          </cell>
          <cell r="L440" t="str">
            <v>Severidade 16</v>
          </cell>
          <cell r="M440" t="b">
            <v>0</v>
          </cell>
        </row>
        <row r="441">
          <cell r="A441" t="str">
            <v>Supply transformer with reverse flow</v>
          </cell>
          <cell r="B441" t="str">
            <v/>
          </cell>
          <cell r="C441" t="str">
            <v/>
          </cell>
          <cell r="D441" t="str">
            <v>DMS_REVERSE_FLOW</v>
          </cell>
          <cell r="E441" t="b">
            <v>0</v>
          </cell>
          <cell r="F441" t="str">
            <v>O transformador de alimentação possui fluxo de energia reverso.</v>
          </cell>
          <cell r="G441" t="str">
            <v/>
          </cell>
          <cell r="H441">
            <v>0</v>
          </cell>
          <cell r="I441">
            <v>0</v>
          </cell>
          <cell r="J441" t="str">
            <v>ApplicationAlarm</v>
          </cell>
          <cell r="K441" t="str">
            <v>Severidade 10</v>
          </cell>
          <cell r="L441" t="str">
            <v>Severidade 16</v>
          </cell>
          <cell r="M441" t="b">
            <v>0</v>
          </cell>
        </row>
        <row r="442">
          <cell r="A442" t="str">
            <v>Supply transformer with reverse flow returned to normal</v>
          </cell>
          <cell r="B442" t="str">
            <v/>
          </cell>
          <cell r="C442" t="str">
            <v/>
          </cell>
          <cell r="D442" t="str">
            <v>DMS_RTN_REVERSE_FLOW</v>
          </cell>
          <cell r="E442" t="b">
            <v>0</v>
          </cell>
          <cell r="F442" t="str">
            <v>O transformador de alimentação não tem mais fluxo de energia reverso.</v>
          </cell>
          <cell r="G442" t="str">
            <v/>
          </cell>
          <cell r="H442">
            <v>0</v>
          </cell>
          <cell r="I442">
            <v>0</v>
          </cell>
          <cell r="J442" t="str">
            <v>ApplicationAlarm</v>
          </cell>
          <cell r="K442" t="str">
            <v>Severidade 10</v>
          </cell>
          <cell r="L442" t="str">
            <v>Severidade 16</v>
          </cell>
          <cell r="M442" t="b">
            <v>0</v>
          </cell>
        </row>
        <row r="443">
          <cell r="A443" t="str">
            <v>System event processing failure alarm</v>
          </cell>
          <cell r="B443" t="str">
            <v/>
          </cell>
          <cell r="C443" t="str">
            <v/>
          </cell>
          <cell r="D443" t="str">
            <v>SYSTEM_EVENT_PROCESSING_FAILURE_ALARM</v>
          </cell>
          <cell r="E443" t="b">
            <v>0</v>
          </cell>
          <cell r="F443" t="str">
            <v>[Falha] {0}.</v>
          </cell>
          <cell r="G443" t="str">
            <v/>
          </cell>
          <cell r="H443">
            <v>0</v>
          </cell>
          <cell r="I443">
            <v>0</v>
          </cell>
          <cell r="J443" t="str">
            <v>SystemAlarm</v>
          </cell>
          <cell r="K443" t="str">
            <v>Severidade 8</v>
          </cell>
          <cell r="L443" t="str">
            <v>Severidade 16</v>
          </cell>
          <cell r="M443" t="b">
            <v>0</v>
          </cell>
        </row>
        <row r="444">
          <cell r="A444" t="str">
            <v>Telemetry Failure after unsuccessful periodic commands</v>
          </cell>
          <cell r="B444" t="str">
            <v/>
          </cell>
          <cell r="C444" t="str">
            <v/>
          </cell>
          <cell r="D444" t="str">
            <v>FEP_TELEMETRY_FAILURE_PERIODIC_COMMAND</v>
          </cell>
          <cell r="E444" t="b">
            <v>1</v>
          </cell>
          <cell r="F444" t="str">
            <v>Falha na telemetria detectada após {0} comando (s) periódico (s) sem êxito.</v>
          </cell>
          <cell r="G444" t="str">
            <v/>
          </cell>
          <cell r="H444">
            <v>0</v>
          </cell>
          <cell r="I444">
            <v>0</v>
          </cell>
          <cell r="J444" t="str">
            <v>ApplicationAlarm</v>
          </cell>
          <cell r="K444" t="str">
            <v>Severidade 16</v>
          </cell>
          <cell r="L444" t="str">
            <v>Severidade 16</v>
          </cell>
          <cell r="M444" t="b">
            <v>0</v>
          </cell>
        </row>
        <row r="445">
          <cell r="A445" t="str">
            <v>Too many calls not processed</v>
          </cell>
          <cell r="B445" t="str">
            <v/>
          </cell>
          <cell r="C445" t="str">
            <v/>
          </cell>
          <cell r="D445" t="str">
            <v>OMS_ALARM_TOO_MANY_CALLS_NOT_PROCESSED</v>
          </cell>
          <cell r="E445" t="b">
            <v>0</v>
          </cell>
          <cell r="F445" t="str">
            <v>Desempenho de processamento de chamada degradado, muitos eventos não processados ??({0})</v>
          </cell>
          <cell r="G445" t="str">
            <v/>
          </cell>
          <cell r="H445">
            <v>0</v>
          </cell>
          <cell r="I445">
            <v>0</v>
          </cell>
          <cell r="J445" t="str">
            <v>ApplicationAlarm</v>
          </cell>
          <cell r="K445" t="str">
            <v>Severidade 10</v>
          </cell>
          <cell r="L445" t="str">
            <v>Severidade 16</v>
          </cell>
          <cell r="M445" t="b">
            <v>0</v>
          </cell>
        </row>
        <row r="446">
          <cell r="A446" t="str">
            <v>Too many calls not processed return to normal</v>
          </cell>
          <cell r="B446" t="str">
            <v/>
          </cell>
          <cell r="C446" t="str">
            <v/>
          </cell>
          <cell r="D446" t="str">
            <v>OMS_ALARM_RTN_TOO_MANY_CALLS_NOT_PROCESSED</v>
          </cell>
          <cell r="E446" t="b">
            <v>0</v>
          </cell>
          <cell r="F446" t="str">
            <v>Desempenho de processamento de chamadas normalizado</v>
          </cell>
          <cell r="G446" t="str">
            <v/>
          </cell>
          <cell r="H446">
            <v>0</v>
          </cell>
          <cell r="I446">
            <v>0</v>
          </cell>
          <cell r="J446" t="str">
            <v>ApplicationAlarm</v>
          </cell>
          <cell r="K446" t="str">
            <v>Severidade 10</v>
          </cell>
          <cell r="L446" t="str">
            <v>Severidade 16</v>
          </cell>
          <cell r="M446" t="b">
            <v>0</v>
          </cell>
        </row>
        <row r="447">
          <cell r="A447" t="str">
            <v>Too many elements excluded from optimization in time period</v>
          </cell>
          <cell r="B447" t="str">
            <v/>
          </cell>
          <cell r="C447" t="str">
            <v/>
          </cell>
          <cell r="D447" t="str">
            <v>DMS_CFS_TOO_MANY_EXCL_ELEMENTS_IN_TIME_PERIOD</v>
          </cell>
          <cell r="E447" t="b">
            <v>0</v>
          </cell>
          <cell r="F447" t="str">
            <v>{0} dispositivos foram excluídos da otimização nos últimos {1} segundos</v>
          </cell>
          <cell r="G447" t="str">
            <v>Represents alarm that is raised when too many elements are added in the Exclusion List within the specified time.</v>
          </cell>
          <cell r="H447">
            <v>0</v>
          </cell>
          <cell r="I447">
            <v>0</v>
          </cell>
          <cell r="J447" t="str">
            <v>ApplicationAlarm</v>
          </cell>
          <cell r="K447" t="str">
            <v>Severidade 10</v>
          </cell>
          <cell r="L447" t="str">
            <v>Severidade 16</v>
          </cell>
          <cell r="M447" t="b">
            <v>0</v>
          </cell>
        </row>
        <row r="448">
          <cell r="A448" t="str">
            <v>Too many incidents return to normal</v>
          </cell>
          <cell r="B448" t="str">
            <v/>
          </cell>
          <cell r="C448" t="str">
            <v/>
          </cell>
          <cell r="D448" t="str">
            <v>OMS_ALARM_RTN_TOO_MANY_NEW_INCIDENTS</v>
          </cell>
          <cell r="E448" t="b">
            <v>0</v>
          </cell>
          <cell r="F448" t="str">
            <v>Processamento de incidentes normalizado</v>
          </cell>
          <cell r="G448" t="str">
            <v/>
          </cell>
          <cell r="H448">
            <v>0</v>
          </cell>
          <cell r="I448">
            <v>0</v>
          </cell>
          <cell r="J448" t="str">
            <v>ApplicationAlarm</v>
          </cell>
          <cell r="K448" t="str">
            <v>Severidade 10</v>
          </cell>
          <cell r="L448" t="str">
            <v>Severidade 16</v>
          </cell>
          <cell r="M448" t="b">
            <v>0</v>
          </cell>
        </row>
        <row r="449">
          <cell r="A449" t="str">
            <v>Too many last gasp events received</v>
          </cell>
          <cell r="B449" t="str">
            <v/>
          </cell>
          <cell r="C449" t="str">
            <v/>
          </cell>
          <cell r="D449" t="str">
            <v>OMS_ALARM_TOO_MANY_LAST_GASP_EVENT_RECEIVED</v>
          </cell>
          <cell r="E449" t="b">
            <v>0</v>
          </cell>
          <cell r="F449" t="str">
            <v>{0} últimos eventos de suspiro recebidos em {1} minutos</v>
          </cell>
          <cell r="G449" t="str">
            <v/>
          </cell>
          <cell r="H449">
            <v>0</v>
          </cell>
          <cell r="I449">
            <v>0</v>
          </cell>
          <cell r="J449" t="str">
            <v>ApplicationAlarm</v>
          </cell>
          <cell r="K449" t="str">
            <v>Severidade 8</v>
          </cell>
          <cell r="L449" t="str">
            <v>Severidade 16</v>
          </cell>
          <cell r="M449" t="b">
            <v>0</v>
          </cell>
        </row>
        <row r="450">
          <cell r="A450" t="str">
            <v>Too many new incidents</v>
          </cell>
          <cell r="B450" t="str">
            <v/>
          </cell>
          <cell r="C450" t="str">
            <v/>
          </cell>
          <cell r="D450" t="str">
            <v>OMS_ALARM_TOO_MANY_NEW_INCIDENTS</v>
          </cell>
          <cell r="E450" t="b">
            <v>0</v>
          </cell>
          <cell r="F450" t="str">
            <v>Muitos incidentes não atribuídos ({0})</v>
          </cell>
          <cell r="G450" t="str">
            <v/>
          </cell>
          <cell r="H450">
            <v>0</v>
          </cell>
          <cell r="I450">
            <v>0</v>
          </cell>
          <cell r="J450" t="str">
            <v>ApplicationAlarm</v>
          </cell>
          <cell r="K450" t="str">
            <v>Severidade 10</v>
          </cell>
          <cell r="L450" t="str">
            <v>Severidade 16</v>
          </cell>
          <cell r="M450" t="b">
            <v>0</v>
          </cell>
        </row>
        <row r="451">
          <cell r="A451" t="str">
            <v>Too meany trouble calls received</v>
          </cell>
          <cell r="B451" t="str">
            <v/>
          </cell>
          <cell r="C451" t="str">
            <v/>
          </cell>
          <cell r="D451" t="str">
            <v>OMS_ALARM_TOO_MANY_TROUBLE_CALLS_RECEIVED</v>
          </cell>
          <cell r="E451" t="b">
            <v>0</v>
          </cell>
          <cell r="F451" t="str">
            <v>{0} chamadas com problemas recebidas em {1} minutos</v>
          </cell>
          <cell r="G451" t="str">
            <v/>
          </cell>
          <cell r="H451">
            <v>0</v>
          </cell>
          <cell r="I451">
            <v>0</v>
          </cell>
          <cell r="J451" t="str">
            <v>ApplicationAlarm</v>
          </cell>
          <cell r="K451" t="str">
            <v>Severidade 8</v>
          </cell>
          <cell r="L451" t="str">
            <v>Severidade 16</v>
          </cell>
          <cell r="M451" t="b">
            <v>0</v>
          </cell>
        </row>
        <row r="452">
          <cell r="A452" t="str">
            <v>Too meny affected customers</v>
          </cell>
          <cell r="B452" t="str">
            <v/>
          </cell>
          <cell r="C452" t="str">
            <v/>
          </cell>
          <cell r="D452" t="str">
            <v>OMS_ALARM_TOO_MANY_AFF_CUSTOMER_INC_CREATED</v>
          </cell>
          <cell r="E452" t="b">
            <v>0</v>
          </cell>
          <cell r="F452" t="str">
            <v>Um incidente {0} com mais de {1} clientes afetados foi criado</v>
          </cell>
          <cell r="G452" t="str">
            <v/>
          </cell>
          <cell r="H452">
            <v>0</v>
          </cell>
          <cell r="I452">
            <v>0</v>
          </cell>
          <cell r="J452" t="str">
            <v>ApplicationAlarm</v>
          </cell>
          <cell r="K452" t="str">
            <v>Severidade 10</v>
          </cell>
          <cell r="L452" t="str">
            <v>Severidade 16</v>
          </cell>
          <cell r="M452" t="b">
            <v>0</v>
          </cell>
        </row>
        <row r="453">
          <cell r="A453" t="str">
            <v>Transformer circulating current</v>
          </cell>
          <cell r="B453" t="str">
            <v/>
          </cell>
          <cell r="C453" t="str">
            <v/>
          </cell>
          <cell r="D453" t="str">
            <v>DMS_CFS_CIRCULATING_CURRENT</v>
          </cell>
          <cell r="E453" t="b">
            <v>0</v>
          </cell>
          <cell r="F453" t="str">
            <v>Corrente circulante do transformador acima do limite {0} {1}.</v>
          </cell>
          <cell r="G453" t="str">
            <v/>
          </cell>
          <cell r="H453">
            <v>0</v>
          </cell>
          <cell r="I453">
            <v>0</v>
          </cell>
          <cell r="J453" t="str">
            <v>ApplicationAlarm</v>
          </cell>
          <cell r="K453" t="str">
            <v>Severidade 14</v>
          </cell>
          <cell r="L453" t="str">
            <v>Severidade 16</v>
          </cell>
          <cell r="M453" t="b">
            <v>0</v>
          </cell>
        </row>
        <row r="454">
          <cell r="A454" t="str">
            <v>Transformer circulating current returned to normal</v>
          </cell>
          <cell r="B454" t="str">
            <v/>
          </cell>
          <cell r="C454" t="str">
            <v/>
          </cell>
          <cell r="D454" t="str">
            <v>DMS_CFS_RTN_CIRCULATING_CURRENT</v>
          </cell>
          <cell r="E454" t="b">
            <v>0</v>
          </cell>
          <cell r="F454" t="str">
            <v>Corrente de circulação do transformador dentro dos limites.</v>
          </cell>
          <cell r="G454" t="str">
            <v/>
          </cell>
          <cell r="H454">
            <v>0</v>
          </cell>
          <cell r="I454">
            <v>0</v>
          </cell>
          <cell r="J454" t="str">
            <v>ApplicationAlarm</v>
          </cell>
          <cell r="K454" t="str">
            <v>Severidade 14</v>
          </cell>
          <cell r="L454" t="str">
            <v>Severidade 16</v>
          </cell>
          <cell r="M454" t="b">
            <v>0</v>
          </cell>
        </row>
        <row r="455">
          <cell r="A455" t="str">
            <v>Transformer overexcitation</v>
          </cell>
          <cell r="B455" t="str">
            <v/>
          </cell>
          <cell r="C455" t="str">
            <v/>
          </cell>
          <cell r="D455" t="str">
            <v>DMS_CFS_OVEREXCITATION</v>
          </cell>
          <cell r="E455" t="b">
            <v>0</v>
          </cell>
          <cell r="F455" t="str">
            <v>Excitação do transformador acima do limite de {0} {1}.</v>
          </cell>
          <cell r="G455" t="str">
            <v/>
          </cell>
          <cell r="H455">
            <v>0</v>
          </cell>
          <cell r="I455">
            <v>0</v>
          </cell>
          <cell r="J455" t="str">
            <v>ApplicationAlarm</v>
          </cell>
          <cell r="K455" t="str">
            <v>Severidade 14</v>
          </cell>
          <cell r="L455" t="str">
            <v>Severidade 16</v>
          </cell>
          <cell r="M455" t="b">
            <v>0</v>
          </cell>
        </row>
        <row r="456">
          <cell r="A456" t="str">
            <v>Transformer overexcitation returned to normal</v>
          </cell>
          <cell r="B456" t="str">
            <v/>
          </cell>
          <cell r="C456" t="str">
            <v/>
          </cell>
          <cell r="D456" t="str">
            <v>DMS_CFS_RTN_OVEREXCITATION</v>
          </cell>
          <cell r="E456" t="b">
            <v>0</v>
          </cell>
          <cell r="F456" t="str">
            <v>Excitação do transformador dentro dos limites.</v>
          </cell>
          <cell r="G456" t="str">
            <v/>
          </cell>
          <cell r="H456">
            <v>0</v>
          </cell>
          <cell r="I456">
            <v>0</v>
          </cell>
          <cell r="J456" t="str">
            <v>ApplicationAlarm</v>
          </cell>
          <cell r="K456" t="str">
            <v>Severidade 14</v>
          </cell>
          <cell r="L456" t="str">
            <v>Severidade 16</v>
          </cell>
          <cell r="M456" t="b">
            <v>0</v>
          </cell>
        </row>
        <row r="457">
          <cell r="A457" t="str">
            <v>Transformer overload</v>
          </cell>
          <cell r="B457" t="str">
            <v/>
          </cell>
          <cell r="C457" t="str">
            <v/>
          </cell>
          <cell r="D457" t="str">
            <v>DMS_CFS_OVERLOAD_TRANSFORMER</v>
          </cell>
          <cell r="E457" t="b">
            <v>0</v>
          </cell>
          <cell r="F457" t="str">
            <v>Carregamento do transformador acima do limite de {0} {1}.</v>
          </cell>
          <cell r="G457" t="str">
            <v/>
          </cell>
          <cell r="H457">
            <v>0</v>
          </cell>
          <cell r="I457">
            <v>0</v>
          </cell>
          <cell r="J457" t="str">
            <v>ApplicationAlarm</v>
          </cell>
          <cell r="K457" t="str">
            <v>Severidade 10</v>
          </cell>
          <cell r="L457" t="str">
            <v>Severidade 16</v>
          </cell>
          <cell r="M457" t="b">
            <v>0</v>
          </cell>
        </row>
        <row r="458">
          <cell r="A458" t="str">
            <v>Transformer overload returned to normal</v>
          </cell>
          <cell r="B458" t="str">
            <v/>
          </cell>
          <cell r="C458" t="str">
            <v/>
          </cell>
          <cell r="D458" t="str">
            <v>DMS_CFS_RTN_OVERLOAD_TRANSFORMER</v>
          </cell>
          <cell r="E458" t="b">
            <v>0</v>
          </cell>
          <cell r="F458" t="str">
            <v>Carga do transformador dentro dos limites.</v>
          </cell>
          <cell r="G458" t="str">
            <v/>
          </cell>
          <cell r="H458">
            <v>0</v>
          </cell>
          <cell r="I458">
            <v>0</v>
          </cell>
          <cell r="J458" t="str">
            <v>ApplicationAlarm</v>
          </cell>
          <cell r="K458" t="str">
            <v>Severidade 10</v>
          </cell>
          <cell r="L458" t="str">
            <v>Severidade 16</v>
          </cell>
          <cell r="M458" t="b">
            <v>0</v>
          </cell>
        </row>
        <row r="459">
          <cell r="A459" t="str">
            <v>UF critical customer affected</v>
          </cell>
          <cell r="B459" t="str">
            <v/>
          </cell>
          <cell r="C459" t="str">
            <v/>
          </cell>
          <cell r="D459" t="str">
            <v>DMS_OPS_UF_CRIT_CUSTOMER_AFFECTED</v>
          </cell>
          <cell r="E459" t="b">
            <v>0</v>
          </cell>
          <cell r="F459" t="str">
            <v>Carga coberta por relés UF: {0} [MW] está abaixo do limite configurado: {1} [MW] por estágio: {2}</v>
          </cell>
          <cell r="G459" t="str">
            <v/>
          </cell>
          <cell r="H459">
            <v>0</v>
          </cell>
          <cell r="I459">
            <v>0</v>
          </cell>
          <cell r="J459" t="str">
            <v>ApplicationAlarm</v>
          </cell>
          <cell r="K459" t="str">
            <v>Severidade 10</v>
          </cell>
          <cell r="L459" t="str">
            <v>Severidade 16</v>
          </cell>
          <cell r="M459" t="b">
            <v>0</v>
          </cell>
        </row>
        <row r="460">
          <cell r="A460" t="str">
            <v>UF load limit violation</v>
          </cell>
          <cell r="B460" t="str">
            <v/>
          </cell>
          <cell r="C460" t="str">
            <v/>
          </cell>
          <cell r="D460" t="str">
            <v>DMS_OPS_UF_LOAD_LIMIT_VIOL</v>
          </cell>
          <cell r="E460" t="b">
            <v>0</v>
          </cell>
          <cell r="F460" t="str">
            <v>Carga protegida por relés UF: {0} [MW] está acima do limite configurado: {1} [MW] por estágio: {2}</v>
          </cell>
          <cell r="G460" t="str">
            <v/>
          </cell>
          <cell r="H460">
            <v>0</v>
          </cell>
          <cell r="I460">
            <v>0</v>
          </cell>
          <cell r="J460" t="str">
            <v>ApplicationAlarm</v>
          </cell>
          <cell r="K460" t="str">
            <v>Severidade 10</v>
          </cell>
          <cell r="L460" t="str">
            <v>Severidade 16</v>
          </cell>
          <cell r="M460" t="b">
            <v>0</v>
          </cell>
        </row>
        <row r="461">
          <cell r="A461" t="str">
            <v>Undervoltage aggregated returned to normal</v>
          </cell>
          <cell r="B461" t="str">
            <v/>
          </cell>
          <cell r="C461" t="str">
            <v/>
          </cell>
          <cell r="D461" t="str">
            <v>DMS_CFS_RTN_SUBSTATION_UNDERVOLTAGE</v>
          </cell>
          <cell r="E461" t="b">
            <v>0</v>
          </cell>
          <cell r="F461" t="str">
            <v>Subtensão agregada dentro dos limites</v>
          </cell>
          <cell r="G461" t="str">
            <v/>
          </cell>
          <cell r="H461">
            <v>0</v>
          </cell>
          <cell r="I461">
            <v>0</v>
          </cell>
          <cell r="J461" t="str">
            <v>ApplicationAlarm</v>
          </cell>
          <cell r="K461" t="str">
            <v>Severidade 10</v>
          </cell>
          <cell r="L461" t="str">
            <v>Severidade 16</v>
          </cell>
          <cell r="M461" t="b">
            <v>0</v>
          </cell>
        </row>
        <row r="462">
          <cell r="A462" t="str">
            <v>Undervoltage aggregated returned to normal_1</v>
          </cell>
          <cell r="B462" t="str">
            <v/>
          </cell>
          <cell r="C462" t="str">
            <v/>
          </cell>
          <cell r="D462" t="str">
            <v>DMS_CFS_RTN_AGGREGATE_UNDERVOLTAGE</v>
          </cell>
          <cell r="E462" t="b">
            <v>0</v>
          </cell>
          <cell r="F462" t="str">
            <v>Subtensão no alimentador agregada ao nível da subestação</v>
          </cell>
          <cell r="G462" t="str">
            <v/>
          </cell>
          <cell r="H462">
            <v>0</v>
          </cell>
          <cell r="I462">
            <v>0</v>
          </cell>
          <cell r="J462" t="str">
            <v>ApplicationAlarm</v>
          </cell>
          <cell r="K462" t="str">
            <v>Severidade 10</v>
          </cell>
          <cell r="L462" t="str">
            <v>Severidade 16</v>
          </cell>
          <cell r="M462" t="b">
            <v>0</v>
          </cell>
        </row>
        <row r="463">
          <cell r="A463" t="str">
            <v>Undo SR on tie feeder trip</v>
          </cell>
          <cell r="B463" t="str">
            <v/>
          </cell>
          <cell r="C463" t="str">
            <v/>
          </cell>
          <cell r="D463" t="str">
            <v>DMS_OPS_TIE_FEEDER_TRIP</v>
          </cell>
          <cell r="E463" t="b">
            <v>0</v>
          </cell>
          <cell r="F463" t="str">
            <v>{0} detecção detectada no alimentador conectado, a operação será desfeita</v>
          </cell>
          <cell r="G463" t="str">
            <v/>
          </cell>
          <cell r="H463">
            <v>0</v>
          </cell>
          <cell r="I463">
            <v>0</v>
          </cell>
          <cell r="J463" t="str">
            <v>ApplicationAlarm</v>
          </cell>
          <cell r="K463" t="str">
            <v>Severidade 8</v>
          </cell>
          <cell r="L463" t="str">
            <v>Severidade 16</v>
          </cell>
          <cell r="M463" t="b">
            <v>0</v>
          </cell>
        </row>
        <row r="464">
          <cell r="A464" t="str">
            <v>Unknown Input Coordinate</v>
          </cell>
          <cell r="B464" t="str">
            <v/>
          </cell>
          <cell r="C464" t="str">
            <v/>
          </cell>
          <cell r="D464" t="str">
            <v>FEP_UNKNOWN_IOA</v>
          </cell>
          <cell r="E464" t="b">
            <v>0</v>
          </cell>
          <cell r="F464" t="str">
            <v>A coordenada de entrada desconhecida {0} é recebida.</v>
          </cell>
          <cell r="G464" t="str">
            <v/>
          </cell>
          <cell r="H464">
            <v>0</v>
          </cell>
          <cell r="I464">
            <v>0</v>
          </cell>
          <cell r="J464" t="str">
            <v>ApplicationAlarm</v>
          </cell>
          <cell r="K464" t="str">
            <v>Severidade 16</v>
          </cell>
          <cell r="L464" t="str">
            <v>Severidade 16</v>
          </cell>
          <cell r="M464" t="b">
            <v>0</v>
          </cell>
        </row>
        <row r="465">
          <cell r="A465" t="str">
            <v>Unknown RTU</v>
          </cell>
          <cell r="B465" t="str">
            <v/>
          </cell>
          <cell r="C465" t="str">
            <v/>
          </cell>
          <cell r="D465" t="str">
            <v>FEP_UNKNOWN_ASDU</v>
          </cell>
          <cell r="E465" t="b">
            <v>0</v>
          </cell>
          <cell r="F465" t="str">
            <v>No link Comunicação com IP {0}: {1}, uma mensagem foi recebida de um endereço ASDU desconhecido {2}.</v>
          </cell>
          <cell r="G465" t="str">
            <v/>
          </cell>
          <cell r="H465">
            <v>0</v>
          </cell>
          <cell r="I465">
            <v>0</v>
          </cell>
          <cell r="J465" t="str">
            <v>ApplicationAlarm</v>
          </cell>
          <cell r="K465" t="str">
            <v>Severidade 16</v>
          </cell>
          <cell r="L465" t="str">
            <v>Severidade 16</v>
          </cell>
          <cell r="M465" t="b">
            <v>0</v>
          </cell>
        </row>
        <row r="466">
          <cell r="A466" t="str">
            <v>Unplanned islanding</v>
          </cell>
          <cell r="B466" t="str">
            <v/>
          </cell>
          <cell r="C466" t="str">
            <v/>
          </cell>
          <cell r="D466" t="str">
            <v>MGMS_ADC_UNPLANNED_ISLANDING_DETECTED</v>
          </cell>
          <cell r="E466" t="b">
            <v>1</v>
          </cell>
          <cell r="F466" t="str">
            <v>Ilhotas não planejadas de micro-redes.</v>
          </cell>
          <cell r="G466" t="str">
            <v/>
          </cell>
          <cell r="H466">
            <v>0</v>
          </cell>
          <cell r="I466">
            <v>0</v>
          </cell>
          <cell r="J466" t="str">
            <v>ApplicationAlarm</v>
          </cell>
          <cell r="K466" t="str">
            <v>Severidade 10</v>
          </cell>
          <cell r="L466" t="str">
            <v>Severidade 16</v>
          </cell>
          <cell r="M466" t="b">
            <v>0</v>
          </cell>
        </row>
        <row r="467">
          <cell r="A467" t="str">
            <v>Unplanned islanding_1</v>
          </cell>
          <cell r="B467" t="str">
            <v/>
          </cell>
          <cell r="C467" t="str">
            <v/>
          </cell>
          <cell r="D467" t="str">
            <v>GMS_AGC_UNPLANNED_ISLANDING_DETECTED</v>
          </cell>
          <cell r="E467" t="b">
            <v>1</v>
          </cell>
          <cell r="F467" t="str">
            <v>Ilhotas não planejadas de micro-redes.</v>
          </cell>
          <cell r="G467" t="str">
            <v/>
          </cell>
          <cell r="H467">
            <v>0</v>
          </cell>
          <cell r="I467">
            <v>0</v>
          </cell>
          <cell r="J467" t="str">
            <v>ApplicationAlarm</v>
          </cell>
          <cell r="K467" t="str">
            <v>Severidade 10</v>
          </cell>
          <cell r="L467" t="str">
            <v>Severidade 16</v>
          </cell>
          <cell r="M467" t="b">
            <v>0</v>
          </cell>
        </row>
        <row r="468">
          <cell r="A468" t="str">
            <v>Voltage regulator with reverse flow</v>
          </cell>
          <cell r="B468" t="str">
            <v/>
          </cell>
          <cell r="C468" t="str">
            <v>REGTEN</v>
          </cell>
          <cell r="D468" t="str">
            <v>DMS_VOLTREG_REVERSE_FLOW</v>
          </cell>
          <cell r="E468" t="b">
            <v>0</v>
          </cell>
          <cell r="F468" t="str">
            <v>O regulador de tensão possui fluxo de energia reverso.</v>
          </cell>
          <cell r="G468" t="str">
            <v/>
          </cell>
          <cell r="H468">
            <v>0</v>
          </cell>
          <cell r="I468">
            <v>0</v>
          </cell>
          <cell r="J468" t="str">
            <v>ApplicationAlarm</v>
          </cell>
          <cell r="K468" t="str">
            <v>Severidade 10</v>
          </cell>
          <cell r="L468" t="str">
            <v>Severidade 16</v>
          </cell>
          <cell r="M468" t="b">
            <v>0</v>
          </cell>
        </row>
        <row r="469">
          <cell r="A469" t="str">
            <v>Voltage regulator with reverse flow returned to normal</v>
          </cell>
          <cell r="B469" t="str">
            <v/>
          </cell>
          <cell r="C469" t="str">
            <v>REGTEN</v>
          </cell>
          <cell r="D469" t="str">
            <v>DMS_VOLTREG_RTN_REVERSE_FLOW</v>
          </cell>
          <cell r="E469" t="b">
            <v>0</v>
          </cell>
          <cell r="F469" t="str">
            <v>O regulador de tensão não tem mais fluxo de energia reverso.</v>
          </cell>
          <cell r="G469" t="str">
            <v/>
          </cell>
          <cell r="H469">
            <v>0</v>
          </cell>
          <cell r="I469">
            <v>0</v>
          </cell>
          <cell r="J469" t="str">
            <v>ApplicationAlarm</v>
          </cell>
          <cell r="K469" t="str">
            <v>Severidade 10</v>
          </cell>
          <cell r="L469" t="str">
            <v>Severidade 16</v>
          </cell>
          <cell r="M469" t="b">
            <v>0</v>
          </cell>
        </row>
        <row r="470">
          <cell r="A470" t="str">
            <v>Watchdog period for signal has expired</v>
          </cell>
          <cell r="B470" t="str">
            <v/>
          </cell>
          <cell r="C470" t="str">
            <v>DADCNG</v>
          </cell>
          <cell r="D470" t="str">
            <v>WATCHDOG_EXPIRED</v>
          </cell>
          <cell r="E470" t="b">
            <v>0</v>
          </cell>
          <cell r="F470" t="str">
            <v>DADCNG - {0} segundos []</v>
          </cell>
          <cell r="G470" t="str">
            <v>O valor do sinal não foi atualizado no período esperado</v>
          </cell>
          <cell r="H470">
            <v>0</v>
          </cell>
          <cell r="I470">
            <v>0</v>
          </cell>
          <cell r="J470" t="str">
            <v>ApplicationAlarm</v>
          </cell>
          <cell r="K470" t="str">
            <v>Severidade 16</v>
          </cell>
          <cell r="L470" t="str">
            <v>Severidade 16</v>
          </cell>
          <cell r="M470" t="b">
            <v>0</v>
          </cell>
        </row>
        <row r="471">
          <cell r="A471" t="str">
            <v>Wire down detected</v>
          </cell>
          <cell r="B471" t="str">
            <v/>
          </cell>
          <cell r="C471" t="str">
            <v/>
          </cell>
          <cell r="D471" t="str">
            <v>OMS_ALARM_WIRE_DOWN_DETECTED</v>
          </cell>
          <cell r="E471" t="b">
            <v>0</v>
          </cell>
          <cell r="F471" t="str">
            <v>A condição de desconexão foi detectada na área afetada do incidente {0}</v>
          </cell>
          <cell r="G471" t="str">
            <v/>
          </cell>
          <cell r="H471">
            <v>0</v>
          </cell>
          <cell r="I471">
            <v>0</v>
          </cell>
          <cell r="J471" t="str">
            <v>ApplicationAlarm</v>
          </cell>
          <cell r="K471" t="str">
            <v>Severidade 10</v>
          </cell>
          <cell r="L471" t="str">
            <v>Severidade 16</v>
          </cell>
          <cell r="M471" t="b">
            <v>0</v>
          </cell>
        </row>
        <row r="472">
          <cell r="A472" t="str">
            <v>RELI Opening regarding more than one circuit breaker</v>
          </cell>
          <cell r="B472" t="str">
            <v/>
          </cell>
          <cell r="C472" t="str">
            <v/>
          </cell>
          <cell r="D472" t="str">
            <v>RELI_MESSAGE_02</v>
          </cell>
          <cell r="E472" t="b">
            <v>1</v>
          </cell>
          <cell r="F472" t="str">
            <v>DGRELI - Abertura de mais de um Disjuntor  []</v>
          </cell>
          <cell r="G472" t="str">
            <v>Indica quando mais de um Disjuntor na SE foi aberto ao mesmo tempo</v>
          </cell>
          <cell r="H472">
            <v>0</v>
          </cell>
          <cell r="I472">
            <v>0</v>
          </cell>
          <cell r="J472" t="str">
            <v>ApplicationAlarm</v>
          </cell>
          <cell r="K472" t="str">
            <v>Severidade 15</v>
          </cell>
          <cell r="L472" t="str">
            <v>Severidade 16</v>
          </cell>
          <cell r="M472" t="b">
            <v>0</v>
          </cell>
        </row>
        <row r="473">
          <cell r="A473" t="str">
            <v>RELI Blocked circuit breaker</v>
          </cell>
          <cell r="B473" t="str">
            <v/>
          </cell>
          <cell r="C473" t="str">
            <v/>
          </cell>
          <cell r="D473" t="str">
            <v>RELI_MESSAGE_03</v>
          </cell>
          <cell r="E473" t="b">
            <v>0</v>
          </cell>
          <cell r="F473" t="str">
            <v>DGRELI - Disjuntor Impedido  []</v>
          </cell>
          <cell r="G473" t="str">
            <v>Gerado quando não ocorre um religamento devido ao ponto estar bloqueado (bloqueio / linha viva / manutenção / desabilitado)</v>
          </cell>
          <cell r="H473">
            <v>0</v>
          </cell>
          <cell r="I473">
            <v>0</v>
          </cell>
          <cell r="J473" t="str">
            <v>ApplicationAlarm</v>
          </cell>
          <cell r="K473" t="str">
            <v>Severidade 15</v>
          </cell>
          <cell r="L473" t="str">
            <v>Severidade 16</v>
          </cell>
          <cell r="M473" t="b">
            <v>0</v>
          </cell>
        </row>
        <row r="474">
          <cell r="A474" t="str">
            <v>RELI Non-implemented Reclosing – point without registration</v>
          </cell>
          <cell r="B474" t="str">
            <v/>
          </cell>
          <cell r="C474" t="str">
            <v/>
          </cell>
          <cell r="D474" t="str">
            <v>RELI_MESSAGE_04</v>
          </cell>
          <cell r="E474" t="b">
            <v>0</v>
          </cell>
          <cell r="F474" t="str">
            <v>DGRELI - Religamento não Implantado - Ponto sem Cadastro  []</v>
          </cell>
          <cell r="G474" t="str">
            <v>Gerado quando não ocorre um religamento devido ao RELI não estar implantado no ponto</v>
          </cell>
          <cell r="H474">
            <v>0</v>
          </cell>
          <cell r="I474">
            <v>0</v>
          </cell>
          <cell r="J474" t="str">
            <v>ApplicationAlarm</v>
          </cell>
          <cell r="K474" t="str">
            <v>Severidade 15</v>
          </cell>
          <cell r="L474" t="str">
            <v>Severidade 16</v>
          </cell>
          <cell r="M474" t="b">
            <v>0</v>
          </cell>
        </row>
        <row r="475">
          <cell r="A475" t="str">
            <v>RELI Point’s reclosing is disabled</v>
          </cell>
          <cell r="B475" t="str">
            <v/>
          </cell>
          <cell r="C475" t="str">
            <v/>
          </cell>
          <cell r="D475" t="str">
            <v>RELI_MESSAGE_05</v>
          </cell>
          <cell r="E475" t="b">
            <v>0</v>
          </cell>
          <cell r="F475" t="str">
            <v>DGRELI - Religamento do Ponto Desabilitado  []</v>
          </cell>
          <cell r="G475" t="str">
            <v>Gerado quando não ocorre um religamento devido ao RELI não estar ativo no ponto</v>
          </cell>
          <cell r="H475">
            <v>0</v>
          </cell>
          <cell r="I475">
            <v>0</v>
          </cell>
          <cell r="J475" t="str">
            <v>ApplicationAlarm</v>
          </cell>
          <cell r="K475" t="str">
            <v>Severidade 15</v>
          </cell>
          <cell r="L475" t="str">
            <v>Severidade 16</v>
          </cell>
          <cell r="M475" t="b">
            <v>0</v>
          </cell>
        </row>
        <row r="476">
          <cell r="A476" t="str">
            <v>RELI SE’s reclosing is deactivated</v>
          </cell>
          <cell r="B476" t="str">
            <v/>
          </cell>
          <cell r="C476" t="str">
            <v/>
          </cell>
          <cell r="D476" t="str">
            <v>RELI_MESSAGE_06</v>
          </cell>
          <cell r="E476" t="b">
            <v>0</v>
          </cell>
          <cell r="F476" t="str">
            <v>DGRELI - Religamento da SE Desativado  []</v>
          </cell>
          <cell r="G476" t="str">
            <v xml:space="preserve">Gerado quando não ocorre um religamento quando o religamento da UTR estiver desativado </v>
          </cell>
          <cell r="H476">
            <v>0</v>
          </cell>
          <cell r="I476">
            <v>0</v>
          </cell>
          <cell r="J476" t="str">
            <v>ApplicationAlarm</v>
          </cell>
          <cell r="K476" t="str">
            <v>Severidade 15</v>
          </cell>
          <cell r="L476" t="str">
            <v>Severidade 16</v>
          </cell>
          <cell r="M476" t="b">
            <v>0</v>
          </cell>
        </row>
        <row r="477">
          <cell r="A477" t="str">
            <v>RELI Master switch set as local DGRELI</v>
          </cell>
          <cell r="B477" t="str">
            <v/>
          </cell>
          <cell r="C477" t="str">
            <v/>
          </cell>
          <cell r="D477" t="str">
            <v>RELI_MESSAGE_07</v>
          </cell>
          <cell r="E477" t="b">
            <v>0</v>
          </cell>
          <cell r="F477" t="str">
            <v>DGRELI - Chave Geral em Local  []</v>
          </cell>
          <cell r="G477" t="str">
            <v>Gerado quando não ocorre um religamento devido a chave geral Local/Remoto da SE estar em Local</v>
          </cell>
          <cell r="H477">
            <v>0</v>
          </cell>
          <cell r="I477">
            <v>0</v>
          </cell>
          <cell r="J477" t="str">
            <v>ApplicationAlarm</v>
          </cell>
          <cell r="K477" t="str">
            <v>Severidade 15</v>
          </cell>
          <cell r="L477" t="str">
            <v>Severidade 16</v>
          </cell>
          <cell r="M477" t="b">
            <v>0</v>
          </cell>
        </row>
        <row r="478">
          <cell r="A478" t="str">
            <v>Alarme de Estado em Ponto Telecontrolado</v>
          </cell>
          <cell r="B478" t="str">
            <v/>
          </cell>
          <cell r="C478" t="str">
            <v>ALESTC</v>
          </cell>
          <cell r="D478" t="str">
            <v>ebfa40c2-5aef-4d1a-af9c-d93479e7c567</v>
          </cell>
          <cell r="E478" t="b">
            <v>1</v>
          </cell>
          <cell r="F478" t="str">
            <v>ALESTC - {1} []</v>
          </cell>
          <cell r="G478" t="str">
            <v>Alarme de Estado em Ponto Telecontrolado</v>
          </cell>
          <cell r="H478">
            <v>0</v>
          </cell>
          <cell r="I478">
            <v>0</v>
          </cell>
          <cell r="J478" t="str">
            <v>DiscreteState</v>
          </cell>
          <cell r="K478" t="str">
            <v>Severidade 2</v>
          </cell>
          <cell r="L478" t="str">
            <v>Severidade 16</v>
          </cell>
          <cell r="M478" t="b">
            <v>0</v>
          </cell>
        </row>
        <row r="479">
          <cell r="A479" t="str">
            <v>Alarme de Estado em Ponto Telessinalizado</v>
          </cell>
          <cell r="B479" t="str">
            <v/>
          </cell>
          <cell r="C479" t="str">
            <v xml:space="preserve">ALESTS </v>
          </cell>
          <cell r="D479" t="str">
            <v>c44e4e88-54bf-42e8-9855-195297dff8bb</v>
          </cell>
          <cell r="E479" t="b">
            <v>1</v>
          </cell>
          <cell r="F479" t="str">
            <v>ALESTS - {1} []</v>
          </cell>
          <cell r="G479" t="str">
            <v>Alarme de Estado em Ponto Telessinalizado</v>
          </cell>
          <cell r="H479">
            <v>0</v>
          </cell>
          <cell r="I479">
            <v>0</v>
          </cell>
          <cell r="J479" t="str">
            <v>DiscreteState</v>
          </cell>
          <cell r="K479" t="str">
            <v>Severidade 4</v>
          </cell>
          <cell r="L479" t="str">
            <v>Severidade 16</v>
          </cell>
          <cell r="M479" t="b">
            <v>0</v>
          </cell>
        </row>
        <row r="480">
          <cell r="A480" t="str">
            <v>Alarme de Dado em Limite Inferior</v>
          </cell>
          <cell r="B480" t="str">
            <v/>
          </cell>
          <cell r="C480" t="str">
            <v>ALIINF</v>
          </cell>
          <cell r="D480" t="str">
            <v>e222d678-86d9-4ac7-9169-942bc779793a</v>
          </cell>
          <cell r="E480" t="b">
            <v>1</v>
          </cell>
          <cell r="F480" t="str">
            <v>ALIINF - Valor {0:G} {1} (limite {3:0.00}) {4} []</v>
          </cell>
          <cell r="G480" t="str">
            <v>Alarme de Dado em Limite Inferior</v>
          </cell>
          <cell r="H480">
            <v>0</v>
          </cell>
          <cell r="I480">
            <v>0</v>
          </cell>
          <cell r="J480" t="str">
            <v>AnalogLow</v>
          </cell>
          <cell r="K480" t="str">
            <v>Severidade 2</v>
          </cell>
          <cell r="L480" t="str">
            <v>Severidade 16</v>
          </cell>
          <cell r="M480" t="b">
            <v>0</v>
          </cell>
        </row>
        <row r="481">
          <cell r="A481" t="str">
            <v>Alarme de Dado em Limite Inferior com Temporização</v>
          </cell>
          <cell r="B481" t="str">
            <v/>
          </cell>
          <cell r="C481" t="str">
            <v>ALIINF</v>
          </cell>
          <cell r="D481" t="str">
            <v>03998b4a-c294-40d9-984d-b3b3104b747f</v>
          </cell>
          <cell r="E481" t="b">
            <v>1</v>
          </cell>
          <cell r="F481" t="str">
            <v>ALIINF - Valor {0:G} {1} (limite {3:0.00}) {4} []</v>
          </cell>
          <cell r="G481" t="str">
            <v>Alarme de Dado em Limite Inferior com Temporização</v>
          </cell>
          <cell r="H481">
            <v>180</v>
          </cell>
          <cell r="I481">
            <v>0</v>
          </cell>
          <cell r="J481" t="str">
            <v>AnalogLow</v>
          </cell>
          <cell r="K481" t="str">
            <v>Severidade 2</v>
          </cell>
          <cell r="L481" t="str">
            <v>Severidade 16</v>
          </cell>
          <cell r="M481" t="b">
            <v>0</v>
          </cell>
        </row>
        <row r="482">
          <cell r="A482" t="str">
            <v>Alarme Prioritario de Dado em Limite Inferior</v>
          </cell>
          <cell r="B482" t="str">
            <v/>
          </cell>
          <cell r="C482" t="str">
            <v>ALIIPR</v>
          </cell>
          <cell r="D482" t="str">
            <v>72c060d6-f25c-45dc-8fb7-686a69b2abe9</v>
          </cell>
          <cell r="E482" t="b">
            <v>1</v>
          </cell>
          <cell r="F482" t="str">
            <v>ALIIPR - Valor {0:G} {1} (limite {3:0.00}) {4} []</v>
          </cell>
          <cell r="G482" t="str">
            <v>Alarme Prioritario de Dado em Limite Inferior</v>
          </cell>
          <cell r="H482">
            <v>0</v>
          </cell>
          <cell r="I482">
            <v>0</v>
          </cell>
          <cell r="J482" t="str">
            <v>AnalogLow</v>
          </cell>
          <cell r="K482" t="str">
            <v>Severidade 2</v>
          </cell>
          <cell r="L482" t="str">
            <v>Severidade 16</v>
          </cell>
          <cell r="M482" t="b">
            <v>0</v>
          </cell>
        </row>
        <row r="483">
          <cell r="A483" t="str">
            <v>Alarme Prioritario de Dado em Limite Inferior com Temporização</v>
          </cell>
          <cell r="B483" t="str">
            <v/>
          </cell>
          <cell r="C483" t="str">
            <v>ALIIPR</v>
          </cell>
          <cell r="D483" t="str">
            <v>ca70f5e9-10b2-4689-9252-1a5189b02b05</v>
          </cell>
          <cell r="E483" t="b">
            <v>1</v>
          </cell>
          <cell r="F483" t="str">
            <v>ALIIPR - Valor {0:G} {1} (limite {3:0.00}) {4} []</v>
          </cell>
          <cell r="G483" t="str">
            <v>Alarme Prioritario de Dado em Limite Inferior com Temporização</v>
          </cell>
          <cell r="H483">
            <v>180</v>
          </cell>
          <cell r="I483">
            <v>0</v>
          </cell>
          <cell r="J483" t="str">
            <v>AnalogLow</v>
          </cell>
          <cell r="K483" t="str">
            <v>Severidade 2</v>
          </cell>
          <cell r="L483" t="str">
            <v>Severidade 16</v>
          </cell>
          <cell r="M483" t="b">
            <v>0</v>
          </cell>
        </row>
        <row r="484">
          <cell r="A484" t="str">
            <v>Alarme Prioritario de Dado de Limite de Sobrecorrente</v>
          </cell>
          <cell r="B484" t="str">
            <v/>
          </cell>
          <cell r="C484" t="str">
            <v xml:space="preserve">ALISAS </v>
          </cell>
          <cell r="D484" t="str">
            <v>f01ba916-2982-4604-a1a2-217571968f57</v>
          </cell>
          <cell r="E484" t="b">
            <v>1</v>
          </cell>
          <cell r="F484" t="str">
            <v>ALISAS - Valor {0:G} {1} (limite = {3:0.00}) {4} []</v>
          </cell>
          <cell r="G484" t="str">
            <v>Alarme Prioritario de Dado de Limite de Sobrecorrente</v>
          </cell>
          <cell r="H484">
            <v>0</v>
          </cell>
          <cell r="I484">
            <v>0</v>
          </cell>
          <cell r="J484" t="str">
            <v>AnalogHigh</v>
          </cell>
          <cell r="K484" t="str">
            <v>Severidade 13</v>
          </cell>
          <cell r="L484" t="str">
            <v>Severidade 16</v>
          </cell>
          <cell r="M484" t="b">
            <v>0</v>
          </cell>
        </row>
        <row r="485">
          <cell r="A485" t="str">
            <v>Alarme de Dado em Limite Superior de MW-D</v>
          </cell>
          <cell r="B485" t="str">
            <v/>
          </cell>
          <cell r="C485" t="str">
            <v>ALISMW</v>
          </cell>
          <cell r="D485" t="str">
            <v>e5be1f38-5247-4ccd-9eaa-76e35a9d6869</v>
          </cell>
          <cell r="E485" t="b">
            <v>1</v>
          </cell>
          <cell r="F485" t="str">
            <v>ALISMW - Valor {0:G} {1} (limite = {3:0.00}) {4} []</v>
          </cell>
          <cell r="G485" t="str">
            <v>Alarme de Dado em Limite Superior de MW-D</v>
          </cell>
          <cell r="H485">
            <v>0</v>
          </cell>
          <cell r="I485">
            <v>180</v>
          </cell>
          <cell r="J485" t="str">
            <v>AnalogHigh</v>
          </cell>
          <cell r="K485" t="str">
            <v>Severidade 6</v>
          </cell>
          <cell r="L485" t="str">
            <v>Severidade 16</v>
          </cell>
          <cell r="M485" t="b">
            <v>0</v>
          </cell>
        </row>
        <row r="486">
          <cell r="A486" t="str">
            <v>Alarme Prioritario de Dado em Limite Superior</v>
          </cell>
          <cell r="B486" t="str">
            <v/>
          </cell>
          <cell r="C486" t="str">
            <v>ALISPR</v>
          </cell>
          <cell r="D486" t="str">
            <v>86717d09-259a-4dcf-8082-6d66834a1b49</v>
          </cell>
          <cell r="E486" t="b">
            <v>1</v>
          </cell>
          <cell r="F486" t="str">
            <v>ALISPR - Valor {0:G} {1} (limite {3:0.00}) {4} []</v>
          </cell>
          <cell r="G486" t="str">
            <v>Alarme Prioritario de Dado em Limite Superior</v>
          </cell>
          <cell r="H486">
            <v>0</v>
          </cell>
          <cell r="I486">
            <v>0</v>
          </cell>
          <cell r="J486" t="str">
            <v>AnalogHigh</v>
          </cell>
          <cell r="K486" t="str">
            <v>Severidade 2</v>
          </cell>
          <cell r="L486" t="str">
            <v>Severidade 16</v>
          </cell>
          <cell r="M486" t="b">
            <v>0</v>
          </cell>
        </row>
        <row r="487">
          <cell r="A487" t="str">
            <v>Alarme de Dado em Limite Superior</v>
          </cell>
          <cell r="B487" t="str">
            <v/>
          </cell>
          <cell r="C487" t="str">
            <v>ALISUP</v>
          </cell>
          <cell r="D487" t="str">
            <v>237f2b11-852a-477a-9007-0b0168412fa1</v>
          </cell>
          <cell r="E487" t="b">
            <v>1</v>
          </cell>
          <cell r="F487" t="str">
            <v>ALISUP - Valor {0:G} {1} (limite = {3:0.00}) {4} []</v>
          </cell>
          <cell r="G487" t="str">
            <v>Alarme de Dado em Limite Superior</v>
          </cell>
          <cell r="H487">
            <v>0</v>
          </cell>
          <cell r="I487">
            <v>0</v>
          </cell>
          <cell r="J487" t="str">
            <v>AnalogHigh</v>
          </cell>
          <cell r="K487" t="str">
            <v>Severidade 2</v>
          </cell>
          <cell r="L487" t="str">
            <v>Severidade 16</v>
          </cell>
          <cell r="M487" t="b">
            <v>0</v>
          </cell>
        </row>
        <row r="488">
          <cell r="A488" t="str">
            <v>Alarme de Dado em Limite Superior com Temporização</v>
          </cell>
          <cell r="B488" t="str">
            <v/>
          </cell>
          <cell r="C488" t="str">
            <v>ALISUP</v>
          </cell>
          <cell r="D488" t="str">
            <v>9ed77790-7eb8-4a94-8260-548e5f5c71f6</v>
          </cell>
          <cell r="E488" t="b">
            <v>1</v>
          </cell>
          <cell r="F488" t="str">
            <v>ALISUP - Valor {0:G} {1} (limite = {3:0.00}) {4} []</v>
          </cell>
          <cell r="G488" t="str">
            <v>Alarme de Dado em Limite Superior com Temporização</v>
          </cell>
          <cell r="H488">
            <v>180</v>
          </cell>
          <cell r="I488">
            <v>0</v>
          </cell>
          <cell r="J488" t="str">
            <v>AnalogHigh</v>
          </cell>
          <cell r="K488" t="str">
            <v>Severidade 2</v>
          </cell>
          <cell r="L488" t="str">
            <v>Severidade 16</v>
          </cell>
          <cell r="M488" t="b">
            <v>0</v>
          </cell>
        </row>
        <row r="489">
          <cell r="A489" t="str">
            <v>Alarme Prioritario de Dado a 90% do Limite Superior</v>
          </cell>
          <cell r="B489" t="str">
            <v/>
          </cell>
          <cell r="C489" t="str">
            <v>ALI90</v>
          </cell>
          <cell r="D489" t="str">
            <v>3cae2041-c384-42e6-a606-9817cce67381</v>
          </cell>
          <cell r="E489" t="b">
            <v>1</v>
          </cell>
          <cell r="F489" t="str">
            <v>ALI90 - Valor {0:G} {1} (limite {3:0.00}) {4} []</v>
          </cell>
          <cell r="G489" t="str">
            <v>Alarme Prioritario de Dado a 90% do Limite Superior</v>
          </cell>
          <cell r="H489">
            <v>0</v>
          </cell>
          <cell r="I489">
            <v>0</v>
          </cell>
          <cell r="J489" t="str">
            <v>AnalogHigh</v>
          </cell>
          <cell r="K489" t="str">
            <v>Severidade 6</v>
          </cell>
          <cell r="L489" t="str">
            <v>Severidade 16</v>
          </cell>
          <cell r="M489" t="b">
            <v>0</v>
          </cell>
        </row>
        <row r="490">
          <cell r="A490" t="str">
            <v>Alarme Prioritario de Dado a 90% do Limite Superior com Temporização</v>
          </cell>
          <cell r="B490" t="str">
            <v/>
          </cell>
          <cell r="C490" t="str">
            <v>ALI90</v>
          </cell>
          <cell r="D490" t="str">
            <v>4bfc2d6b-ef89-419d-a340-43a7e4fae649</v>
          </cell>
          <cell r="E490" t="b">
            <v>1</v>
          </cell>
          <cell r="F490" t="str">
            <v>ALI90 - Valor {0:G} {1} (limite = {3:0.00}) {4} []</v>
          </cell>
          <cell r="G490" t="str">
            <v>Alarme Prioritario de Dado a 90% do Limite Superior com Temporização</v>
          </cell>
          <cell r="H490">
            <v>180</v>
          </cell>
          <cell r="I490">
            <v>0</v>
          </cell>
          <cell r="J490" t="str">
            <v>AnalogHigh</v>
          </cell>
          <cell r="K490" t="str">
            <v>Severidade 8</v>
          </cell>
          <cell r="L490" t="str">
            <v>Severidade 16</v>
          </cell>
          <cell r="M490" t="b">
            <v>0</v>
          </cell>
        </row>
        <row r="491">
          <cell r="A491" t="str">
            <v>Alarme Prioritario de Dado a 95% do Limite Superior</v>
          </cell>
          <cell r="B491" t="str">
            <v/>
          </cell>
          <cell r="C491" t="str">
            <v>ALI95</v>
          </cell>
          <cell r="D491" t="str">
            <v>c7a0bd20-601f-4a4e-a5f4-50873fe6a586</v>
          </cell>
          <cell r="E491" t="b">
            <v>1</v>
          </cell>
          <cell r="F491" t="str">
            <v>ALI95 - Valor {0:G} {1} (limite {3:0.00}) {4} []</v>
          </cell>
          <cell r="G491" t="str">
            <v>Alarme Prioritario de Dado a 95% do Limite Superior</v>
          </cell>
          <cell r="H491">
            <v>0</v>
          </cell>
          <cell r="I491">
            <v>0</v>
          </cell>
          <cell r="J491" t="str">
            <v>AnalogHigh</v>
          </cell>
          <cell r="K491" t="str">
            <v>Severidade 7</v>
          </cell>
          <cell r="L491" t="str">
            <v>Severidade 16</v>
          </cell>
          <cell r="M491" t="b">
            <v>0</v>
          </cell>
        </row>
        <row r="492">
          <cell r="A492" t="str">
            <v>Alarme Prioritario de Dado a 95% do Limite Superior com Temporização</v>
          </cell>
          <cell r="B492" t="str">
            <v/>
          </cell>
          <cell r="C492" t="str">
            <v>ALI95</v>
          </cell>
          <cell r="D492" t="str">
            <v>0f143f2d-debf-4e1f-b1b1-28c0161c7aaf</v>
          </cell>
          <cell r="E492" t="b">
            <v>1</v>
          </cell>
          <cell r="F492" t="str">
            <v>ALI95 - Valor = {0:G} {1} (limite = {3:0.00}) {4} []</v>
          </cell>
          <cell r="G492" t="str">
            <v>Alarme Prioritario de Dado a 95% do Limite Superior com Temporização</v>
          </cell>
          <cell r="H492">
            <v>180</v>
          </cell>
          <cell r="I492">
            <v>0</v>
          </cell>
          <cell r="J492" t="str">
            <v>AnalogHigh</v>
          </cell>
          <cell r="K492" t="str">
            <v>Severidade 7</v>
          </cell>
          <cell r="L492" t="str">
            <v>Severidade 16</v>
          </cell>
          <cell r="M492" t="b">
            <v>0</v>
          </cell>
        </row>
        <row r="493">
          <cell r="A493" t="str">
            <v>Alarme de Variacao Brusca de Dado</v>
          </cell>
          <cell r="B493" t="str">
            <v/>
          </cell>
          <cell r="C493" t="str">
            <v>ALVARI</v>
          </cell>
          <cell r="D493" t="str">
            <v>e887df8a-c2f1-4e34-9421-75b8473e00d2</v>
          </cell>
          <cell r="E493" t="b">
            <v>1</v>
          </cell>
          <cell r="F493" t="str">
            <v>ALVARI - Valor {0:G} {1} (limite = {3:0.00}) {4} []</v>
          </cell>
          <cell r="G493" t="str">
            <v>Alarme de Variacao Brusca de Dado</v>
          </cell>
          <cell r="H493">
            <v>0</v>
          </cell>
          <cell r="I493">
            <v>0</v>
          </cell>
          <cell r="J493" t="str">
            <v>AnalogHigh</v>
          </cell>
          <cell r="K493" t="str">
            <v>Severidade 13</v>
          </cell>
          <cell r="L493" t="str">
            <v>Severidade 16</v>
          </cell>
          <cell r="M493" t="b">
            <v>0</v>
          </cell>
        </row>
        <row r="494">
          <cell r="A494" t="str">
            <v>Atuação do ERAC</v>
          </cell>
          <cell r="B494" t="str">
            <v/>
          </cell>
          <cell r="C494" t="str">
            <v>ERAC</v>
          </cell>
          <cell r="D494" t="str">
            <v>d0928058-4cf7-4e33-88da-6dd339ced94f</v>
          </cell>
          <cell r="E494" t="b">
            <v>1</v>
          </cell>
          <cell r="F494" t="str">
            <v>ERAC - {1}  []</v>
          </cell>
          <cell r="G494" t="str">
            <v>Atuação do ERAC</v>
          </cell>
          <cell r="H494">
            <v>0</v>
          </cell>
          <cell r="I494">
            <v>0</v>
          </cell>
          <cell r="J494" t="str">
            <v>DiscreteState</v>
          </cell>
          <cell r="K494" t="str">
            <v>Severidade 15</v>
          </cell>
          <cell r="L494" t="str">
            <v>Severidade 16</v>
          </cell>
          <cell r="M494" t="b">
            <v>0</v>
          </cell>
        </row>
        <row r="495">
          <cell r="A495" t="str">
            <v>Evento de Sinalização de MUST Violado</v>
          </cell>
          <cell r="B495" t="str">
            <v/>
          </cell>
          <cell r="C495" t="str">
            <v>EVMUST</v>
          </cell>
          <cell r="D495" t="str">
            <v>606080b4-acee-4590-8e93-193c0d34e383</v>
          </cell>
          <cell r="E495" t="b">
            <v>1</v>
          </cell>
          <cell r="F495" t="str">
            <v>EVMUST - Valor {0:G} {1} (limite = {3:0.00}) {4} []</v>
          </cell>
          <cell r="G495" t="str">
            <v>Evento de Sinalização de MUST Violado</v>
          </cell>
          <cell r="H495">
            <v>0</v>
          </cell>
          <cell r="I495">
            <v>0</v>
          </cell>
          <cell r="J495" t="str">
            <v>AnalogHigh</v>
          </cell>
          <cell r="K495" t="str">
            <v>Severidade 15</v>
          </cell>
          <cell r="L495" t="str">
            <v>Severidade 16</v>
          </cell>
          <cell r="M495" t="b">
            <v>0</v>
          </cell>
        </row>
        <row r="496">
          <cell r="A496" t="str">
            <v>Fim de Perturbacao de Frequencia</v>
          </cell>
          <cell r="B496" t="str">
            <v/>
          </cell>
          <cell r="C496" t="str">
            <v>FIMPFR</v>
          </cell>
          <cell r="D496" t="str">
            <v>a4176a27-929c-421d-aa21-43e847cc736b</v>
          </cell>
          <cell r="E496" t="b">
            <v>1</v>
          </cell>
          <cell r="F496" t="str">
            <v>FIMPFR - Valor {0:G} {1} (limite = {3:0.00}) {4} []</v>
          </cell>
          <cell r="G496" t="str">
            <v>Fim de Perturbacao de Frequencia</v>
          </cell>
          <cell r="H496">
            <v>0</v>
          </cell>
          <cell r="I496">
            <v>0</v>
          </cell>
          <cell r="J496" t="str">
            <v>AnalogRTN</v>
          </cell>
          <cell r="K496" t="str">
            <v>Severidade 2</v>
          </cell>
          <cell r="L496" t="str">
            <v>Severidade 16</v>
          </cell>
          <cell r="M496" t="b">
            <v>0</v>
          </cell>
        </row>
        <row r="497">
          <cell r="A497" t="str">
            <v>Inicio de Perturbacao de Frequencia Alta</v>
          </cell>
          <cell r="B497" t="str">
            <v/>
          </cell>
          <cell r="C497" t="str">
            <v>INIPFR</v>
          </cell>
          <cell r="D497" t="str">
            <v>cd602784-a08a-464e-8c47-fd5d22059a7b</v>
          </cell>
          <cell r="E497" t="b">
            <v>1</v>
          </cell>
          <cell r="F497" t="str">
            <v>INIPFR - Valor {0:G} {1}  limite = {3:0.00}) {4} []</v>
          </cell>
          <cell r="G497" t="str">
            <v>Inicio de Perturbacao de Frequencia</v>
          </cell>
          <cell r="H497">
            <v>0</v>
          </cell>
          <cell r="I497">
            <v>0</v>
          </cell>
          <cell r="J497" t="str">
            <v>AnalogHigh</v>
          </cell>
          <cell r="K497" t="str">
            <v>Severidade 2</v>
          </cell>
          <cell r="L497" t="str">
            <v>Severidade 16</v>
          </cell>
          <cell r="M497" t="b">
            <v>0</v>
          </cell>
        </row>
        <row r="498">
          <cell r="A498" t="str">
            <v>Retorno do Dado do Limite</v>
          </cell>
          <cell r="B498" t="str">
            <v/>
          </cell>
          <cell r="C498" t="str">
            <v>LIRLIM</v>
          </cell>
          <cell r="D498" t="str">
            <v>bfa467a2-0504-4148-93cd-22ceb2c7b90b</v>
          </cell>
          <cell r="E498" t="b">
            <v>0</v>
          </cell>
          <cell r="F498" t="str">
            <v>LIRLIM - Retorno de limite {0:G} {1} {2} []</v>
          </cell>
          <cell r="G498" t="str">
            <v>Retorno do Dado do Limite Superior / Inferior</v>
          </cell>
          <cell r="H498">
            <v>0</v>
          </cell>
          <cell r="I498">
            <v>0</v>
          </cell>
          <cell r="J498" t="str">
            <v>AnalogRTN</v>
          </cell>
          <cell r="K498" t="str">
            <v>Severidade 16</v>
          </cell>
          <cell r="L498" t="str">
            <v>Severidade 16</v>
          </cell>
          <cell r="M498" t="b">
            <v>0</v>
          </cell>
        </row>
        <row r="499">
          <cell r="A499" t="str">
            <v>Alarme de Corrente 0</v>
          </cell>
          <cell r="B499" t="str">
            <v/>
          </cell>
          <cell r="C499" t="str">
            <v xml:space="preserve">ALICOZ </v>
          </cell>
          <cell r="D499" t="str">
            <v>977440bf-c359-4a4a-acc6-11e9609abbfc</v>
          </cell>
          <cell r="E499" t="b">
            <v>1</v>
          </cell>
          <cell r="F499" t="str">
            <v>ALICOZ - Valor {0:G} {1} (limite {3:0.00}) {4} []</v>
          </cell>
          <cell r="G499" t="str">
            <v>Alarme de Corrente 0</v>
          </cell>
          <cell r="H499">
            <v>0</v>
          </cell>
          <cell r="I499">
            <v>0</v>
          </cell>
          <cell r="J499" t="str">
            <v>AnalogLow</v>
          </cell>
          <cell r="K499" t="str">
            <v>Severidade 14</v>
          </cell>
          <cell r="L499" t="str">
            <v>Severidade 16</v>
          </cell>
          <cell r="M499" t="b">
            <v>0</v>
          </cell>
        </row>
        <row r="500">
          <cell r="A500" t="str">
            <v>Alarme de Estado em Ponto Telessinalizado (Evento)</v>
          </cell>
          <cell r="B500" t="str">
            <v/>
          </cell>
          <cell r="C500" t="str">
            <v>ALESTS</v>
          </cell>
          <cell r="D500" t="str">
            <v>1f7b791a-a2f9-4497-ba2a-59f07f41860a</v>
          </cell>
          <cell r="E500" t="b">
            <v>0</v>
          </cell>
          <cell r="F500" t="str">
            <v>ALESTS - {1} []</v>
          </cell>
          <cell r="G500" t="str">
            <v>Alarme de Estado em Ponto Telessinalizado</v>
          </cell>
          <cell r="H500">
            <v>0</v>
          </cell>
          <cell r="I500">
            <v>0</v>
          </cell>
          <cell r="J500" t="str">
            <v>DiscreteState</v>
          </cell>
          <cell r="K500" t="str">
            <v>Severidade 12</v>
          </cell>
          <cell r="L500" t="str">
            <v>Severidade 16</v>
          </cell>
          <cell r="M500" t="b">
            <v>0</v>
          </cell>
        </row>
        <row r="501">
          <cell r="A501" t="str">
            <v>Alarme de Estado em Ponto Telecontrolado (Evento)</v>
          </cell>
          <cell r="B501" t="str">
            <v/>
          </cell>
          <cell r="C501" t="str">
            <v>ALESTC</v>
          </cell>
          <cell r="D501" t="str">
            <v>4f6ee082-278e-4af5-88f3-f2746cea7a3c</v>
          </cell>
          <cell r="E501" t="b">
            <v>0</v>
          </cell>
          <cell r="F501" t="str">
            <v>ALESTC - {1} []</v>
          </cell>
          <cell r="G501" t="str">
            <v>Alarme de Estado em Ponto Telecontrolado</v>
          </cell>
          <cell r="H501">
            <v>0</v>
          </cell>
          <cell r="I501">
            <v>0</v>
          </cell>
          <cell r="J501" t="str">
            <v>DiscreteState</v>
          </cell>
          <cell r="K501" t="str">
            <v>Severidade 1</v>
          </cell>
          <cell r="L501" t="str">
            <v>Severidade 16</v>
          </cell>
          <cell r="M501" t="b">
            <v>0</v>
          </cell>
        </row>
        <row r="502">
          <cell r="A502" t="str">
            <v>Regulator automatic mode activation failed</v>
          </cell>
          <cell r="B502" t="str">
            <v/>
          </cell>
          <cell r="C502" t="str">
            <v/>
          </cell>
          <cell r="D502" t="str">
            <v>ID: DMS_TCC_REG_AUTOMATIC_MODE_ACTIVATION_FAILED</v>
          </cell>
          <cell r="E502" t="b">
            <v>1</v>
          </cell>
          <cell r="F502" t="str">
            <v>Failed to activate automatic mode.</v>
          </cell>
          <cell r="G502" t="str">
            <v/>
          </cell>
          <cell r="H502">
            <v>0</v>
          </cell>
          <cell r="I502">
            <v>0</v>
          </cell>
          <cell r="J502" t="str">
            <v>ApplicationAlarm</v>
          </cell>
          <cell r="K502" t="str">
            <v>Severidade 6</v>
          </cell>
          <cell r="L502" t="str">
            <v>Severidade 16</v>
          </cell>
          <cell r="M502" t="b">
            <v>0</v>
          </cell>
        </row>
        <row r="503">
          <cell r="A503" t="str">
            <v>Return to normal alarm/event generated when oscillation is removed.</v>
          </cell>
          <cell r="B503" t="str">
            <v/>
          </cell>
          <cell r="C503" t="str">
            <v/>
          </cell>
          <cell r="D503" t="str">
            <v>DMS_OSCILLATION_RTN</v>
          </cell>
          <cell r="E503" t="b">
            <v>0</v>
          </cell>
          <cell r="F503" t="str">
            <v>A oscilação não é detectada. Não há alterações não comandadas previamente {0}.</v>
          </cell>
          <cell r="G503" t="str">
            <v/>
          </cell>
          <cell r="H503">
            <v>0</v>
          </cell>
          <cell r="I503">
            <v>0</v>
          </cell>
          <cell r="J503" t="str">
            <v>ApplicationAlarm</v>
          </cell>
          <cell r="K503" t="str">
            <v>Severidade 14</v>
          </cell>
          <cell r="L503" t="str">
            <v>Severidade 16</v>
          </cell>
          <cell r="M503" t="b">
            <v>0</v>
          </cell>
        </row>
        <row r="504">
          <cell r="A504" t="str">
            <v>Alarm/Event generated when oscillation is detected.</v>
          </cell>
          <cell r="B504" t="str">
            <v/>
          </cell>
          <cell r="C504" t="str">
            <v/>
          </cell>
          <cell r="D504" t="str">
            <v>DMS_OSCILLATION_DETECTION</v>
          </cell>
          <cell r="E504" t="b">
            <v>0</v>
          </cell>
          <cell r="F504" t="str">
            <v>A oscilação foi detectada! O número configurado de alterações não comandadas foi atingido (n[umero de mudancas = {0})!</v>
          </cell>
          <cell r="G504" t="str">
            <v/>
          </cell>
          <cell r="H504">
            <v>0</v>
          </cell>
          <cell r="I504">
            <v>0</v>
          </cell>
          <cell r="J504" t="str">
            <v>ApplicationAlarm</v>
          </cell>
          <cell r="K504" t="str">
            <v>Severidade 6</v>
          </cell>
          <cell r="L504" t="str">
            <v>Severidade 16</v>
          </cell>
          <cell r="M504" t="b">
            <v>0</v>
          </cell>
        </row>
        <row r="505">
          <cell r="A505" t="str">
            <v>RELI Type2</v>
          </cell>
          <cell r="B505" t="str">
            <v/>
          </cell>
          <cell r="C505" t="str">
            <v>DGRELI2</v>
          </cell>
          <cell r="D505" t="str">
            <v>RELI_TYPE2_DISCREPANCY_FAULT</v>
          </cell>
          <cell r="E505" t="b">
            <v>1</v>
          </cell>
          <cell r="F505" t="str">
            <v>DGRELI2 - Falta de discrepância (RELI Type2). Comando Falhou. []</v>
          </cell>
          <cell r="G505" t="str">
            <v>RELI Type2 discrepancy fault. Commanded failed.</v>
          </cell>
          <cell r="H505">
            <v>0</v>
          </cell>
          <cell r="I505">
            <v>0</v>
          </cell>
          <cell r="J505" t="str">
            <v>ApplicationAlarm</v>
          </cell>
          <cell r="K505" t="str">
            <v>Severidade 15</v>
          </cell>
          <cell r="L505" t="str">
            <v>Severidade 16</v>
          </cell>
          <cell r="M505" t="b">
            <v>0</v>
          </cell>
        </row>
        <row r="506">
          <cell r="A506" t="str">
            <v>RELI Commanded reclosing</v>
          </cell>
          <cell r="B506" t="str">
            <v/>
          </cell>
          <cell r="C506" t="str">
            <v/>
          </cell>
          <cell r="D506" t="str">
            <v>RELI_MESSAGE_01</v>
          </cell>
          <cell r="E506" t="b">
            <v>0</v>
          </cell>
          <cell r="F506" t="str">
            <v>DGRELI - Religamento Comandado  []</v>
          </cell>
          <cell r="G506" t="str">
            <v>Indica que o religamento foi executado com sucesso</v>
          </cell>
          <cell r="H506">
            <v>0</v>
          </cell>
          <cell r="I506">
            <v>0</v>
          </cell>
          <cell r="J506" t="str">
            <v>ApplicationAlarm</v>
          </cell>
          <cell r="K506" t="str">
            <v>Severidade 15</v>
          </cell>
          <cell r="L506" t="str">
            <v>Severidade 16</v>
          </cell>
          <cell r="M506" t="b">
            <v>0</v>
          </cell>
        </row>
        <row r="507">
          <cell r="A507" t="str">
            <v>RELI Blocked reclosing</v>
          </cell>
          <cell r="B507" t="str">
            <v/>
          </cell>
          <cell r="C507" t="str">
            <v/>
          </cell>
          <cell r="D507" t="str">
            <v>RELI_MESSAGE_10</v>
          </cell>
          <cell r="E507" t="b">
            <v>1</v>
          </cell>
          <cell r="F507" t="str">
            <v>DGRELI - Religamento Bloqueado  []</v>
          </cell>
          <cell r="G507" t="str">
            <v xml:space="preserve">Atualmente não há mais diferença para o diagnóstico Disjuntor Impedido </v>
          </cell>
          <cell r="H507">
            <v>0</v>
          </cell>
          <cell r="I507">
            <v>0</v>
          </cell>
          <cell r="J507" t="str">
            <v>ApplicationAlarm</v>
          </cell>
          <cell r="K507" t="str">
            <v>Severidade 15</v>
          </cell>
          <cell r="L507" t="str">
            <v>Severidade 16</v>
          </cell>
          <cell r="M507" t="b">
            <v>0</v>
          </cell>
        </row>
        <row r="508">
          <cell r="A508" t="str">
            <v>RELI Under-frequency occurrence</v>
          </cell>
          <cell r="B508" t="str">
            <v/>
          </cell>
          <cell r="C508" t="str">
            <v/>
          </cell>
          <cell r="D508" t="str">
            <v>RELI_MESSAGE_11</v>
          </cell>
          <cell r="E508" t="b">
            <v>1</v>
          </cell>
          <cell r="F508" t="str">
            <v>DGRELI - Ocorrência de Subfrequência  []</v>
          </cell>
          <cell r="G508" t="str">
            <v>Gerado quando não ocorre um religamento devido a ocorrência da função de Subfrequência (função 81) na SE</v>
          </cell>
          <cell r="H508">
            <v>0</v>
          </cell>
          <cell r="I508">
            <v>0</v>
          </cell>
          <cell r="J508" t="str">
            <v>ApplicationAlarm</v>
          </cell>
          <cell r="K508" t="str">
            <v>Severidade 15</v>
          </cell>
          <cell r="L508" t="str">
            <v>Severidade 16</v>
          </cell>
          <cell r="M508" t="b">
            <v>0</v>
          </cell>
        </row>
        <row r="509">
          <cell r="A509" t="str">
            <v>RELI Less than one-minute circuit breaker command</v>
          </cell>
          <cell r="B509" t="str">
            <v/>
          </cell>
          <cell r="C509" t="str">
            <v/>
          </cell>
          <cell r="D509" t="str">
            <v>RELI_MESSAGE_12</v>
          </cell>
          <cell r="E509" t="b">
            <v>0</v>
          </cell>
          <cell r="F509" t="str">
            <v>DGRELI - Comando no Disjuntor a menos de 1 Minuto  []</v>
          </cell>
          <cell r="G509" t="str">
            <v>Gerado quando não ocorre um religamento devido ter ocorrido um comando no disjuntor a menos de 1 minuto (DJs de Linhas)</v>
          </cell>
          <cell r="H509">
            <v>0</v>
          </cell>
          <cell r="I509">
            <v>0</v>
          </cell>
          <cell r="J509" t="str">
            <v>ApplicationAlarm</v>
          </cell>
          <cell r="K509" t="str">
            <v>Severidade 15</v>
          </cell>
          <cell r="L509" t="str">
            <v>Severidade 16</v>
          </cell>
          <cell r="M509" t="b">
            <v>0</v>
          </cell>
        </row>
        <row r="510">
          <cell r="A510" t="str">
            <v>RELI Questionable voltage value</v>
          </cell>
          <cell r="B510" t="str">
            <v/>
          </cell>
          <cell r="C510" t="str">
            <v/>
          </cell>
          <cell r="D510" t="str">
            <v>RELI_MESSAGE_13</v>
          </cell>
          <cell r="E510" t="b">
            <v>1</v>
          </cell>
          <cell r="F510" t="str">
            <v>DGRELI - Valor da Tensão Duvidoso  []</v>
          </cell>
          <cell r="G510" t="str">
            <v xml:space="preserve">Valor da Tensão Duvidoso </v>
          </cell>
          <cell r="H510">
            <v>0</v>
          </cell>
          <cell r="I510">
            <v>0</v>
          </cell>
          <cell r="J510" t="str">
            <v>ApplicationAlarm</v>
          </cell>
          <cell r="K510" t="str">
            <v>Severidade 15</v>
          </cell>
          <cell r="L510" t="str">
            <v>Severidade 16</v>
          </cell>
          <cell r="M510" t="b">
            <v>0</v>
          </cell>
        </row>
        <row r="511">
          <cell r="A511" t="str">
            <v>RELI Voltage value outside the safety range</v>
          </cell>
          <cell r="B511" t="str">
            <v/>
          </cell>
          <cell r="C511" t="str">
            <v/>
          </cell>
          <cell r="D511" t="str">
            <v>RELI_MESSAGE_14</v>
          </cell>
          <cell r="E511" t="b">
            <v>1</v>
          </cell>
          <cell r="F511" t="str">
            <v>DGRELI - Tensão fora da Faixa de Segurança  []</v>
          </cell>
          <cell r="G511" t="str">
            <v xml:space="preserve">Tensão fora da Faixa de Segurança </v>
          </cell>
          <cell r="H511">
            <v>0</v>
          </cell>
          <cell r="I511">
            <v>0</v>
          </cell>
          <cell r="J511" t="str">
            <v>ApplicationAlarm</v>
          </cell>
          <cell r="K511" t="str">
            <v>Severidade 15</v>
          </cell>
          <cell r="L511" t="str">
            <v>Severidade 16</v>
          </cell>
          <cell r="M511" t="b">
            <v>0</v>
          </cell>
        </row>
        <row r="512">
          <cell r="A512" t="str">
            <v>RELI Voltage value under the inferior limit</v>
          </cell>
          <cell r="B512" t="str">
            <v/>
          </cell>
          <cell r="C512" t="str">
            <v/>
          </cell>
          <cell r="D512" t="str">
            <v>RELI_MESSAGE_15</v>
          </cell>
          <cell r="E512" t="b">
            <v>1</v>
          </cell>
          <cell r="F512" t="str">
            <v>DGRELI - Tensão Abaixo do Limite Inferior  []</v>
          </cell>
          <cell r="G512" t="str">
            <v xml:space="preserve">Tensão Abaixo do Limite Inferior </v>
          </cell>
          <cell r="H512">
            <v>0</v>
          </cell>
          <cell r="I512">
            <v>0</v>
          </cell>
          <cell r="J512" t="str">
            <v>ApplicationAlarm</v>
          </cell>
          <cell r="K512" t="str">
            <v>Severidade 15</v>
          </cell>
          <cell r="L512" t="str">
            <v>Severidade 16</v>
          </cell>
          <cell r="M512" t="b">
            <v>0</v>
          </cell>
        </row>
        <row r="513">
          <cell r="A513" t="str">
            <v>RELI Voltage in maintenance indicator</v>
          </cell>
          <cell r="B513" t="str">
            <v/>
          </cell>
          <cell r="C513" t="str">
            <v/>
          </cell>
          <cell r="D513" t="str">
            <v>RELI_MESSAGE_16</v>
          </cell>
          <cell r="E513" t="b">
            <v>0</v>
          </cell>
          <cell r="F513" t="str">
            <v>DGRELI - Indicador de Tensão em Manutenção  []</v>
          </cell>
          <cell r="G513" t="str">
            <v xml:space="preserve">Indicador de Tensão em Manutenção </v>
          </cell>
          <cell r="H513">
            <v>0</v>
          </cell>
          <cell r="I513">
            <v>0</v>
          </cell>
          <cell r="J513" t="str">
            <v>ApplicationAlarm</v>
          </cell>
          <cell r="K513" t="str">
            <v>Severidade 15</v>
          </cell>
          <cell r="L513" t="str">
            <v>Severidade 16</v>
          </cell>
          <cell r="M513" t="b">
            <v>0</v>
          </cell>
        </row>
        <row r="514">
          <cell r="A514" t="str">
            <v>RELI Line without voltage</v>
          </cell>
          <cell r="B514" t="str">
            <v/>
          </cell>
          <cell r="C514" t="str">
            <v/>
          </cell>
          <cell r="D514" t="str">
            <v>RELI_MESSAGE_17</v>
          </cell>
          <cell r="E514" t="b">
            <v>1</v>
          </cell>
          <cell r="F514" t="str">
            <v>DGRELI - Linha sem Tensão  []</v>
          </cell>
          <cell r="G514" t="str">
            <v xml:space="preserve">Utilizados na função RELI para bloquear o religamento quando o valor de tensão estiver fora do padrão considerado normal. </v>
          </cell>
          <cell r="H514">
            <v>0</v>
          </cell>
          <cell r="I514">
            <v>0</v>
          </cell>
          <cell r="J514" t="str">
            <v>ApplicationAlarm</v>
          </cell>
          <cell r="K514" t="str">
            <v>Severidade 15</v>
          </cell>
          <cell r="L514" t="str">
            <v>Severidade 16</v>
          </cell>
          <cell r="M514" t="b">
            <v>0</v>
          </cell>
        </row>
        <row r="515">
          <cell r="A515" t="str">
            <v>RELI Less than 30 seconds breaker command</v>
          </cell>
          <cell r="B515" t="str">
            <v/>
          </cell>
          <cell r="C515" t="str">
            <v/>
          </cell>
          <cell r="D515" t="str">
            <v>RELI_MESSAGE_18</v>
          </cell>
          <cell r="E515" t="b">
            <v>0</v>
          </cell>
          <cell r="F515" t="str">
            <v>DGRELI - Comando no Disjuntor a menos de 30 Segundos  []</v>
          </cell>
          <cell r="G515" t="str">
            <v>Gerado quando não ocorre um religamento devido ter ocorrido um comando no disjuntor a menos de 30 segundos (DJs de Alimentadores)</v>
          </cell>
          <cell r="H515">
            <v>0</v>
          </cell>
          <cell r="I515">
            <v>0</v>
          </cell>
          <cell r="J515" t="str">
            <v>ApplicationAlarm</v>
          </cell>
          <cell r="K515" t="str">
            <v>Severidade 15</v>
          </cell>
          <cell r="L515" t="str">
            <v>Severidade 16</v>
          </cell>
          <cell r="M515" t="b">
            <v>0</v>
          </cell>
        </row>
        <row r="516">
          <cell r="A516" t="str">
            <v>RELI Actuation of the blocking switch</v>
          </cell>
          <cell r="B516" t="str">
            <v/>
          </cell>
          <cell r="C516" t="str">
            <v/>
          </cell>
          <cell r="D516" t="str">
            <v>RELI_MESSAGE_19</v>
          </cell>
          <cell r="E516" t="b">
            <v>1</v>
          </cell>
          <cell r="F516" t="str">
            <v>DGRELI - Atuação da Chave de Bloqueio  []</v>
          </cell>
          <cell r="G516" t="str">
            <v>Gerado quando não ocorre um religamento devido a chave de bloqueio do TR estar bloqueada</v>
          </cell>
          <cell r="H516">
            <v>0</v>
          </cell>
          <cell r="I516">
            <v>0</v>
          </cell>
          <cell r="J516" t="str">
            <v>ApplicationAlarm</v>
          </cell>
          <cell r="K516" t="str">
            <v>Severidade 15</v>
          </cell>
          <cell r="L516" t="str">
            <v>Severidade 16</v>
          </cell>
          <cell r="M516" t="b">
            <v>0</v>
          </cell>
        </row>
        <row r="517">
          <cell r="A517" t="str">
            <v>RELI Lack of synchronism for reclosing ALAREL</v>
          </cell>
          <cell r="B517" t="str">
            <v/>
          </cell>
          <cell r="C517" t="str">
            <v/>
          </cell>
          <cell r="D517" t="str">
            <v>RELI_MESSAGE_20</v>
          </cell>
          <cell r="E517" t="b">
            <v>1</v>
          </cell>
          <cell r="F517" t="str">
            <v>DGRELI - Falta de Sincronismo para Religamento  []</v>
          </cell>
          <cell r="G517" t="str">
            <v>Gerado quando não ocorre um religamento devido à falta de sincronismo entre as tensões de linha e barra</v>
          </cell>
          <cell r="H517">
            <v>0</v>
          </cell>
          <cell r="I517">
            <v>0</v>
          </cell>
          <cell r="J517" t="str">
            <v>ApplicationAlarm</v>
          </cell>
          <cell r="K517" t="str">
            <v>Severidade 15</v>
          </cell>
          <cell r="L517" t="str">
            <v>Severidade 16</v>
          </cell>
          <cell r="M517" t="b">
            <v>0</v>
          </cell>
        </row>
        <row r="518">
          <cell r="A518" t="str">
            <v>RELI Blockage acknowledgement (RTU’ blockage acknowledgement update)</v>
          </cell>
          <cell r="B518" t="str">
            <v/>
          </cell>
          <cell r="C518" t="str">
            <v/>
          </cell>
          <cell r="D518" t="str">
            <v>RELI_MESSAGE_21</v>
          </cell>
          <cell r="E518" t="b">
            <v>0</v>
          </cell>
          <cell r="F518" t="str">
            <v>DGRELI - Reconhecimento de Bloqueio (atualização do reconhecimento de bloqueio pela UTR) []</v>
          </cell>
          <cell r="G518" t="str">
            <v>Tira a tarja amarela do ponto</v>
          </cell>
          <cell r="H518">
            <v>0</v>
          </cell>
          <cell r="I518">
            <v>0</v>
          </cell>
          <cell r="J518" t="str">
            <v>ApplicationAlarm</v>
          </cell>
          <cell r="K518" t="str">
            <v>Severidade 15</v>
          </cell>
          <cell r="L518" t="str">
            <v>Severidade 16</v>
          </cell>
          <cell r="M518" t="b">
            <v>0</v>
          </cell>
        </row>
        <row r="519">
          <cell r="A519" t="str">
            <v>RELI Digital input fail</v>
          </cell>
          <cell r="B519" t="str">
            <v/>
          </cell>
          <cell r="C519" t="str">
            <v/>
          </cell>
          <cell r="D519" t="str">
            <v>RELI_MESSAGE_22</v>
          </cell>
          <cell r="E519" t="b">
            <v>1</v>
          </cell>
          <cell r="F519" t="str">
            <v>DGRELI - Falha em Entrada Digital  []</v>
          </cell>
          <cell r="G519" t="str">
            <v>Gerado quando a UTR detecta uma falha em alguma entrada digital. Atualmente não é utilizado</v>
          </cell>
          <cell r="H519">
            <v>0</v>
          </cell>
          <cell r="I519">
            <v>0</v>
          </cell>
          <cell r="J519" t="str">
            <v>ApplicationAlarm</v>
          </cell>
          <cell r="K519" t="str">
            <v>Severidade 15</v>
          </cell>
          <cell r="L519" t="str">
            <v>Severidade 16</v>
          </cell>
          <cell r="M519" t="b">
            <v>0</v>
          </cell>
        </row>
        <row r="520">
          <cell r="A520" t="str">
            <v>RELI RTU reset</v>
          </cell>
          <cell r="B520" t="str">
            <v/>
          </cell>
          <cell r="C520" t="str">
            <v/>
          </cell>
          <cell r="D520" t="str">
            <v>RELI_MESSAGE_23</v>
          </cell>
          <cell r="E520" t="b">
            <v>1</v>
          </cell>
          <cell r="F520" t="str">
            <v>DGRELI - Reset da UTR  []</v>
          </cell>
          <cell r="G520" t="str">
            <v>Gerado quando a UTR se reinicia</v>
          </cell>
          <cell r="H520">
            <v>0</v>
          </cell>
          <cell r="I520">
            <v>0</v>
          </cell>
          <cell r="J520" t="str">
            <v>ApplicationAlarm</v>
          </cell>
          <cell r="K520" t="str">
            <v>Severidade 15</v>
          </cell>
          <cell r="L520" t="str">
            <v>Severidade 16</v>
          </cell>
          <cell r="M520" t="b">
            <v>0</v>
          </cell>
        </row>
        <row r="521">
          <cell r="A521" t="str">
            <v>RELI Redundant command</v>
          </cell>
          <cell r="B521" t="str">
            <v/>
          </cell>
          <cell r="C521" t="str">
            <v/>
          </cell>
          <cell r="D521" t="str">
            <v>RELI_MESSAGE_24</v>
          </cell>
          <cell r="E521" t="b">
            <v>0</v>
          </cell>
          <cell r="F521" t="str">
            <v>DGRELI - Comando Redundante  []</v>
          </cell>
          <cell r="G521" t="str">
            <v>Comandos solicitados pelo operador que não foram realizados (operador realizar comando de ABRIR com DJ ABERTO ou comando de FECHAR com DJ FECHADO)</v>
          </cell>
          <cell r="H521">
            <v>0</v>
          </cell>
          <cell r="I521">
            <v>0</v>
          </cell>
          <cell r="J521" t="str">
            <v>ApplicationAlarm</v>
          </cell>
          <cell r="K521" t="str">
            <v>Severidade 15</v>
          </cell>
          <cell r="L521" t="str">
            <v>Severidade 16</v>
          </cell>
          <cell r="M521" t="b">
            <v>0</v>
          </cell>
        </row>
        <row r="522">
          <cell r="A522" t="str">
            <v>RELI Master switch set as local CNEXEC</v>
          </cell>
          <cell r="B522" t="str">
            <v/>
          </cell>
          <cell r="C522" t="str">
            <v/>
          </cell>
          <cell r="D522" t="str">
            <v>RELI_MESSAGE_25</v>
          </cell>
          <cell r="E522" t="b">
            <v>0</v>
          </cell>
          <cell r="F522" t="str">
            <v>DGRELI - Chave Geral em Local  []</v>
          </cell>
          <cell r="G522" t="str">
            <v>Comando solicitados pelo operador que não foram realizados devido a chave geral Local/Remoto da SE estar em Local</v>
          </cell>
          <cell r="H522">
            <v>0</v>
          </cell>
          <cell r="I522">
            <v>0</v>
          </cell>
          <cell r="J522" t="str">
            <v>ApplicationAlarm</v>
          </cell>
          <cell r="K522" t="str">
            <v>Severidade 15</v>
          </cell>
          <cell r="L522" t="str">
            <v>Severidade 16</v>
          </cell>
          <cell r="M522" t="b">
            <v>0</v>
          </cell>
        </row>
        <row r="523">
          <cell r="A523" t="str">
            <v>RELI Individual switch set as local CNEXEC</v>
          </cell>
          <cell r="B523" t="str">
            <v/>
          </cell>
          <cell r="C523" t="str">
            <v/>
          </cell>
          <cell r="D523" t="str">
            <v>RELI_MESSAGE_26</v>
          </cell>
          <cell r="E523" t="b">
            <v>0</v>
          </cell>
          <cell r="F523" t="str">
            <v>DGRELI - Chave Individual em Local  []</v>
          </cell>
          <cell r="G523" t="str">
            <v>Comando solicitados pelo operador que não foram realizados devido a chave individual Local/Remoto do disjuntor estar em Local</v>
          </cell>
          <cell r="H523">
            <v>0</v>
          </cell>
          <cell r="I523">
            <v>0</v>
          </cell>
          <cell r="J523" t="str">
            <v>ApplicationAlarm</v>
          </cell>
          <cell r="K523" t="str">
            <v>Severidade 15</v>
          </cell>
          <cell r="L523" t="str">
            <v>Severidade 16</v>
          </cell>
          <cell r="M523" t="b">
            <v>0</v>
          </cell>
        </row>
        <row r="524">
          <cell r="A524" t="str">
            <v>RELI Defect on the transductor (only a register in the application log)</v>
          </cell>
          <cell r="B524" t="str">
            <v/>
          </cell>
          <cell r="C524" t="str">
            <v/>
          </cell>
          <cell r="D524" t="str">
            <v>RELI_MESSAGE_27</v>
          </cell>
          <cell r="E524" t="b">
            <v>0</v>
          </cell>
          <cell r="F524" t="str">
            <v>DGRELI - Defeito em Transdutor  []</v>
          </cell>
          <cell r="G524" t="str">
            <v>Atualmente não é mais utilizado</v>
          </cell>
          <cell r="H524">
            <v>0</v>
          </cell>
          <cell r="I524">
            <v>0</v>
          </cell>
          <cell r="J524" t="str">
            <v>ApplicationAlarm</v>
          </cell>
          <cell r="K524" t="str">
            <v>Severidade 15</v>
          </cell>
          <cell r="L524" t="str">
            <v>Severidade 16</v>
          </cell>
          <cell r="M524" t="b">
            <v>0</v>
          </cell>
        </row>
        <row r="525">
          <cell r="A525" t="str">
            <v>RELI Generator’s circuit breaker is closed</v>
          </cell>
          <cell r="B525" t="str">
            <v/>
          </cell>
          <cell r="C525" t="str">
            <v/>
          </cell>
          <cell r="D525" t="str">
            <v>RELI_MESSAGE_28</v>
          </cell>
          <cell r="E525" t="b">
            <v>0</v>
          </cell>
          <cell r="F525" t="str">
            <v>DGRELI - Disjuntor do Gerador Fechado  []</v>
          </cell>
          <cell r="G525" t="str">
            <v>Gerado quando não ocorre um religamento devido a existência de um cogerador (gerando) no alimentador</v>
          </cell>
          <cell r="H525">
            <v>0</v>
          </cell>
          <cell r="I525">
            <v>0</v>
          </cell>
          <cell r="J525" t="str">
            <v>ApplicationAlarm</v>
          </cell>
          <cell r="K525" t="str">
            <v>Severidade 15</v>
          </cell>
          <cell r="L525" t="str">
            <v>Severidade 16</v>
          </cell>
          <cell r="M525" t="b">
            <v>0</v>
          </cell>
        </row>
        <row r="526">
          <cell r="A526" t="str">
            <v>RELI Teleprotection communication loss</v>
          </cell>
          <cell r="B526" t="str">
            <v/>
          </cell>
          <cell r="C526" t="str">
            <v/>
          </cell>
          <cell r="D526" t="str">
            <v>RELI_MESSAGE_29</v>
          </cell>
          <cell r="E526" t="b">
            <v>1</v>
          </cell>
          <cell r="F526" t="str">
            <v>DGRELI - Perda de Comunicação Teleproteção  []</v>
          </cell>
          <cell r="G526" t="str">
            <v>Gerado quando não ocorre um religamento devido a perda de comunicação do sistema de teleproteção que informa o estado do disjuntor, na outra ponta da linha</v>
          </cell>
          <cell r="H526">
            <v>0</v>
          </cell>
          <cell r="I526">
            <v>0</v>
          </cell>
          <cell r="J526" t="str">
            <v>ApplicationAlarm</v>
          </cell>
          <cell r="K526" t="str">
            <v>Severidade 15</v>
          </cell>
          <cell r="L526" t="str">
            <v>Severidade 16</v>
          </cell>
          <cell r="M526" t="b">
            <v>0</v>
          </cell>
        </row>
        <row r="527">
          <cell r="A527" t="str">
            <v>RELI Generator’s circuit breaker in maintenance</v>
          </cell>
          <cell r="B527" t="str">
            <v/>
          </cell>
          <cell r="C527" t="str">
            <v/>
          </cell>
          <cell r="D527" t="str">
            <v>RELI_MESSAGE_30</v>
          </cell>
          <cell r="E527" t="b">
            <v>0</v>
          </cell>
          <cell r="F527" t="str">
            <v>DGRELI - Disjuntor do Gerador em Manutenção  []</v>
          </cell>
          <cell r="G527" t="str">
            <v>Gerado quando não ocorre um religamento devido ao ponto de estado do disjuntor, na outra ponta da linha, estar em bloqueio ou manutenção</v>
          </cell>
          <cell r="H527">
            <v>0</v>
          </cell>
          <cell r="I527">
            <v>0</v>
          </cell>
          <cell r="J527" t="str">
            <v>ApplicationAlarm</v>
          </cell>
          <cell r="K527" t="str">
            <v>Severidade 15</v>
          </cell>
          <cell r="L527" t="str">
            <v>Severidade 16</v>
          </cell>
          <cell r="M527" t="b">
            <v>0</v>
          </cell>
        </row>
        <row r="528">
          <cell r="A528" t="str">
            <v>RELI Teleprotection communication in maintenance</v>
          </cell>
          <cell r="B528" t="str">
            <v/>
          </cell>
          <cell r="C528" t="str">
            <v/>
          </cell>
          <cell r="D528" t="str">
            <v>RELI_MESSAGE_31</v>
          </cell>
          <cell r="E528" t="b">
            <v>0</v>
          </cell>
          <cell r="F528" t="str">
            <v>DGRELI - Manutenção Comunicação Teleproteção  []</v>
          </cell>
          <cell r="G528" t="str">
            <v>Gerado quando não ocorre um religamento devido ao ponto de estado da comunicação da teleproteção, que informa o estado do disjuntor, na outra ponta da linha, estar em bloqueio ou manutenção</v>
          </cell>
          <cell r="H528">
            <v>0</v>
          </cell>
          <cell r="I528">
            <v>0</v>
          </cell>
          <cell r="J528" t="str">
            <v>ApplicationAlarm</v>
          </cell>
          <cell r="K528" t="str">
            <v>Severidade 15</v>
          </cell>
          <cell r="L528" t="str">
            <v>Severidade 16</v>
          </cell>
          <cell r="M528" t="b">
            <v>0</v>
          </cell>
        </row>
        <row r="529">
          <cell r="A529" t="str">
            <v>RELI Lack of synchronism for reclosing CNEXEC</v>
          </cell>
          <cell r="B529" t="str">
            <v/>
          </cell>
          <cell r="C529" t="str">
            <v/>
          </cell>
          <cell r="D529" t="str">
            <v>RELI_MESSAGE_32</v>
          </cell>
          <cell r="E529" t="b">
            <v>1</v>
          </cell>
          <cell r="F529" t="str">
            <v>DGRELI - Falta de Sincronismo para Comando  []</v>
          </cell>
          <cell r="G529" t="str">
            <v>Comandos solicitados pelo operador não foram realizados devido à falta de sincronismo entre as tensões de linha e barra</v>
          </cell>
          <cell r="H529">
            <v>0</v>
          </cell>
          <cell r="I529">
            <v>0</v>
          </cell>
          <cell r="J529" t="str">
            <v>ApplicationAlarm</v>
          </cell>
          <cell r="K529" t="str">
            <v>Severidade 15</v>
          </cell>
          <cell r="L529" t="str">
            <v>Severidade 16</v>
          </cell>
          <cell r="M529" t="b">
            <v>0</v>
          </cell>
        </row>
        <row r="530">
          <cell r="A530" t="str">
            <v>RELI Islanding occurrence during reclosing</v>
          </cell>
          <cell r="B530" t="str">
            <v/>
          </cell>
          <cell r="C530" t="str">
            <v/>
          </cell>
          <cell r="D530" t="str">
            <v>RELI_MESSAGE_33</v>
          </cell>
          <cell r="E530" t="b">
            <v>1</v>
          </cell>
          <cell r="F530" t="str">
            <v>DGRELI - Ocorrência de Ilhamento no Religamento  []</v>
          </cell>
          <cell r="G530" t="str">
            <v>Gerado quando não ocorre um religamento devido a ocorrência da função de Subfrequência (função 81) na SE que faz interligação com transmissoras e pertence ao sistema de ilhamento</v>
          </cell>
          <cell r="H530">
            <v>0</v>
          </cell>
          <cell r="I530">
            <v>0</v>
          </cell>
          <cell r="J530" t="str">
            <v>ApplicationAlarm</v>
          </cell>
          <cell r="K530" t="str">
            <v>Severidade 15</v>
          </cell>
          <cell r="L530" t="str">
            <v>Severidade 16</v>
          </cell>
          <cell r="M530" t="b">
            <v>0</v>
          </cell>
        </row>
        <row r="531">
          <cell r="A531" t="str">
            <v>Cronometro</v>
          </cell>
          <cell r="B531" t="str">
            <v/>
          </cell>
          <cell r="C531" t="str">
            <v/>
          </cell>
          <cell r="D531" t="str">
            <v>81f70a10-231e-4c84-83ea-ceeacec9086f</v>
          </cell>
          <cell r="E531" t="b">
            <v>0</v>
          </cell>
          <cell r="F531" t="str">
            <v>Cronômetro iniciado</v>
          </cell>
          <cell r="G531" t="str">
            <v>Cronômetro da abertura de dispositivo iniciado</v>
          </cell>
          <cell r="H531">
            <v>0</v>
          </cell>
          <cell r="I531">
            <v>0</v>
          </cell>
          <cell r="J531" t="str">
            <v>AnalogHigh</v>
          </cell>
          <cell r="K531" t="str">
            <v>Severidade 16</v>
          </cell>
          <cell r="L531" t="str">
            <v>Severidade 16</v>
          </cell>
          <cell r="M531" t="b">
            <v>0</v>
          </cell>
        </row>
        <row r="532">
          <cell r="A532" t="str">
            <v>ColdRestartAlgorithmCatalog</v>
          </cell>
          <cell r="B532" t="str">
            <v/>
          </cell>
          <cell r="C532" t="str">
            <v/>
          </cell>
          <cell r="D532" t="str">
            <v>ColdRestartAlgorithmCatalog</v>
          </cell>
          <cell r="E532" t="b">
            <v>1</v>
          </cell>
          <cell r="F532" t="str">
            <v>Alarm Cold Restart counter exceed limit. RTU with custom id '{0}' telemetry fail. []</v>
          </cell>
          <cell r="G532" t="str">
            <v/>
          </cell>
          <cell r="H532">
            <v>0</v>
          </cell>
          <cell r="I532">
            <v>0</v>
          </cell>
          <cell r="J532" t="str">
            <v>ApplicationAlarm</v>
          </cell>
          <cell r="K532" t="str">
            <v>Severidade 15</v>
          </cell>
          <cell r="L532" t="str">
            <v>Severidade 16</v>
          </cell>
          <cell r="M532" t="b">
            <v>0</v>
          </cell>
        </row>
        <row r="533">
          <cell r="A533" t="str">
            <v>Voltage Regulation is disabled.</v>
          </cell>
          <cell r="B533" t="str">
            <v/>
          </cell>
          <cell r="C533" t="str">
            <v>DESREG</v>
          </cell>
          <cell r="D533" t="str">
            <v>VOLTAGE_REGULATION_DISABLED</v>
          </cell>
          <cell r="E533" t="b">
            <v>1</v>
          </cell>
          <cell r="F533" t="str">
            <v>DESREG - Regulação de tensão desativada []</v>
          </cell>
          <cell r="G533" t="str">
            <v>Desativação de equipamento de regulação</v>
          </cell>
          <cell r="H533">
            <v>0</v>
          </cell>
          <cell r="I533">
            <v>0</v>
          </cell>
          <cell r="J533" t="str">
            <v>ApplicationAlarm</v>
          </cell>
          <cell r="K533" t="str">
            <v>Severidade 5</v>
          </cell>
          <cell r="L533" t="str">
            <v>Severidade 16</v>
          </cell>
          <cell r="M533" t="b">
            <v>0</v>
          </cell>
        </row>
        <row r="534">
          <cell r="A534" t="str">
            <v>Regulatory equipment disabled. Tap acted n times.</v>
          </cell>
          <cell r="B534" t="str">
            <v/>
          </cell>
          <cell r="C534" t="str">
            <v>DESREG</v>
          </cell>
          <cell r="D534" t="str">
            <v>REGULATORY_EQUIPMENT_DISABLED_TAP</v>
          </cell>
          <cell r="E534" t="b">
            <v>1</v>
          </cell>
          <cell r="F534" t="str">
            <v>DESREG -  TAP Tentativas {0}  []</v>
          </cell>
          <cell r="G534" t="str">
            <v>Equipamento regulador desativado</v>
          </cell>
          <cell r="H534">
            <v>0</v>
          </cell>
          <cell r="I534">
            <v>0</v>
          </cell>
          <cell r="J534" t="str">
            <v>ApplicationAlarm</v>
          </cell>
          <cell r="K534" t="str">
            <v>Severidade 5</v>
          </cell>
          <cell r="L534" t="str">
            <v>Severidade 16</v>
          </cell>
          <cell r="M534" t="b">
            <v>0</v>
          </cell>
        </row>
        <row r="535">
          <cell r="A535" t="str">
            <v>Regulatory Equipment disabled – tap position close to minimum or maximum position</v>
          </cell>
          <cell r="B535" t="str">
            <v/>
          </cell>
          <cell r="C535" t="str">
            <v>DESREG</v>
          </cell>
          <cell r="D535" t="str">
            <v>REGULATORY_EQUIPMENT_DISABLED_TAP_POSITION_LIMIT</v>
          </cell>
          <cell r="E535" t="b">
            <v>1</v>
          </cell>
          <cell r="F535" t="str">
            <v>DESREG -  TAP alcançou posição mínima ou máxima []</v>
          </cell>
          <cell r="G535" t="str">
            <v xml:space="preserve">Equipamento de regulamentação desativado </v>
          </cell>
          <cell r="H535">
            <v>0</v>
          </cell>
          <cell r="I535">
            <v>0</v>
          </cell>
          <cell r="J535" t="str">
            <v>ApplicationAlarm</v>
          </cell>
          <cell r="K535" t="str">
            <v>Severidade 5</v>
          </cell>
          <cell r="L535" t="str">
            <v>Severidade 16</v>
          </cell>
          <cell r="M535" t="b">
            <v>0</v>
          </cell>
        </row>
        <row r="536">
          <cell r="A536" t="str">
            <v>Regulatory Equipment disabled – Change Voltage Limit</v>
          </cell>
          <cell r="B536" t="str">
            <v/>
          </cell>
          <cell r="C536" t="str">
            <v>DESREG</v>
          </cell>
          <cell r="D536" t="str">
            <v>REGULATORY_EQUIPMENT_DISABLED_VOLTAGE_LIMIT_CHANGED</v>
          </cell>
          <cell r="E536" t="b">
            <v>1</v>
          </cell>
          <cell r="F536" t="str">
            <v>DESREG - Alterar limite de tensão []</v>
          </cell>
          <cell r="G536" t="str">
            <v xml:space="preserve"> Equipamento de regulamentação desativado</v>
          </cell>
          <cell r="H536">
            <v>0</v>
          </cell>
          <cell r="I536">
            <v>0</v>
          </cell>
          <cell r="J536" t="str">
            <v>ApplicationAlarm</v>
          </cell>
          <cell r="K536" t="str">
            <v>Severidade 13</v>
          </cell>
          <cell r="L536" t="str">
            <v>Severidade 16</v>
          </cell>
          <cell r="M536" t="b">
            <v>0</v>
          </cell>
        </row>
        <row r="537">
          <cell r="A537" t="str">
            <v>Alarme de Estado em Ponto Telessinalizado Baixa Severidade</v>
          </cell>
          <cell r="B537" t="str">
            <v/>
          </cell>
          <cell r="C537" t="str">
            <v>ALESTS Baixa</v>
          </cell>
          <cell r="D537" t="str">
            <v>3161cd3e-2572-4f09-9661-b0ce5bec4bb2</v>
          </cell>
          <cell r="E537" t="b">
            <v>1</v>
          </cell>
          <cell r="F537" t="str">
            <v>ALESTS baixa - {1} []</v>
          </cell>
          <cell r="G537" t="str">
            <v>Alarme de Estado em Ponto Telessinalizado Baixa Severidade</v>
          </cell>
          <cell r="H537">
            <v>0</v>
          </cell>
          <cell r="I537">
            <v>0</v>
          </cell>
          <cell r="J537" t="str">
            <v>DiscreteState</v>
          </cell>
          <cell r="K537" t="str">
            <v>Severidade 15</v>
          </cell>
          <cell r="L537" t="str">
            <v>Severidade 16</v>
          </cell>
          <cell r="M537" t="b">
            <v>0</v>
          </cell>
        </row>
        <row r="538">
          <cell r="A538" t="str">
            <v>Alarme de Estado em Ponto Telecontrolado Baixa Severidade</v>
          </cell>
          <cell r="B538" t="str">
            <v/>
          </cell>
          <cell r="C538" t="str">
            <v>ALESTC Baixa</v>
          </cell>
          <cell r="D538" t="str">
            <v>064a283c-b8bb-435c-8ba5-bf806f0f6423</v>
          </cell>
          <cell r="E538" t="b">
            <v>1</v>
          </cell>
          <cell r="F538" t="str">
            <v>ALESTC baixa - {1} []</v>
          </cell>
          <cell r="G538" t="str">
            <v>Alarme de Estado em Ponto Telecontrolado Baixa Severidade</v>
          </cell>
          <cell r="H538">
            <v>0</v>
          </cell>
          <cell r="I538">
            <v>0</v>
          </cell>
          <cell r="J538" t="str">
            <v>DiscreteState</v>
          </cell>
          <cell r="K538" t="str">
            <v>Severidade 15</v>
          </cell>
          <cell r="L538" t="str">
            <v>Severidade 16</v>
          </cell>
          <cell r="M538" t="b">
            <v>0</v>
          </cell>
        </row>
        <row r="539">
          <cell r="A539" t="str">
            <v>Alarme de Estado em Ponto Telessinalizado RA</v>
          </cell>
          <cell r="B539" t="str">
            <v/>
          </cell>
          <cell r="C539" t="str">
            <v>ALESTS Religadora</v>
          </cell>
          <cell r="D539" t="str">
            <v>51e00e00-09b4-4e3c-9921-a9ad5fee9f1a</v>
          </cell>
          <cell r="E539" t="b">
            <v>1</v>
          </cell>
          <cell r="F539" t="str">
            <v>ALESTS - {1} []</v>
          </cell>
          <cell r="G539" t="str">
            <v>Alarme de Estado em Ponto Telessinalizado RA</v>
          </cell>
          <cell r="H539">
            <v>0</v>
          </cell>
          <cell r="I539">
            <v>0</v>
          </cell>
          <cell r="J539" t="str">
            <v>DiscreteState</v>
          </cell>
          <cell r="K539" t="str">
            <v>Severidade 5</v>
          </cell>
          <cell r="L539" t="str">
            <v>Severidade 16</v>
          </cell>
          <cell r="M539" t="b">
            <v>0</v>
          </cell>
        </row>
        <row r="540">
          <cell r="A540" t="str">
            <v>Alarme Prioritario de Dado em Limite Superior Corrente</v>
          </cell>
          <cell r="B540" t="str">
            <v/>
          </cell>
          <cell r="C540" t="str">
            <v>ALISPR Corrente</v>
          </cell>
          <cell r="D540" t="str">
            <v>bda8e9c6-33d9-4868-9cc4-28854aa5c811</v>
          </cell>
          <cell r="E540" t="b">
            <v>1</v>
          </cell>
          <cell r="F540" t="str">
            <v>ALISPR - Valor {0:G} {1} (limite {3:0.00}) {4} []</v>
          </cell>
          <cell r="G540" t="str">
            <v>Alarme Prioritario de Dado em Limite Superior Corrente</v>
          </cell>
          <cell r="H540">
            <v>0</v>
          </cell>
          <cell r="I540">
            <v>0</v>
          </cell>
          <cell r="J540" t="str">
            <v>AnalogHigh</v>
          </cell>
          <cell r="K540" t="str">
            <v>Severidade 3</v>
          </cell>
          <cell r="L540" t="str">
            <v>Severidade 16</v>
          </cell>
          <cell r="M540" t="b">
            <v>0</v>
          </cell>
        </row>
        <row r="541">
          <cell r="A541" t="str">
            <v>Alarme Prioritario de Dado em Limite Inferior Corrente</v>
          </cell>
          <cell r="B541" t="str">
            <v/>
          </cell>
          <cell r="C541" t="str">
            <v>ALIIPR Corrente</v>
          </cell>
          <cell r="D541" t="str">
            <v>e28add48-9229-480c-9058-408b18efa20d</v>
          </cell>
          <cell r="E541" t="b">
            <v>1</v>
          </cell>
          <cell r="F541" t="str">
            <v>ALIIPR - Valor {0:G} {1} (limite {3:0.00}) {4} []</v>
          </cell>
          <cell r="G541" t="str">
            <v>Alarme Prioritario de Dado em Limite Inferior Corrente</v>
          </cell>
          <cell r="H541">
            <v>0</v>
          </cell>
          <cell r="I541">
            <v>0</v>
          </cell>
          <cell r="J541" t="str">
            <v>AnalogLow</v>
          </cell>
          <cell r="K541" t="str">
            <v>Severidade 3</v>
          </cell>
          <cell r="L541" t="str">
            <v>Severidade 16</v>
          </cell>
          <cell r="M541" t="b">
            <v>0</v>
          </cell>
        </row>
        <row r="542">
          <cell r="A542" t="str">
            <v>Alarme de Dado em Limite Inferior Corrente</v>
          </cell>
          <cell r="B542" t="str">
            <v/>
          </cell>
          <cell r="C542" t="str">
            <v>ALIINF Corrente</v>
          </cell>
          <cell r="D542" t="str">
            <v>539cb160-c200-4e3d-bc7e-999f43b2574c</v>
          </cell>
          <cell r="E542" t="b">
            <v>1</v>
          </cell>
          <cell r="F542" t="str">
            <v>ALIINF - Valor {0:G} {1} (limite {3:0.00}) {4} []</v>
          </cell>
          <cell r="G542" t="str">
            <v>Alarme de Dado em Limite Inferior Corrente</v>
          </cell>
          <cell r="H542">
            <v>0</v>
          </cell>
          <cell r="I542">
            <v>0</v>
          </cell>
          <cell r="J542" t="str">
            <v>AnalogLow</v>
          </cell>
          <cell r="K542" t="str">
            <v>Severidade 3</v>
          </cell>
          <cell r="L542" t="str">
            <v>Severidade 16</v>
          </cell>
          <cell r="M542" t="b">
            <v>0</v>
          </cell>
        </row>
        <row r="543">
          <cell r="A543" t="str">
            <v>Alarme de Dado em Limite Superior Corrente</v>
          </cell>
          <cell r="B543" t="str">
            <v/>
          </cell>
          <cell r="C543" t="str">
            <v>ALISUP Corrente</v>
          </cell>
          <cell r="D543" t="str">
            <v>54e0977d-ccca-4f3a-b60d-349c471d606b</v>
          </cell>
          <cell r="E543" t="b">
            <v>1</v>
          </cell>
          <cell r="F543" t="str">
            <v>ALISUP - Valor {0:G} {1} (limite = {3:0.00}) {4} []</v>
          </cell>
          <cell r="G543" t="str">
            <v>Alarme de Dado em Limite Superior Corrente</v>
          </cell>
          <cell r="H543">
            <v>0</v>
          </cell>
          <cell r="I543">
            <v>0</v>
          </cell>
          <cell r="J543" t="str">
            <v>AnalogHigh</v>
          </cell>
          <cell r="K543" t="str">
            <v>Severidade 3</v>
          </cell>
          <cell r="L543" t="str">
            <v>Severidade 16</v>
          </cell>
          <cell r="M543" t="b">
            <v>0</v>
          </cell>
        </row>
        <row r="544">
          <cell r="A544" t="str">
            <v>Alarme de Estado em Ponto Telessinalizado DJ AL</v>
          </cell>
          <cell r="B544" t="str">
            <v/>
          </cell>
          <cell r="C544" t="str">
            <v>ALESTS Disjun Alimentador</v>
          </cell>
          <cell r="D544" t="str">
            <v>c362bcdf-701f-494c-b371-e0e50dd7f127</v>
          </cell>
          <cell r="E544" t="b">
            <v>1</v>
          </cell>
          <cell r="F544" t="str">
            <v>ALESTS - {1} []</v>
          </cell>
          <cell r="G544" t="str">
            <v>Alarme de Estado em Ponto Telessinalizado</v>
          </cell>
          <cell r="H544">
            <v>0</v>
          </cell>
          <cell r="I544">
            <v>0</v>
          </cell>
          <cell r="J544" t="str">
            <v>DiscreteState</v>
          </cell>
          <cell r="K544" t="str">
            <v>Severidade 5</v>
          </cell>
          <cell r="L544" t="str">
            <v>Severidade 16</v>
          </cell>
          <cell r="M544" t="b">
            <v>0</v>
          </cell>
        </row>
        <row r="545">
          <cell r="A545" t="str">
            <v>RELI_DISCREPANCU</v>
          </cell>
          <cell r="B545" t="str">
            <v/>
          </cell>
          <cell r="C545" t="str">
            <v/>
          </cell>
          <cell r="D545" t="str">
            <v>RELI_DISCREPANCU</v>
          </cell>
          <cell r="E545" t="b">
            <v>1</v>
          </cell>
          <cell r="F545" t="str">
            <v xml:space="preserve">INRELI - Erro na configuração de religamento </v>
          </cell>
          <cell r="G545" t="str">
            <v>Inconsistência em informação de religamento</v>
          </cell>
          <cell r="H545">
            <v>0</v>
          </cell>
          <cell r="I545">
            <v>0</v>
          </cell>
          <cell r="J545" t="str">
            <v>ApplicationAlarm</v>
          </cell>
          <cell r="K545" t="str">
            <v>Severidade 2</v>
          </cell>
          <cell r="L545" t="str">
            <v>Severidade 16</v>
          </cell>
          <cell r="M545" t="b">
            <v>0</v>
          </cell>
        </row>
        <row r="546">
          <cell r="A546" t="str">
            <v>Alarme de Estado em Ponto Telessinalizado Baixa Severidade Temporizado</v>
          </cell>
          <cell r="B546" t="str">
            <v/>
          </cell>
          <cell r="C546" t="str">
            <v>ALESTS Baixa Temporizado</v>
          </cell>
          <cell r="D546" t="str">
            <v>65459bbe-8f11-4cdf-a64b-a6c2f6e982d4</v>
          </cell>
          <cell r="E546" t="b">
            <v>1</v>
          </cell>
          <cell r="F546" t="str">
            <v>ALESTS baixa - {1} []</v>
          </cell>
          <cell r="G546" t="str">
            <v>Alarme de Estado em Ponto Telessinalizado Baixa Severidade</v>
          </cell>
          <cell r="H546">
            <v>60</v>
          </cell>
          <cell r="I546">
            <v>0</v>
          </cell>
          <cell r="J546" t="str">
            <v>DiscreteState</v>
          </cell>
          <cell r="K546" t="str">
            <v>Severidade 15</v>
          </cell>
          <cell r="L546" t="str">
            <v>Severidade 16</v>
          </cell>
          <cell r="M546" t="b">
            <v>0</v>
          </cell>
        </row>
        <row r="547">
          <cell r="A547" t="str">
            <v>Alarme de Estado em Ponto Telessinalizado DJ AL Temporizado</v>
          </cell>
          <cell r="B547" t="str">
            <v/>
          </cell>
          <cell r="C547" t="str">
            <v>ALESTS Disjun Alimentador Temporizado</v>
          </cell>
          <cell r="D547" t="str">
            <v>964b51c8-bfd0-42f0-9bda-df8f54b0be78</v>
          </cell>
          <cell r="E547" t="b">
            <v>1</v>
          </cell>
          <cell r="F547" t="str">
            <v>ALESTS - {1} []</v>
          </cell>
          <cell r="G547" t="str">
            <v>Alarme de Estado em Ponto Telessinalizado</v>
          </cell>
          <cell r="H547">
            <v>60</v>
          </cell>
          <cell r="I547">
            <v>0</v>
          </cell>
          <cell r="J547" t="str">
            <v>DiscreteState</v>
          </cell>
          <cell r="K547" t="str">
            <v>Severidade 5</v>
          </cell>
          <cell r="L547" t="str">
            <v>Severidade 16</v>
          </cell>
          <cell r="M547" t="b">
            <v>0</v>
          </cell>
        </row>
        <row r="548">
          <cell r="A548" t="str">
            <v>Alarme de Estado em Ponto Telessinalizado Temporizado</v>
          </cell>
          <cell r="B548" t="str">
            <v/>
          </cell>
          <cell r="C548" t="str">
            <v>ALESTS Temporizado</v>
          </cell>
          <cell r="D548" t="str">
            <v>cf1ac856-0e59-4c8f-89e7-97630e059044</v>
          </cell>
          <cell r="E548" t="b">
            <v>1</v>
          </cell>
          <cell r="F548" t="str">
            <v>ALESTS - {1} []</v>
          </cell>
          <cell r="G548" t="str">
            <v>Alarme de Estado em Ponto Telessinalizado</v>
          </cell>
          <cell r="H548">
            <v>60</v>
          </cell>
          <cell r="I548">
            <v>0</v>
          </cell>
          <cell r="J548" t="str">
            <v>DiscreteState</v>
          </cell>
          <cell r="K548" t="str">
            <v>Severidade 4</v>
          </cell>
          <cell r="L548" t="str">
            <v>Severidade 16</v>
          </cell>
          <cell r="M548" t="b">
            <v>0</v>
          </cell>
        </row>
        <row r="549">
          <cell r="A549" t="str">
            <v>Alarme Prioritario de Dado em Limite Superior com Temporizacao</v>
          </cell>
          <cell r="B549" t="str">
            <v/>
          </cell>
          <cell r="C549" t="str">
            <v xml:space="preserve">ALISPR </v>
          </cell>
          <cell r="D549" t="str">
            <v>81384d7c-bdc3-4cb1-844b-1d28ad5510ef</v>
          </cell>
          <cell r="E549" t="b">
            <v>1</v>
          </cell>
          <cell r="F549" t="str">
            <v>ALISPR - Valor {0:G} {1} (limite {3:0.00}) {4} []</v>
          </cell>
          <cell r="G549" t="str">
            <v>Alarme Prioritario de Dado em Limite Superior com Temporizacao</v>
          </cell>
          <cell r="H549">
            <v>180</v>
          </cell>
          <cell r="I549">
            <v>0</v>
          </cell>
          <cell r="J549" t="str">
            <v>AnalogHigh</v>
          </cell>
          <cell r="K549" t="str">
            <v>Severidade 2</v>
          </cell>
          <cell r="L549" t="str">
            <v>Severidade 16</v>
          </cell>
          <cell r="M549" t="b">
            <v>0</v>
          </cell>
        </row>
        <row r="550">
          <cell r="A550" t="str">
            <v>Alarme de Dado em Limite Inferior com Temporização Maior</v>
          </cell>
          <cell r="B550" t="str">
            <v/>
          </cell>
          <cell r="C550" t="str">
            <v>ALIINF</v>
          </cell>
          <cell r="D550" t="str">
            <v>40e13947-5a6d-44ea-abd2-c3dfcb32a64b</v>
          </cell>
          <cell r="E550" t="b">
            <v>1</v>
          </cell>
          <cell r="F550" t="str">
            <v>ALIINF - Valor {0:G} {1} (limite {3:0.00}) {4} []</v>
          </cell>
          <cell r="G550" t="str">
            <v>Alarme de Dado em Limite Inferior com Temporização</v>
          </cell>
          <cell r="H550">
            <v>360</v>
          </cell>
          <cell r="I550">
            <v>0</v>
          </cell>
          <cell r="J550" t="str">
            <v>AnalogLow</v>
          </cell>
          <cell r="K550" t="str">
            <v>Severidade 2</v>
          </cell>
          <cell r="L550" t="str">
            <v>Severidade 16</v>
          </cell>
          <cell r="M550" t="b">
            <v>0</v>
          </cell>
        </row>
        <row r="551">
          <cell r="A551" t="str">
            <v>Alarme Prioritario de Dado em Limite Inferior com Temporização Maior</v>
          </cell>
          <cell r="B551" t="str">
            <v/>
          </cell>
          <cell r="C551" t="str">
            <v>ALIIPR</v>
          </cell>
          <cell r="D551" t="str">
            <v>a941b356-4e0e-4693-9aed-5582bbd25e4c</v>
          </cell>
          <cell r="E551" t="b">
            <v>1</v>
          </cell>
          <cell r="F551" t="str">
            <v>ALIIPR - Valor {0:G} {1} (limite {3:0.00}) {4} []</v>
          </cell>
          <cell r="G551" t="str">
            <v>Alarme Prioritario de Dado em Limite Inferior com Temporização</v>
          </cell>
          <cell r="H551">
            <v>360</v>
          </cell>
          <cell r="I551">
            <v>0</v>
          </cell>
          <cell r="J551" t="str">
            <v>AnalogLow</v>
          </cell>
          <cell r="K551" t="str">
            <v>Severidade 2</v>
          </cell>
          <cell r="L551" t="str">
            <v>Severidade 16</v>
          </cell>
          <cell r="M551" t="b">
            <v>0</v>
          </cell>
        </row>
        <row r="552">
          <cell r="A552" t="str">
            <v>Alarme de Dado em Limite Superior com Temporização Maior</v>
          </cell>
          <cell r="B552" t="str">
            <v/>
          </cell>
          <cell r="C552" t="str">
            <v>ALISUP</v>
          </cell>
          <cell r="D552" t="str">
            <v>3ec4ab69-77fa-4786-ad64-fb564c3e867c</v>
          </cell>
          <cell r="E552" t="b">
            <v>1</v>
          </cell>
          <cell r="F552" t="str">
            <v>ALISUP - Valor {0:G} {1} (limite = {3:0.00}) {4} []</v>
          </cell>
          <cell r="G552" t="str">
            <v>Alarme de Dado em Limite Superior com Temporização</v>
          </cell>
          <cell r="H552">
            <v>360</v>
          </cell>
          <cell r="I552">
            <v>0</v>
          </cell>
          <cell r="J552" t="str">
            <v>AnalogHigh</v>
          </cell>
          <cell r="K552" t="str">
            <v>Severidade 2</v>
          </cell>
          <cell r="L552" t="str">
            <v>Severidade 16</v>
          </cell>
          <cell r="M552" t="b">
            <v>0</v>
          </cell>
        </row>
        <row r="553">
          <cell r="A553" t="str">
            <v>Alarme Prioritario de Dado a 90% do Limite Superior com Temporização Maior</v>
          </cell>
          <cell r="B553" t="str">
            <v/>
          </cell>
          <cell r="C553" t="str">
            <v>ALI90</v>
          </cell>
          <cell r="D553" t="str">
            <v>9e05063b-80b5-4d25-9ff8-d276254aa9f5</v>
          </cell>
          <cell r="E553" t="b">
            <v>1</v>
          </cell>
          <cell r="F553" t="str">
            <v>ALI90 - Valor {0:G} {1} (limite = {3:0.00}) {4} []</v>
          </cell>
          <cell r="G553" t="str">
            <v>Alarme Prioritario de Dado a 90% do Limite Superior com Temporização</v>
          </cell>
          <cell r="H553">
            <v>360</v>
          </cell>
          <cell r="I553">
            <v>0</v>
          </cell>
          <cell r="J553" t="str">
            <v>AnalogHigh</v>
          </cell>
          <cell r="K553" t="str">
            <v>Severidade 8</v>
          </cell>
          <cell r="L553" t="str">
            <v>Severidade 16</v>
          </cell>
          <cell r="M553" t="b">
            <v>0</v>
          </cell>
        </row>
        <row r="554">
          <cell r="A554" t="str">
            <v>Alarme Prioritario de Dado a 95% do Limite Superior com Temporização Maior</v>
          </cell>
          <cell r="B554" t="str">
            <v/>
          </cell>
          <cell r="C554" t="str">
            <v>ALI95</v>
          </cell>
          <cell r="D554" t="str">
            <v>04b29cdc-cd50-4940-804c-e26f3252d075</v>
          </cell>
          <cell r="E554" t="b">
            <v>1</v>
          </cell>
          <cell r="F554" t="str">
            <v>ALI95 - Valor = {0:G} {1} (limite = {3:0.00}) {4} []</v>
          </cell>
          <cell r="G554" t="str">
            <v>Alarme Prioritario de Dado a 95% do Limite Superior com Temporização</v>
          </cell>
          <cell r="H554">
            <v>360</v>
          </cell>
          <cell r="I554">
            <v>0</v>
          </cell>
          <cell r="J554" t="str">
            <v>AnalogHigh</v>
          </cell>
          <cell r="K554" t="str">
            <v>Severidade 7</v>
          </cell>
          <cell r="L554" t="str">
            <v>Severidade 16</v>
          </cell>
          <cell r="M554" t="b">
            <v>0</v>
          </cell>
        </row>
        <row r="555">
          <cell r="A555" t="str">
            <v>Alarme Prioritario de Dado em Limite Superior com Temporização Maior</v>
          </cell>
          <cell r="B555" t="str">
            <v/>
          </cell>
          <cell r="C555" t="str">
            <v>ALISPR</v>
          </cell>
          <cell r="D555" t="str">
            <v>b8462511-8542-4338-a090-b76e7cd9827e</v>
          </cell>
          <cell r="E555" t="b">
            <v>1</v>
          </cell>
          <cell r="F555" t="str">
            <v>ALISPR - Valor {0:G} {1} (limite {3:0.00}) {4} []</v>
          </cell>
          <cell r="G555" t="str">
            <v>Alarme Prioritario de Dado em Limite Superior com Temporizacao</v>
          </cell>
          <cell r="H555">
            <v>360</v>
          </cell>
          <cell r="I555">
            <v>0</v>
          </cell>
          <cell r="J555" t="str">
            <v>AnalogHigh</v>
          </cell>
          <cell r="K555" t="str">
            <v>Severidade 2</v>
          </cell>
          <cell r="L555" t="str">
            <v>Severidade 16</v>
          </cell>
          <cell r="M555" t="b">
            <v>0</v>
          </cell>
        </row>
        <row r="556">
          <cell r="A556" t="str">
            <v>Alarme de Tensao 0</v>
          </cell>
          <cell r="B556" t="str">
            <v/>
          </cell>
          <cell r="C556" t="str">
            <v>ALIINF</v>
          </cell>
          <cell r="D556" t="str">
            <v>8a1af685-38a9-46d5-b549-b09433b8276b</v>
          </cell>
          <cell r="E556" t="b">
            <v>1</v>
          </cell>
          <cell r="F556" t="str">
            <v>ALIINF - Valor {0:G} {1} (limite {3:0.00}) {4} []</v>
          </cell>
          <cell r="G556" t="str">
            <v>Alarme de Tensao 0</v>
          </cell>
          <cell r="H556">
            <v>0</v>
          </cell>
          <cell r="I556">
            <v>0</v>
          </cell>
          <cell r="J556" t="str">
            <v>AnalogLow</v>
          </cell>
          <cell r="K556" t="str">
            <v>Severidade 7</v>
          </cell>
          <cell r="L556" t="str">
            <v>Severidade 16</v>
          </cell>
          <cell r="M556" t="b">
            <v>0</v>
          </cell>
        </row>
        <row r="557">
          <cell r="A557" t="str">
            <v>Inicio de Perturbacao de Frequencia Baixa</v>
          </cell>
          <cell r="B557" t="str">
            <v/>
          </cell>
          <cell r="C557" t="str">
            <v>INIPFR</v>
          </cell>
          <cell r="D557" t="str">
            <v>bf350c5d-7d4f-4259-b3d6-86ee7852490a</v>
          </cell>
          <cell r="E557" t="b">
            <v>1</v>
          </cell>
          <cell r="F557" t="str">
            <v>INIPFR - Valor {0:G} {1}  limite = {3:0.00}) {4} []</v>
          </cell>
          <cell r="G557" t="str">
            <v>Inicio de Perturbacao de Frequencia</v>
          </cell>
          <cell r="H557">
            <v>0</v>
          </cell>
          <cell r="I557">
            <v>0</v>
          </cell>
          <cell r="J557" t="str">
            <v>AnalogLow</v>
          </cell>
          <cell r="K557" t="str">
            <v>Severidade 2</v>
          </cell>
          <cell r="L557" t="str">
            <v>Severidade 16</v>
          </cell>
          <cell r="M557" t="b">
            <v>0</v>
          </cell>
        </row>
        <row r="558">
          <cell r="A558" t="str">
            <v>Alarme Automatismo LinhaViva CBRF - Falha</v>
          </cell>
          <cell r="B558" t="str">
            <v/>
          </cell>
          <cell r="C558" t="str">
            <v/>
          </cell>
          <cell r="D558" t="str">
            <v>CPFL_ERRO_CBRF_BLOQ</v>
          </cell>
          <cell r="E558" t="b">
            <v>1</v>
          </cell>
          <cell r="F558" t="str">
            <v>Erro no bloquear CBRF após Linha Viva</v>
          </cell>
          <cell r="G558" t="str">
            <v/>
          </cell>
          <cell r="H558">
            <v>0</v>
          </cell>
          <cell r="I558">
            <v>0</v>
          </cell>
          <cell r="J558" t="str">
            <v>ApplicationAlarm</v>
          </cell>
          <cell r="K558" t="str">
            <v>Severidade 9</v>
          </cell>
          <cell r="L558" t="str">
            <v>Severidade 16</v>
          </cell>
          <cell r="M558" t="b">
            <v>0</v>
          </cell>
        </row>
        <row r="559">
          <cell r="A559" t="str">
            <v>Alarme de Dado em Limite Inferior 2</v>
          </cell>
          <cell r="B559" t="str">
            <v/>
          </cell>
          <cell r="C559" t="str">
            <v>ALIINF EMERG</v>
          </cell>
          <cell r="D559" t="str">
            <v>be48ca90-c6b7-41ba-8ee9-c8e438a1d7b9</v>
          </cell>
          <cell r="E559" t="b">
            <v>1</v>
          </cell>
          <cell r="F559" t="str">
            <v>ALIINF EMERG - Valor {0:G} {1} (limite = {3:0.00}) {4} []</v>
          </cell>
          <cell r="G559" t="str">
            <v>Alarme de Dado em Limite Inferior - Nivel 2</v>
          </cell>
          <cell r="H559">
            <v>0</v>
          </cell>
          <cell r="I559">
            <v>0</v>
          </cell>
          <cell r="J559" t="str">
            <v>AnalogLow</v>
          </cell>
          <cell r="K559" t="str">
            <v>Severidade 10</v>
          </cell>
          <cell r="L559" t="str">
            <v>Severidade 16</v>
          </cell>
          <cell r="M559" t="b">
            <v>0</v>
          </cell>
        </row>
        <row r="560">
          <cell r="A560" t="str">
            <v>Alarme de Dado em Limite Inferior 1</v>
          </cell>
          <cell r="B560" t="str">
            <v/>
          </cell>
          <cell r="C560" t="str">
            <v>ALIINF OPER</v>
          </cell>
          <cell r="D560" t="str">
            <v>c7ece8f5-c6e7-487b-b037-1203bc485f3a</v>
          </cell>
          <cell r="E560" t="b">
            <v>1</v>
          </cell>
          <cell r="F560" t="str">
            <v>ALIINF OPER - Valor {0:G} {1} (limite = {3:0.00}) {4} []</v>
          </cell>
          <cell r="G560" t="str">
            <v>Alarme de Dado em Limite Inferior - Nivel 1</v>
          </cell>
          <cell r="H560">
            <v>0</v>
          </cell>
          <cell r="I560">
            <v>0</v>
          </cell>
          <cell r="J560" t="str">
            <v>AnalogLow</v>
          </cell>
          <cell r="K560" t="str">
            <v>Severidade 11</v>
          </cell>
          <cell r="L560" t="str">
            <v>Severidade 16</v>
          </cell>
          <cell r="M560" t="b">
            <v>0</v>
          </cell>
        </row>
        <row r="561">
          <cell r="A561" t="str">
            <v>Alarme de Dado em Limite Superior 1</v>
          </cell>
          <cell r="B561" t="str">
            <v/>
          </cell>
          <cell r="C561" t="str">
            <v>ALISUP OPER</v>
          </cell>
          <cell r="D561" t="str">
            <v>ff1d090d-cb13-4917-9eb3-e0fa2d86d7c6</v>
          </cell>
          <cell r="E561" t="b">
            <v>1</v>
          </cell>
          <cell r="F561" t="str">
            <v>ALISUP OPER - Valor {0:G} {1} (limite = {3:0.00}) {4} []</v>
          </cell>
          <cell r="G561" t="str">
            <v>Alarme de Dado em Limite Superior - Nivel 1</v>
          </cell>
          <cell r="H561">
            <v>0</v>
          </cell>
          <cell r="I561">
            <v>0</v>
          </cell>
          <cell r="J561" t="str">
            <v>AnalogHigh</v>
          </cell>
          <cell r="K561" t="str">
            <v>Severidade 11</v>
          </cell>
          <cell r="L561" t="str">
            <v>Severidade 16</v>
          </cell>
          <cell r="M561" t="b">
            <v>0</v>
          </cell>
        </row>
        <row r="562">
          <cell r="A562" t="str">
            <v>Alarme de Dado em Limite Superior 2</v>
          </cell>
          <cell r="B562" t="str">
            <v/>
          </cell>
          <cell r="C562" t="str">
            <v>ALISUP EMERG</v>
          </cell>
          <cell r="D562" t="str">
            <v>7f78107b-a539-488b-947c-5208b1b636a7</v>
          </cell>
          <cell r="E562" t="b">
            <v>1</v>
          </cell>
          <cell r="F562" t="str">
            <v>ALISUP EMERG - Valor {0:G} {1} (limite = {3:0.00}) {4} []</v>
          </cell>
          <cell r="G562" t="str">
            <v>Alarme de Dado em Limite Superior - Nivel 2</v>
          </cell>
          <cell r="H562">
            <v>0</v>
          </cell>
          <cell r="I562">
            <v>0</v>
          </cell>
          <cell r="J562" t="str">
            <v>AnalogHigh</v>
          </cell>
          <cell r="K562" t="str">
            <v>Severidade 10</v>
          </cell>
          <cell r="L562" t="str">
            <v>Severidade 16</v>
          </cell>
          <cell r="M562" t="b">
            <v>0</v>
          </cell>
        </row>
        <row r="563">
          <cell r="A563" t="str">
            <v>Alarme de Estado em Ponto Telessinalizado SS</v>
          </cell>
          <cell r="B563" t="str">
            <v/>
          </cell>
          <cell r="C563" t="str">
            <v>ALESTS SS</v>
          </cell>
          <cell r="D563" t="str">
            <v>67432746-cf34-4050-b437-ce71f5c97687</v>
          </cell>
          <cell r="E563" t="b">
            <v>1</v>
          </cell>
          <cell r="F563" t="str">
            <v>ALESTS - {1} []</v>
          </cell>
          <cell r="G563" t="str">
            <v>Alarme de Estado em Ponto Telessinalizado SS</v>
          </cell>
          <cell r="H563">
            <v>0</v>
          </cell>
          <cell r="I563">
            <v>0</v>
          </cell>
          <cell r="J563" t="str">
            <v>DiscreteState</v>
          </cell>
          <cell r="K563" t="str">
            <v>Severidade 8</v>
          </cell>
          <cell r="L563" t="str">
            <v>Severidade 16</v>
          </cell>
          <cell r="M563" t="b">
            <v>0</v>
          </cell>
        </row>
        <row r="564">
          <cell r="A564" t="str">
            <v>Alarme de Estado em Ponto Telessinalizado SO</v>
          </cell>
          <cell r="B564" t="str">
            <v/>
          </cell>
          <cell r="C564" t="str">
            <v>ALESTS SO</v>
          </cell>
          <cell r="D564" t="str">
            <v>824112f7-80f9-44d3-b23f-a5dd759a8089</v>
          </cell>
          <cell r="E564" t="b">
            <v>1</v>
          </cell>
          <cell r="F564" t="str">
            <v>ALESTS - {1} []</v>
          </cell>
          <cell r="G564" t="str">
            <v>Alarme de Estado em Ponto Telessinalizado SO</v>
          </cell>
          <cell r="H564">
            <v>0</v>
          </cell>
          <cell r="I564">
            <v>0</v>
          </cell>
          <cell r="J564" t="str">
            <v>DiscreteState</v>
          </cell>
          <cell r="K564" t="str">
            <v>Severidade 6</v>
          </cell>
          <cell r="L564" t="str">
            <v>Severidade 16</v>
          </cell>
          <cell r="M564" t="b">
            <v>0</v>
          </cell>
        </row>
        <row r="565">
          <cell r="A565" t="str">
            <v>Alarme de Estado em Ponto Telessinalizado SP</v>
          </cell>
          <cell r="B565" t="str">
            <v/>
          </cell>
          <cell r="C565" t="str">
            <v>ALESTS SP</v>
          </cell>
          <cell r="D565" t="str">
            <v>9081b1ae-4a23-44c1-9bbf-ede74195045f</v>
          </cell>
          <cell r="E565" t="b">
            <v>1</v>
          </cell>
          <cell r="F565" t="str">
            <v>ALESTS - {1} []</v>
          </cell>
          <cell r="G565" t="str">
            <v>Alarme de Estado em Ponto Telessinalizado SP</v>
          </cell>
          <cell r="H565">
            <v>0</v>
          </cell>
          <cell r="I565">
            <v>0</v>
          </cell>
          <cell r="J565" t="str">
            <v>DiscreteState</v>
          </cell>
          <cell r="K565" t="str">
            <v>Severidade 5</v>
          </cell>
          <cell r="L565" t="str">
            <v>Severidade 16</v>
          </cell>
          <cell r="M565" t="b">
            <v>0</v>
          </cell>
        </row>
        <row r="566">
          <cell r="A566" t="str">
            <v>Alarme de Estado em Ponto Telessinalizado RF</v>
          </cell>
          <cell r="B566" t="str">
            <v/>
          </cell>
          <cell r="C566" t="str">
            <v>ALESTS RF</v>
          </cell>
          <cell r="D566" t="str">
            <v>31b53254-7768-412f-aac9-702811c0ac09</v>
          </cell>
          <cell r="E566" t="b">
            <v>1</v>
          </cell>
          <cell r="F566" t="str">
            <v>ALESTS - {1} []</v>
          </cell>
          <cell r="G566" t="str">
            <v>Alarme de Estado em Ponto Telessinalizado RF</v>
          </cell>
          <cell r="H566">
            <v>0</v>
          </cell>
          <cell r="I566">
            <v>0</v>
          </cell>
          <cell r="J566" t="str">
            <v>DiscreteState</v>
          </cell>
          <cell r="K566" t="str">
            <v>Severidade 6</v>
          </cell>
          <cell r="L566" t="str">
            <v>Severidade 16</v>
          </cell>
          <cell r="M566" t="b">
            <v>0</v>
          </cell>
        </row>
        <row r="567">
          <cell r="A567" t="str">
            <v>Alarme de Estado em Ponto Telessinalizado A1</v>
          </cell>
          <cell r="B567" t="str">
            <v/>
          </cell>
          <cell r="C567" t="str">
            <v>ALESTS A1</v>
          </cell>
          <cell r="D567" t="str">
            <v>2313204d-54d7-4e4e-af4a-08d383873c34</v>
          </cell>
          <cell r="E567" t="b">
            <v>1</v>
          </cell>
          <cell r="F567" t="str">
            <v>ALESTS - {1} []</v>
          </cell>
          <cell r="G567" t="str">
            <v>Alarme de Estado em Ponto Telessinalizado A1</v>
          </cell>
          <cell r="H567">
            <v>0</v>
          </cell>
          <cell r="I567">
            <v>0</v>
          </cell>
          <cell r="J567" t="str">
            <v>DiscreteState</v>
          </cell>
          <cell r="K567" t="str">
            <v>Severidade 4</v>
          </cell>
          <cell r="L567" t="str">
            <v>Severidade 16</v>
          </cell>
          <cell r="M567" t="b">
            <v>0</v>
          </cell>
        </row>
        <row r="568">
          <cell r="A568" t="str">
            <v>Alarme de Estado em Ponto Telessinalizado SI</v>
          </cell>
          <cell r="B568" t="str">
            <v/>
          </cell>
          <cell r="C568" t="str">
            <v>ALESTS SI</v>
          </cell>
          <cell r="D568" t="str">
            <v>8f25ca55-4b1e-4922-9939-22adf675a896</v>
          </cell>
          <cell r="E568" t="b">
            <v>1</v>
          </cell>
          <cell r="F568" t="str">
            <v>ALESTS - {1} []</v>
          </cell>
          <cell r="G568" t="str">
            <v>Alarme de Estado em Ponto Telessinalizado SI</v>
          </cell>
          <cell r="H568">
            <v>0</v>
          </cell>
          <cell r="I568">
            <v>0</v>
          </cell>
          <cell r="J568" t="str">
            <v>DiscreteState</v>
          </cell>
          <cell r="K568" t="str">
            <v>Severidade 3</v>
          </cell>
          <cell r="L568" t="str">
            <v>Severidade 16</v>
          </cell>
          <cell r="M568" t="b">
            <v>0</v>
          </cell>
        </row>
        <row r="569">
          <cell r="A569" t="str">
            <v>Alarme de Estado em Ponto Telessinalizado DA</v>
          </cell>
          <cell r="B569" t="str">
            <v/>
          </cell>
          <cell r="C569" t="str">
            <v>ALESTS DA</v>
          </cell>
          <cell r="D569" t="str">
            <v>96f3fdcd-59bd-46f8-a683-01dac5c2be70</v>
          </cell>
          <cell r="E569" t="b">
            <v>1</v>
          </cell>
          <cell r="F569" t="str">
            <v>ALESTS - {1} []</v>
          </cell>
          <cell r="G569" t="str">
            <v>Alarme de Estado em Ponto Telessinalizado DA</v>
          </cell>
          <cell r="H569">
            <v>0</v>
          </cell>
          <cell r="I569">
            <v>0</v>
          </cell>
          <cell r="J569" t="str">
            <v>DiscreteState</v>
          </cell>
          <cell r="K569" t="str">
            <v>Severidade 4</v>
          </cell>
          <cell r="L569" t="str">
            <v>Severidade 16</v>
          </cell>
          <cell r="M569" t="b">
            <v>0</v>
          </cell>
        </row>
        <row r="570">
          <cell r="A570" t="str">
            <v>Alarme de Estado em Ponto Telessinalizado SA</v>
          </cell>
          <cell r="B570" t="str">
            <v/>
          </cell>
          <cell r="C570" t="str">
            <v>ALESTS SA</v>
          </cell>
          <cell r="D570" t="str">
            <v>ea37e1f4-2f6f-4890-bff5-f26ef60861bc</v>
          </cell>
          <cell r="E570" t="b">
            <v>1</v>
          </cell>
          <cell r="F570" t="str">
            <v>ALESTS - {1} []</v>
          </cell>
          <cell r="G570" t="str">
            <v>Alarme de Estado em Ponto Telessinalizado SA</v>
          </cell>
          <cell r="H570">
            <v>0</v>
          </cell>
          <cell r="I570">
            <v>0</v>
          </cell>
          <cell r="J570" t="str">
            <v>DiscreteState</v>
          </cell>
          <cell r="K570" t="str">
            <v>Severidade 4</v>
          </cell>
          <cell r="L570" t="str">
            <v>Severidade 16</v>
          </cell>
          <cell r="M570" t="b">
            <v>0</v>
          </cell>
        </row>
        <row r="571">
          <cell r="A571" t="str">
            <v>Alarme de Estado em Ponto Telessinalizado SC</v>
          </cell>
          <cell r="B571" t="str">
            <v/>
          </cell>
          <cell r="C571" t="str">
            <v>ALESTS SC</v>
          </cell>
          <cell r="D571" t="str">
            <v>7981699c-55ac-4bce-831b-c2138179015c</v>
          </cell>
          <cell r="E571" t="b">
            <v>1</v>
          </cell>
          <cell r="F571" t="str">
            <v>ALESTS - {1} []</v>
          </cell>
          <cell r="G571" t="str">
            <v>Alarme de Estado em Ponto Telessinalizado SC</v>
          </cell>
          <cell r="H571">
            <v>0</v>
          </cell>
          <cell r="I571">
            <v>0</v>
          </cell>
          <cell r="J571" t="str">
            <v>DiscreteState</v>
          </cell>
          <cell r="K571" t="str">
            <v>Severidade 6</v>
          </cell>
          <cell r="L571" t="str">
            <v>Severidade 16</v>
          </cell>
          <cell r="M571" t="b">
            <v>0</v>
          </cell>
        </row>
        <row r="572">
          <cell r="A572" t="str">
            <v>Alarme de Estado em Ponto Telessinalizado E2</v>
          </cell>
          <cell r="B572" t="str">
            <v/>
          </cell>
          <cell r="C572" t="str">
            <v>ALESTS E2</v>
          </cell>
          <cell r="D572" t="str">
            <v>404e68d1-543b-4dfc-9e72-bf1233751a39</v>
          </cell>
          <cell r="E572" t="b">
            <v>1</v>
          </cell>
          <cell r="F572" t="str">
            <v>ALESTS - {1} []</v>
          </cell>
          <cell r="G572" t="str">
            <v>Alarme de Estado em Ponto Telessinalizado E2</v>
          </cell>
          <cell r="H572">
            <v>0</v>
          </cell>
          <cell r="I572">
            <v>0</v>
          </cell>
          <cell r="J572" t="str">
            <v>DiscreteState</v>
          </cell>
          <cell r="K572" t="str">
            <v>Severidade 2</v>
          </cell>
          <cell r="L572" t="str">
            <v>Severidade 16</v>
          </cell>
          <cell r="M572" t="b">
            <v>0</v>
          </cell>
        </row>
        <row r="573">
          <cell r="A573" t="str">
            <v>Alarme de Estado em Ponto Telessinalizado SV</v>
          </cell>
          <cell r="B573" t="str">
            <v/>
          </cell>
          <cell r="C573" t="str">
            <v>ALESTS SV</v>
          </cell>
          <cell r="D573" t="str">
            <v>bb22c277-f941-4484-a2c2-db63ea364c46</v>
          </cell>
          <cell r="E573" t="b">
            <v>1</v>
          </cell>
          <cell r="F573" t="str">
            <v>ALESTS - {1} []</v>
          </cell>
          <cell r="G573" t="str">
            <v>Alarme de Estado em Ponto Telessinalizado SV</v>
          </cell>
          <cell r="H573">
            <v>0</v>
          </cell>
          <cell r="I573">
            <v>0</v>
          </cell>
          <cell r="J573" t="str">
            <v>DiscreteState</v>
          </cell>
          <cell r="K573" t="str">
            <v>Severidade 5</v>
          </cell>
          <cell r="L573" t="str">
            <v>Severidade 16</v>
          </cell>
          <cell r="M573" t="b">
            <v>0</v>
          </cell>
        </row>
        <row r="574">
          <cell r="A574" t="str">
            <v>Alarme de Estado em Ponto Telessinalizado ST</v>
          </cell>
          <cell r="B574" t="str">
            <v/>
          </cell>
          <cell r="C574" t="str">
            <v>ALESTS ST</v>
          </cell>
          <cell r="D574" t="str">
            <v>fb7977be-43db-49cc-bb6d-30129847e2ec</v>
          </cell>
          <cell r="E574" t="b">
            <v>1</v>
          </cell>
          <cell r="F574" t="str">
            <v>ALESTS - {1} []</v>
          </cell>
          <cell r="G574" t="str">
            <v>Alarme de Estado em Ponto Telessinalizado ST</v>
          </cell>
          <cell r="H574">
            <v>0</v>
          </cell>
          <cell r="I574">
            <v>0</v>
          </cell>
          <cell r="J574" t="str">
            <v>DiscreteState</v>
          </cell>
          <cell r="K574" t="str">
            <v>Severidade 2</v>
          </cell>
          <cell r="L574" t="str">
            <v>Severidade 16</v>
          </cell>
          <cell r="M574" t="b">
            <v>0</v>
          </cell>
        </row>
        <row r="575">
          <cell r="A575" t="str">
            <v>Alarme de Estado em Ponto Telessinalizado SB</v>
          </cell>
          <cell r="B575" t="str">
            <v/>
          </cell>
          <cell r="C575" t="str">
            <v>ALESTS SB</v>
          </cell>
          <cell r="D575" t="str">
            <v>1f59c83d-ed50-4c30-b78c-f6a7bf4fc419</v>
          </cell>
          <cell r="E575" t="b">
            <v>1</v>
          </cell>
          <cell r="F575" t="str">
            <v>ALESTS - {1} []</v>
          </cell>
          <cell r="G575" t="str">
            <v>Alarme de Estado em Ponto Telessinalizado SB</v>
          </cell>
          <cell r="H575">
            <v>0</v>
          </cell>
          <cell r="I575">
            <v>0</v>
          </cell>
          <cell r="J575" t="str">
            <v>DiscreteState</v>
          </cell>
          <cell r="K575" t="str">
            <v>Severidade 7</v>
          </cell>
          <cell r="L575" t="str">
            <v>Severidade 16</v>
          </cell>
          <cell r="M575" t="b">
            <v>0</v>
          </cell>
        </row>
        <row r="576">
          <cell r="A576" t="str">
            <v>Alarme de Estado em Ponto Telessinalizado SE</v>
          </cell>
          <cell r="B576" t="str">
            <v/>
          </cell>
          <cell r="C576" t="str">
            <v>ALESTS SE</v>
          </cell>
          <cell r="D576" t="str">
            <v>794e0aca-91c1-4104-b9a4-224be9737252</v>
          </cell>
          <cell r="E576" t="b">
            <v>1</v>
          </cell>
          <cell r="F576" t="str">
            <v>ALESTS - {1} []</v>
          </cell>
          <cell r="G576" t="str">
            <v>Alarme de Estado em Ponto Telessinalizado SE</v>
          </cell>
          <cell r="H576">
            <v>0</v>
          </cell>
          <cell r="I576">
            <v>0</v>
          </cell>
          <cell r="J576" t="str">
            <v>DiscreteState</v>
          </cell>
          <cell r="K576" t="str">
            <v>Severidade 2</v>
          </cell>
          <cell r="L576" t="str">
            <v>Severidade 16</v>
          </cell>
          <cell r="M576" t="b">
            <v>0</v>
          </cell>
        </row>
        <row r="577">
          <cell r="A577" t="str">
            <v>Alarme de Estado em Ponto Telecontrolado SS</v>
          </cell>
          <cell r="B577" t="str">
            <v/>
          </cell>
          <cell r="C577" t="str">
            <v>ALESTC SS</v>
          </cell>
          <cell r="D577" t="str">
            <v>86dfd195-09a3-4de8-8a16-4e75477b0a6d</v>
          </cell>
          <cell r="E577" t="b">
            <v>1</v>
          </cell>
          <cell r="F577" t="str">
            <v>ALESTC - {1} []</v>
          </cell>
          <cell r="G577" t="str">
            <v>Alarme de Estado em Ponto Telecontrolado SS</v>
          </cell>
          <cell r="H577">
            <v>0</v>
          </cell>
          <cell r="I577">
            <v>0</v>
          </cell>
          <cell r="J577" t="str">
            <v>DiscreteState</v>
          </cell>
          <cell r="K577" t="str">
            <v>Severidade 8</v>
          </cell>
          <cell r="L577" t="str">
            <v>Severidade 16</v>
          </cell>
          <cell r="M577" t="b">
            <v>0</v>
          </cell>
        </row>
        <row r="578">
          <cell r="A578" t="str">
            <v>Alarme de Estado em Ponto Telecontrolado SP</v>
          </cell>
          <cell r="B578" t="str">
            <v/>
          </cell>
          <cell r="C578" t="str">
            <v>ALESTC SP</v>
          </cell>
          <cell r="D578" t="str">
            <v>b3adb5e8-b49c-4b31-9bb7-e4da1ee0b8a5</v>
          </cell>
          <cell r="E578" t="b">
            <v>1</v>
          </cell>
          <cell r="F578" t="str">
            <v>ALESTC - {1} []</v>
          </cell>
          <cell r="G578" t="str">
            <v>Alarme de Estado em Ponto Telecontrolado SP</v>
          </cell>
          <cell r="H578">
            <v>0</v>
          </cell>
          <cell r="I578">
            <v>0</v>
          </cell>
          <cell r="J578" t="str">
            <v>DiscreteState</v>
          </cell>
          <cell r="K578" t="str">
            <v>Severidade 5</v>
          </cell>
          <cell r="L578" t="str">
            <v>Severidade 16</v>
          </cell>
          <cell r="M578" t="b">
            <v>0</v>
          </cell>
        </row>
        <row r="579">
          <cell r="A579" t="str">
            <v>Alarme de Estado em Ponto Telecontrolado SC</v>
          </cell>
          <cell r="B579" t="str">
            <v/>
          </cell>
          <cell r="C579" t="str">
            <v>ALESTC SC</v>
          </cell>
          <cell r="D579" t="str">
            <v>00b6a6e5-f6f1-43d7-93a4-6e8a0903ed9b</v>
          </cell>
          <cell r="E579" t="b">
            <v>1</v>
          </cell>
          <cell r="F579" t="str">
            <v>ALESTC - {1} []</v>
          </cell>
          <cell r="G579" t="str">
            <v>Alarme de Estado em Ponto Telecontrolado SC</v>
          </cell>
          <cell r="H579">
            <v>0</v>
          </cell>
          <cell r="I579">
            <v>0</v>
          </cell>
          <cell r="J579" t="str">
            <v>DiscreteState</v>
          </cell>
          <cell r="K579" t="str">
            <v>Severidade 6</v>
          </cell>
          <cell r="L579" t="str">
            <v>Severidade 16</v>
          </cell>
          <cell r="M579" t="b">
            <v>0</v>
          </cell>
        </row>
        <row r="580">
          <cell r="A580" t="str">
            <v>Alarme de Estado em Ponto Telecontrolado SV</v>
          </cell>
          <cell r="B580" t="str">
            <v/>
          </cell>
          <cell r="C580" t="str">
            <v>ALESTC SV</v>
          </cell>
          <cell r="D580" t="str">
            <v>a0074a11-62cf-49d4-bf2d-845b23e10823</v>
          </cell>
          <cell r="E580" t="b">
            <v>1</v>
          </cell>
          <cell r="F580" t="str">
            <v>ALESTC - {1} []</v>
          </cell>
          <cell r="G580" t="str">
            <v>Alarme de Estado em Ponto Telecontrolado SV</v>
          </cell>
          <cell r="H580">
            <v>0</v>
          </cell>
          <cell r="I580">
            <v>0</v>
          </cell>
          <cell r="J580" t="str">
            <v>DiscreteState</v>
          </cell>
          <cell r="K580" t="str">
            <v>Severidade 5</v>
          </cell>
          <cell r="L580" t="str">
            <v>Severidade 16</v>
          </cell>
          <cell r="M580" t="b">
            <v>0</v>
          </cell>
        </row>
        <row r="581">
          <cell r="A581" t="str">
            <v>Alarme de Estado em Ponto Telecontrolado SO</v>
          </cell>
          <cell r="B581" t="str">
            <v/>
          </cell>
          <cell r="C581" t="str">
            <v>ALESTC SO</v>
          </cell>
          <cell r="D581" t="str">
            <v>f61778cb-e93a-4585-a157-96927f8984dd</v>
          </cell>
          <cell r="E581" t="b">
            <v>1</v>
          </cell>
          <cell r="F581" t="str">
            <v>ALESTC - {1} []</v>
          </cell>
          <cell r="G581" t="str">
            <v>Alarme de Estado em Ponto Telecontrolado SO</v>
          </cell>
          <cell r="H581">
            <v>0</v>
          </cell>
          <cell r="I581">
            <v>0</v>
          </cell>
          <cell r="J581" t="str">
            <v>DiscreteState</v>
          </cell>
          <cell r="K581" t="str">
            <v>Severidade 6</v>
          </cell>
          <cell r="L581" t="str">
            <v>Severidade 16</v>
          </cell>
          <cell r="M581" t="b">
            <v>0</v>
          </cell>
        </row>
        <row r="582">
          <cell r="A582" t="str">
            <v>Alarme de Estado em Ponto Telecontrolado E2</v>
          </cell>
          <cell r="B582" t="str">
            <v/>
          </cell>
          <cell r="C582" t="str">
            <v>ALESTC E2</v>
          </cell>
          <cell r="D582" t="str">
            <v>6fdea33f-57d7-4cc3-aa7a-71d035814859</v>
          </cell>
          <cell r="E582" t="b">
            <v>1</v>
          </cell>
          <cell r="F582" t="str">
            <v>ALESTC - {1} []</v>
          </cell>
          <cell r="G582" t="str">
            <v>Alarme de Estado em Ponto Telecontrolado E2</v>
          </cell>
          <cell r="H582">
            <v>0</v>
          </cell>
          <cell r="I582">
            <v>0</v>
          </cell>
          <cell r="J582" t="str">
            <v>DiscreteState</v>
          </cell>
          <cell r="K582" t="str">
            <v>Severidade 2</v>
          </cell>
          <cell r="L582" t="str">
            <v>Severidade 16</v>
          </cell>
          <cell r="M582" t="b">
            <v>0</v>
          </cell>
        </row>
        <row r="583">
          <cell r="A583" t="str">
            <v>Alarme de Estado em Ponto Telecontrolado DA</v>
          </cell>
          <cell r="B583" t="str">
            <v/>
          </cell>
          <cell r="C583" t="str">
            <v>ALESTC DA</v>
          </cell>
          <cell r="D583" t="str">
            <v>34f67cb3-7989-45a8-83f7-3edfe1d865f2</v>
          </cell>
          <cell r="E583" t="b">
            <v>1</v>
          </cell>
          <cell r="F583" t="str">
            <v>ALESTC - {1} []</v>
          </cell>
          <cell r="G583" t="str">
            <v>Alarme de Estado em Ponto Telecontrolado DA</v>
          </cell>
          <cell r="H583">
            <v>0</v>
          </cell>
          <cell r="I583">
            <v>0</v>
          </cell>
          <cell r="J583" t="str">
            <v>DiscreteState</v>
          </cell>
          <cell r="K583" t="str">
            <v>Severidade 4</v>
          </cell>
          <cell r="L583" t="str">
            <v>Severidade 16</v>
          </cell>
          <cell r="M583" t="b">
            <v>0</v>
          </cell>
        </row>
        <row r="584">
          <cell r="A584" t="str">
            <v>Alarme de Estado em Ponto Telecontrolado SI</v>
          </cell>
          <cell r="B584" t="str">
            <v/>
          </cell>
          <cell r="C584" t="str">
            <v>ALESTC SI</v>
          </cell>
          <cell r="D584" t="str">
            <v>feb0b2d5-fbbe-4d6d-a9c4-bfa9c12c831d</v>
          </cell>
          <cell r="E584" t="b">
            <v>1</v>
          </cell>
          <cell r="F584" t="str">
            <v>ALESTC - {1} []</v>
          </cell>
          <cell r="G584" t="str">
            <v>Alarme de Estado em Ponto Telecontrolado SI</v>
          </cell>
          <cell r="H584">
            <v>0</v>
          </cell>
          <cell r="I584">
            <v>0</v>
          </cell>
          <cell r="J584" t="str">
            <v>DiscreteState</v>
          </cell>
          <cell r="K584" t="str">
            <v>Severidade 3</v>
          </cell>
          <cell r="L584" t="str">
            <v>Severidade 16</v>
          </cell>
          <cell r="M584" t="b">
            <v>0</v>
          </cell>
        </row>
        <row r="585">
          <cell r="A585" t="str">
            <v>Alarme de Estado em Ponto Telecontrolado SE</v>
          </cell>
          <cell r="B585" t="str">
            <v/>
          </cell>
          <cell r="C585" t="str">
            <v>ALESTC SE</v>
          </cell>
          <cell r="D585" t="str">
            <v>79db9ae6-f5fa-48d7-a106-e844ad4cffd1</v>
          </cell>
          <cell r="E585" t="b">
            <v>1</v>
          </cell>
          <cell r="F585" t="str">
            <v>ALESTC - {1} []</v>
          </cell>
          <cell r="G585" t="str">
            <v>Alarme de Estado em Ponto Telecontrolado SE</v>
          </cell>
          <cell r="H585">
            <v>0</v>
          </cell>
          <cell r="I585">
            <v>0</v>
          </cell>
          <cell r="J585" t="str">
            <v>DiscreteState</v>
          </cell>
          <cell r="K585" t="str">
            <v>Severidade 2</v>
          </cell>
          <cell r="L585" t="str">
            <v>Severidade 16</v>
          </cell>
          <cell r="M585" t="b">
            <v>0</v>
          </cell>
        </row>
        <row r="586">
          <cell r="A586" t="str">
            <v>Alarme de Estado em Ponto Telessinalizado DS</v>
          </cell>
          <cell r="B586" t="str">
            <v/>
          </cell>
          <cell r="C586" t="str">
            <v>ALESTS DS</v>
          </cell>
          <cell r="D586" t="str">
            <v>7be06de7-82a6-4130-a866-0e9563f2f684</v>
          </cell>
          <cell r="E586" t="b">
            <v>1</v>
          </cell>
          <cell r="F586" t="str">
            <v>ALESTS - {1} []</v>
          </cell>
          <cell r="G586" t="str">
            <v>Alarme de Estado em Ponto Telessinalizado DS</v>
          </cell>
          <cell r="H586">
            <v>0</v>
          </cell>
          <cell r="I586">
            <v>0</v>
          </cell>
          <cell r="J586" t="str">
            <v>DiscreteState</v>
          </cell>
          <cell r="K586" t="str">
            <v>Severidade 8</v>
          </cell>
          <cell r="L586" t="str">
            <v>Severidade 16</v>
          </cell>
          <cell r="M586" t="b">
            <v>0</v>
          </cell>
        </row>
        <row r="587">
          <cell r="A587" t="str">
            <v>Alarme de Estado em Ponto Telessinalizado DP</v>
          </cell>
          <cell r="B587" t="str">
            <v/>
          </cell>
          <cell r="C587" t="str">
            <v>ALESTS DP</v>
          </cell>
          <cell r="D587" t="str">
            <v>83f694dc-0206-4547-bf25-4cf6f0ff4f18</v>
          </cell>
          <cell r="E587" t="b">
            <v>1</v>
          </cell>
          <cell r="F587" t="str">
            <v>ALESTS - {1} []</v>
          </cell>
          <cell r="G587" t="str">
            <v>Alarme de Estado em Ponto Telessinalizado DP</v>
          </cell>
          <cell r="H587">
            <v>0</v>
          </cell>
          <cell r="I587">
            <v>0</v>
          </cell>
          <cell r="J587" t="str">
            <v>DiscreteState</v>
          </cell>
          <cell r="K587" t="str">
            <v>Severidade 5</v>
          </cell>
          <cell r="L587" t="str">
            <v>Severidade 16</v>
          </cell>
          <cell r="M587" t="b">
            <v>0</v>
          </cell>
        </row>
        <row r="588">
          <cell r="A588" t="str">
            <v>Alarme de Estado em Ponto Telessinalizado DB</v>
          </cell>
          <cell r="B588" t="str">
            <v/>
          </cell>
          <cell r="C588" t="str">
            <v>ALESTS DB</v>
          </cell>
          <cell r="D588" t="str">
            <v>cc497148-1abe-404a-ad85-dd5be6546bff</v>
          </cell>
          <cell r="E588" t="b">
            <v>1</v>
          </cell>
          <cell r="F588" t="str">
            <v>ALESTS - {1} []</v>
          </cell>
          <cell r="G588" t="str">
            <v>Alarme de Estado em Ponto Telessinalizado DB</v>
          </cell>
          <cell r="H588">
            <v>0</v>
          </cell>
          <cell r="I588">
            <v>0</v>
          </cell>
          <cell r="J588" t="str">
            <v>DiscreteState</v>
          </cell>
          <cell r="K588" t="str">
            <v>Severidade 7</v>
          </cell>
          <cell r="L588" t="str">
            <v>Severidade 16</v>
          </cell>
          <cell r="M588" t="b">
            <v>0</v>
          </cell>
        </row>
        <row r="589">
          <cell r="A589" t="str">
            <v>Alarme de Estado em Ponto Telessinalizado DV</v>
          </cell>
          <cell r="B589" t="str">
            <v/>
          </cell>
          <cell r="C589" t="str">
            <v>ALESTS DV</v>
          </cell>
          <cell r="D589" t="str">
            <v>6bb9b9e4-42af-47e2-960a-d133fc5906cf</v>
          </cell>
          <cell r="E589" t="b">
            <v>1</v>
          </cell>
          <cell r="F589" t="str">
            <v>ALESTS - {1} []</v>
          </cell>
          <cell r="G589" t="str">
            <v>Alarme de Estado em Ponto Telessinalizado DV</v>
          </cell>
          <cell r="H589">
            <v>0</v>
          </cell>
          <cell r="I589">
            <v>0</v>
          </cell>
          <cell r="J589" t="str">
            <v>DiscreteState</v>
          </cell>
          <cell r="K589" t="str">
            <v>Severidade 5</v>
          </cell>
          <cell r="L589" t="str">
            <v>Severidade 16</v>
          </cell>
          <cell r="M589" t="b">
            <v>0</v>
          </cell>
        </row>
        <row r="590">
          <cell r="A590" t="str">
            <v>Alarme de Estado em Ponto Telecontrolado DV</v>
          </cell>
          <cell r="B590" t="str">
            <v/>
          </cell>
          <cell r="C590" t="str">
            <v>ALESTC DV</v>
          </cell>
          <cell r="D590" t="str">
            <v>d19f4d75-c0eb-4b18-bdb7-d69e389ac2ef</v>
          </cell>
          <cell r="E590" t="b">
            <v>1</v>
          </cell>
          <cell r="F590" t="str">
            <v>ALESTC - {1} []</v>
          </cell>
          <cell r="G590" t="str">
            <v>Alarme de Estado em Ponto Telecontrolado DV</v>
          </cell>
          <cell r="H590">
            <v>0</v>
          </cell>
          <cell r="I590">
            <v>0</v>
          </cell>
          <cell r="J590" t="str">
            <v>DiscreteState</v>
          </cell>
          <cell r="K590" t="str">
            <v>Severidade 5</v>
          </cell>
          <cell r="L590" t="str">
            <v>Severidade 16</v>
          </cell>
          <cell r="M590" t="b">
            <v>0</v>
          </cell>
        </row>
        <row r="591">
          <cell r="A591" t="str">
            <v>Alarme de Estado em Ponto Telecontrolado DB</v>
          </cell>
          <cell r="B591" t="str">
            <v/>
          </cell>
          <cell r="C591" t="str">
            <v>ALESTC DB</v>
          </cell>
          <cell r="D591" t="str">
            <v>4b46e25f-80ad-4e5d-b800-a35ca24e45e9</v>
          </cell>
          <cell r="E591" t="b">
            <v>1</v>
          </cell>
          <cell r="F591" t="str">
            <v>ALESTC - {1} []</v>
          </cell>
          <cell r="G591" t="str">
            <v>Alarme de Estado em Ponto Telecontrolado DB</v>
          </cell>
          <cell r="H591">
            <v>0</v>
          </cell>
          <cell r="I591">
            <v>0</v>
          </cell>
          <cell r="J591" t="str">
            <v>DiscreteState</v>
          </cell>
          <cell r="K591" t="str">
            <v>Severidade 7</v>
          </cell>
          <cell r="L591" t="str">
            <v>Severidade 16</v>
          </cell>
          <cell r="M591" t="b">
            <v>0</v>
          </cell>
        </row>
        <row r="592">
          <cell r="A592" t="str">
            <v>Alarme de Estado em Ponto Telecontrolado DS</v>
          </cell>
          <cell r="B592" t="str">
            <v/>
          </cell>
          <cell r="C592" t="str">
            <v>ALESTC DS</v>
          </cell>
          <cell r="D592" t="str">
            <v>b4cf3c21-bfab-4be1-88dd-38915affee9e</v>
          </cell>
          <cell r="E592" t="b">
            <v>1</v>
          </cell>
          <cell r="F592" t="str">
            <v>ALESTC - {1} []</v>
          </cell>
          <cell r="G592" t="str">
            <v>Alarme de Estado em Ponto Telecontrolado DS</v>
          </cell>
          <cell r="H592">
            <v>0</v>
          </cell>
          <cell r="I592">
            <v>0</v>
          </cell>
          <cell r="J592" t="str">
            <v>DiscreteState</v>
          </cell>
          <cell r="K592" t="str">
            <v>Severidade 8</v>
          </cell>
          <cell r="L592" t="str">
            <v>Severidade 16</v>
          </cell>
          <cell r="M592" t="b">
            <v>0</v>
          </cell>
        </row>
        <row r="593">
          <cell r="A593" t="str">
            <v>Alarme de Estado em Ponto Telecontrolado SA</v>
          </cell>
          <cell r="B593" t="str">
            <v/>
          </cell>
          <cell r="C593" t="str">
            <v>ALESTC SA</v>
          </cell>
          <cell r="D593" t="str">
            <v>ca6bf4fd-884a-4c87-a290-9f6e0c688ba8</v>
          </cell>
          <cell r="E593" t="b">
            <v>1</v>
          </cell>
          <cell r="F593" t="str">
            <v>ALESTC - {1} []</v>
          </cell>
          <cell r="G593" t="str">
            <v>Alarme de Estado em Ponto Telecontrolado SA</v>
          </cell>
          <cell r="H593">
            <v>0</v>
          </cell>
          <cell r="I593">
            <v>0</v>
          </cell>
          <cell r="J593" t="str">
            <v>DiscreteState</v>
          </cell>
          <cell r="K593" t="str">
            <v>Severidade 4</v>
          </cell>
          <cell r="L593" t="str">
            <v>Severidade 16</v>
          </cell>
          <cell r="M593" t="b">
            <v>0</v>
          </cell>
        </row>
        <row r="594">
          <cell r="A594" t="str">
            <v>Alarme de Dado MUST em Limite Superior 2</v>
          </cell>
          <cell r="B594" t="str">
            <v/>
          </cell>
          <cell r="C594" t="str">
            <v>ALISUP CONTR MUST</v>
          </cell>
          <cell r="D594" t="str">
            <v>445d5091-ecda-46b3-8bd1-ef4d645ac47f</v>
          </cell>
          <cell r="E594" t="b">
            <v>1</v>
          </cell>
          <cell r="F594" t="str">
            <v>ALISUP CONTR 100% MUST - Valor {0:G} {1} (limite = {3:0.00}) {4} []</v>
          </cell>
          <cell r="G594" t="str">
            <v>Alarme de Dado MUST em Limite Superior - Nivel 2</v>
          </cell>
          <cell r="H594">
            <v>0</v>
          </cell>
          <cell r="I594">
            <v>0</v>
          </cell>
          <cell r="J594" t="str">
            <v>AnalogHigh</v>
          </cell>
          <cell r="K594" t="str">
            <v>Severidade 1</v>
          </cell>
          <cell r="L594" t="str">
            <v>Severidade 16</v>
          </cell>
          <cell r="M594" t="b">
            <v>0</v>
          </cell>
        </row>
        <row r="595">
          <cell r="A595" t="str">
            <v>Alarme de Dado MUST em Limite Superior 1</v>
          </cell>
          <cell r="B595" t="str">
            <v/>
          </cell>
          <cell r="C595" t="str">
            <v>ALISUP OPER MUST</v>
          </cell>
          <cell r="D595" t="str">
            <v>c91e0782-8368-4d77-b7fb-0f9154e60370</v>
          </cell>
          <cell r="E595" t="b">
            <v>1</v>
          </cell>
          <cell r="F595" t="str">
            <v>ALISUP OPER 95% MUST - Valor {0:G} {1} (limite = {3:0.00}) {4} []</v>
          </cell>
          <cell r="G595" t="str">
            <v>Alarme de Dado MUST em Limite Superior - Nivel 1</v>
          </cell>
          <cell r="H595">
            <v>0</v>
          </cell>
          <cell r="I595">
            <v>0</v>
          </cell>
          <cell r="J595" t="str">
            <v>AnalogHigh</v>
          </cell>
          <cell r="K595" t="str">
            <v>Severidade 12</v>
          </cell>
          <cell r="L595" t="str">
            <v>Severidade 16</v>
          </cell>
          <cell r="M595" t="b">
            <v>0</v>
          </cell>
        </row>
        <row r="596">
          <cell r="A596" t="str">
            <v>Alarme de Estado em Ponto Telecontrolado SB</v>
          </cell>
          <cell r="B596" t="str">
            <v/>
          </cell>
          <cell r="C596" t="str">
            <v>ALESTC SB</v>
          </cell>
          <cell r="D596" t="str">
            <v>15b5436b-1104-4f6c-869f-89d45219c9c3</v>
          </cell>
          <cell r="E596" t="b">
            <v>1</v>
          </cell>
          <cell r="F596" t="str">
            <v>ALESTC - {1} []</v>
          </cell>
          <cell r="G596" t="str">
            <v>Alarme de Estado em Ponto Telecontrolado SB</v>
          </cell>
          <cell r="H596">
            <v>0</v>
          </cell>
          <cell r="I596">
            <v>0</v>
          </cell>
          <cell r="J596" t="str">
            <v>DiscreteState</v>
          </cell>
          <cell r="K596" t="str">
            <v>Severidade 7</v>
          </cell>
          <cell r="L596" t="str">
            <v>Severidade 16</v>
          </cell>
          <cell r="M596" t="b">
            <v>0</v>
          </cell>
        </row>
        <row r="597">
          <cell r="A597" t="str">
            <v>Alarme de Estado em Ponto Telecontrolado ST</v>
          </cell>
          <cell r="B597" t="str">
            <v/>
          </cell>
          <cell r="C597" t="str">
            <v>ALESTC ST</v>
          </cell>
          <cell r="D597" t="str">
            <v>39d05f92-bbdd-4361-a570-6b5ba1ba0859</v>
          </cell>
          <cell r="E597" t="b">
            <v>1</v>
          </cell>
          <cell r="F597" t="str">
            <v>ALESTC - {1} []</v>
          </cell>
          <cell r="G597" t="str">
            <v>Alarme de Estado em Ponto Telecontrolado ST</v>
          </cell>
          <cell r="H597">
            <v>0</v>
          </cell>
          <cell r="I597">
            <v>0</v>
          </cell>
          <cell r="J597" t="str">
            <v>DiscreteState</v>
          </cell>
          <cell r="K597" t="str">
            <v>Severidade 9</v>
          </cell>
          <cell r="L597" t="str">
            <v>Severidade 16</v>
          </cell>
          <cell r="M597" t="b">
            <v>0</v>
          </cell>
        </row>
        <row r="598">
          <cell r="A598" t="str">
            <v>Alarme de Dado MUST em Limite Superior 3</v>
          </cell>
          <cell r="B598" t="str">
            <v/>
          </cell>
          <cell r="C598" t="str">
            <v>ALISUP EMERG MUST</v>
          </cell>
          <cell r="D598" t="str">
            <v>465cccf5-3056-426e-9875-e6bcd3cbcecc</v>
          </cell>
          <cell r="E598" t="b">
            <v>1</v>
          </cell>
          <cell r="F598" t="str">
            <v>ALISUP EMERG 105% MUST - Valor {0:G} {1} (limite = {3:0.00}) {4} []</v>
          </cell>
          <cell r="G598" t="str">
            <v>Alarme de Dado MUST em Limite Superior - Nivel 3</v>
          </cell>
          <cell r="H598">
            <v>0</v>
          </cell>
          <cell r="I598">
            <v>0</v>
          </cell>
          <cell r="J598" t="str">
            <v>AnalogHigh</v>
          </cell>
          <cell r="K598" t="str">
            <v>Severidade 1</v>
          </cell>
          <cell r="L598" t="str">
            <v>Severidade 16</v>
          </cell>
          <cell r="M598" t="b">
            <v>0</v>
          </cell>
        </row>
        <row r="599">
          <cell r="A599" t="str">
            <v>Alarme de Estado em Ponto Telessinalizado SVx</v>
          </cell>
          <cell r="B599" t="str">
            <v/>
          </cell>
          <cell r="C599" t="str">
            <v>ALESTS SV</v>
          </cell>
          <cell r="D599" t="str">
            <v>37085a93-27fd-4468-814d-13d36eda3a35</v>
          </cell>
          <cell r="E599" t="b">
            <v>0</v>
          </cell>
          <cell r="F599" t="str">
            <v>ALESTS - {1} []</v>
          </cell>
          <cell r="G599" t="str">
            <v>Alarme de Estado em Ponto Telessinalizado SV</v>
          </cell>
          <cell r="H599">
            <v>0</v>
          </cell>
          <cell r="I599">
            <v>0</v>
          </cell>
          <cell r="J599" t="str">
            <v>DiscreteState</v>
          </cell>
          <cell r="K599" t="str">
            <v>Severidade 5</v>
          </cell>
          <cell r="L599" t="str">
            <v>Severidade 16</v>
          </cell>
          <cell r="M599" t="b">
            <v>0</v>
          </cell>
        </row>
        <row r="600">
          <cell r="A600" t="str">
            <v>Alarme de Estado em Ponto Telessinalizado SSx</v>
          </cell>
          <cell r="B600" t="str">
            <v/>
          </cell>
          <cell r="C600" t="str">
            <v>ALESTS SS</v>
          </cell>
          <cell r="D600" t="str">
            <v>e57db6ad-0c6c-49c4-9354-c574d685728c</v>
          </cell>
          <cell r="E600" t="b">
            <v>0</v>
          </cell>
          <cell r="F600" t="str">
            <v>ALESTS - {1} []</v>
          </cell>
          <cell r="G600" t="str">
            <v>Alarme de Estado em Ponto Telessinalizado SS</v>
          </cell>
          <cell r="H600">
            <v>0</v>
          </cell>
          <cell r="I600">
            <v>0</v>
          </cell>
          <cell r="J600" t="str">
            <v>DiscreteState</v>
          </cell>
          <cell r="K600" t="str">
            <v>Severidade 8</v>
          </cell>
          <cell r="L600" t="str">
            <v>Severidade 16</v>
          </cell>
          <cell r="M600" t="b">
            <v>0</v>
          </cell>
        </row>
        <row r="601">
          <cell r="A601" t="str">
            <v>Alarme de Estado em Ponto Telessinalizado DSx</v>
          </cell>
          <cell r="B601" t="str">
            <v/>
          </cell>
          <cell r="C601" t="str">
            <v>ALESTS DS</v>
          </cell>
          <cell r="D601" t="str">
            <v>c9e47f5a-8cdc-4839-98e3-11f4b6504237</v>
          </cell>
          <cell r="E601" t="b">
            <v>0</v>
          </cell>
          <cell r="F601" t="str">
            <v>ALESTS - {1} []</v>
          </cell>
          <cell r="G601" t="str">
            <v>Alarme de Estado em Ponto Telessinalizado DS</v>
          </cell>
          <cell r="H601">
            <v>0</v>
          </cell>
          <cell r="I601">
            <v>0</v>
          </cell>
          <cell r="J601" t="str">
            <v>DiscreteState</v>
          </cell>
          <cell r="K601" t="str">
            <v>Severidade 8</v>
          </cell>
          <cell r="L601" t="str">
            <v>Severidade 16</v>
          </cell>
          <cell r="M601" t="b">
            <v>0</v>
          </cell>
        </row>
        <row r="602">
          <cell r="A602" t="str">
            <v>Alarme de Estado em Ponto Telessinalizado DAx</v>
          </cell>
          <cell r="B602" t="str">
            <v/>
          </cell>
          <cell r="C602" t="str">
            <v>ALESTS DA</v>
          </cell>
          <cell r="D602" t="str">
            <v>cca2ecec-b9d0-472f-8a1b-4abe2bfbe4d9</v>
          </cell>
          <cell r="E602" t="b">
            <v>0</v>
          </cell>
          <cell r="F602" t="str">
            <v>ALESTS - {1} []</v>
          </cell>
          <cell r="G602" t="str">
            <v>Alarme de Estado em Ponto Telessinalizado DA</v>
          </cell>
          <cell r="H602">
            <v>0</v>
          </cell>
          <cell r="I602">
            <v>0</v>
          </cell>
          <cell r="J602" t="str">
            <v>DiscreteState</v>
          </cell>
          <cell r="K602" t="str">
            <v>Severidade 4</v>
          </cell>
          <cell r="L602" t="str">
            <v>Severidade 16</v>
          </cell>
          <cell r="M602" t="b">
            <v>0</v>
          </cell>
        </row>
        <row r="603">
          <cell r="A603" t="str">
            <v>Alarme de Estado em Ponto Telessinalizado DPx</v>
          </cell>
          <cell r="B603" t="str">
            <v/>
          </cell>
          <cell r="C603" t="str">
            <v>ALESTS DP</v>
          </cell>
          <cell r="D603" t="str">
            <v>1c4b42d2-09ff-492e-80c3-e8dd85aeaab6</v>
          </cell>
          <cell r="E603" t="b">
            <v>0</v>
          </cell>
          <cell r="F603" t="str">
            <v>ALESTS - {1} []</v>
          </cell>
          <cell r="G603" t="str">
            <v>Alarme de Estado em Ponto Telessinalizado DP</v>
          </cell>
          <cell r="H603">
            <v>0</v>
          </cell>
          <cell r="I603">
            <v>0</v>
          </cell>
          <cell r="J603" t="str">
            <v>DiscreteState</v>
          </cell>
          <cell r="K603" t="str">
            <v>Severidade 5</v>
          </cell>
          <cell r="L603" t="str">
            <v>Severidade 16</v>
          </cell>
          <cell r="M603" t="b">
            <v>0</v>
          </cell>
        </row>
        <row r="604">
          <cell r="A604" t="str">
            <v>Alarme de Estado em Ponto Telecontrolado SSx</v>
          </cell>
          <cell r="B604" t="str">
            <v/>
          </cell>
          <cell r="C604" t="str">
            <v>ALESTC SS</v>
          </cell>
          <cell r="D604" t="str">
            <v>b484d658-c2aa-4165-b2f2-6257c7257da9</v>
          </cell>
          <cell r="E604" t="b">
            <v>0</v>
          </cell>
          <cell r="F604" t="str">
            <v>ALESTC - {1} []</v>
          </cell>
          <cell r="G604" t="str">
            <v>Alarme de Estado em Ponto Telecontrolado SS</v>
          </cell>
          <cell r="H604">
            <v>0</v>
          </cell>
          <cell r="I604">
            <v>0</v>
          </cell>
          <cell r="J604" t="str">
            <v>DiscreteState</v>
          </cell>
          <cell r="K604" t="str">
            <v>Severidade 8</v>
          </cell>
          <cell r="L604" t="str">
            <v>Severidade 16</v>
          </cell>
          <cell r="M604" t="b">
            <v>0</v>
          </cell>
        </row>
        <row r="605">
          <cell r="A605" t="str">
            <v>Alarme de Estado em Ponto Telessinalizado DVx</v>
          </cell>
          <cell r="B605" t="str">
            <v/>
          </cell>
          <cell r="C605" t="str">
            <v>ALESTS DV</v>
          </cell>
          <cell r="D605" t="str">
            <v>7ac3d0c1-3222-4a31-9178-efd295c60d8e</v>
          </cell>
          <cell r="E605" t="b">
            <v>0</v>
          </cell>
          <cell r="F605" t="str">
            <v>ALESTS - {1} []</v>
          </cell>
          <cell r="G605" t="str">
            <v>Alarme de Estado em Ponto Telessinalizado DV</v>
          </cell>
          <cell r="H605">
            <v>0</v>
          </cell>
          <cell r="I605">
            <v>0</v>
          </cell>
          <cell r="J605" t="str">
            <v>DiscreteState</v>
          </cell>
          <cell r="K605" t="str">
            <v>Severidade 5</v>
          </cell>
          <cell r="L605" t="str">
            <v>Severidade 16</v>
          </cell>
          <cell r="M605" t="b">
            <v>0</v>
          </cell>
        </row>
        <row r="606">
          <cell r="A606" t="str">
            <v>Alarme de Estado em Ponto Telecontrolado DSx</v>
          </cell>
          <cell r="B606" t="str">
            <v/>
          </cell>
          <cell r="C606" t="str">
            <v>ALESTC DS</v>
          </cell>
          <cell r="D606" t="str">
            <v>1a4307ff-db1a-469f-9a76-8948b4aa0f40</v>
          </cell>
          <cell r="E606" t="b">
            <v>0</v>
          </cell>
          <cell r="F606" t="str">
            <v>ALESTC - {1} []</v>
          </cell>
          <cell r="G606" t="str">
            <v>Alarme de Estado em Ponto Telecontrolado DS</v>
          </cell>
          <cell r="H606">
            <v>0</v>
          </cell>
          <cell r="I606">
            <v>0</v>
          </cell>
          <cell r="J606" t="str">
            <v>DiscreteState</v>
          </cell>
          <cell r="K606" t="str">
            <v>Severidade 8</v>
          </cell>
          <cell r="L606" t="str">
            <v>Severidade 16</v>
          </cell>
          <cell r="M606" t="b">
            <v>0</v>
          </cell>
        </row>
        <row r="607">
          <cell r="A607" t="str">
            <v>Alarme de Estado em Ponto Telessinalizado DBx</v>
          </cell>
          <cell r="B607" t="str">
            <v/>
          </cell>
          <cell r="C607" t="str">
            <v>ALESTS DB</v>
          </cell>
          <cell r="D607" t="str">
            <v>5658916c-478d-4b52-950b-ceca185544ce</v>
          </cell>
          <cell r="E607" t="b">
            <v>0</v>
          </cell>
          <cell r="F607" t="str">
            <v>ALESTS - {1} []</v>
          </cell>
          <cell r="G607" t="str">
            <v>Alarme de Estado em Ponto Telessinalizado DB</v>
          </cell>
          <cell r="H607">
            <v>0</v>
          </cell>
          <cell r="I607">
            <v>0</v>
          </cell>
          <cell r="J607" t="str">
            <v>DiscreteState</v>
          </cell>
          <cell r="K607" t="str">
            <v>Severidade 7</v>
          </cell>
          <cell r="L607" t="str">
            <v>Severidade 16</v>
          </cell>
          <cell r="M607" t="b">
            <v>0</v>
          </cell>
        </row>
        <row r="608">
          <cell r="A608" t="str">
            <v>Alarme de Estado em Ponto Telessinalizado SBx</v>
          </cell>
          <cell r="B608" t="str">
            <v/>
          </cell>
          <cell r="C608" t="str">
            <v>ALESTS SB</v>
          </cell>
          <cell r="D608" t="str">
            <v>74952f44-9ac5-43e3-8c99-462f63f1dfb8</v>
          </cell>
          <cell r="E608" t="b">
            <v>0</v>
          </cell>
          <cell r="F608" t="str">
            <v>ALESTS - {1} []</v>
          </cell>
          <cell r="G608" t="str">
            <v>Alarme de Estado em Ponto Telessinalizado SB</v>
          </cell>
          <cell r="H608">
            <v>0</v>
          </cell>
          <cell r="I608">
            <v>0</v>
          </cell>
          <cell r="J608" t="str">
            <v>DiscreteState</v>
          </cell>
          <cell r="K608" t="str">
            <v>Severidade 7</v>
          </cell>
          <cell r="L608" t="str">
            <v>Severidade 16</v>
          </cell>
          <cell r="M608" t="b">
            <v>0</v>
          </cell>
        </row>
        <row r="609">
          <cell r="A609" t="str">
            <v>Alarme de Estado em Ponto Telecontrolado DVx</v>
          </cell>
          <cell r="B609" t="str">
            <v/>
          </cell>
          <cell r="C609" t="str">
            <v>ALESTC DV</v>
          </cell>
          <cell r="D609" t="str">
            <v>ec5d9916-6467-4058-9f2f-72bdc925e340</v>
          </cell>
          <cell r="E609" t="b">
            <v>1</v>
          </cell>
          <cell r="F609" t="str">
            <v>ALESTC - {1} []</v>
          </cell>
          <cell r="G609" t="str">
            <v>Alarme de Estado em Ponto Telecontrolado DV</v>
          </cell>
          <cell r="H609">
            <v>0</v>
          </cell>
          <cell r="I609">
            <v>0</v>
          </cell>
          <cell r="J609" t="str">
            <v>DiscreteState</v>
          </cell>
          <cell r="K609" t="str">
            <v>Severidade 5</v>
          </cell>
          <cell r="L609" t="str">
            <v>Severidade 16</v>
          </cell>
          <cell r="M609" t="b">
            <v>0</v>
          </cell>
        </row>
        <row r="610">
          <cell r="A610" t="str">
            <v>Alarme de Estado em Ponto Telecontrolado SVx</v>
          </cell>
          <cell r="B610" t="str">
            <v/>
          </cell>
          <cell r="C610" t="str">
            <v>ALESTC SV</v>
          </cell>
          <cell r="D610" t="str">
            <v>8cffdd80-4ae3-48ed-bbfd-944e1da5ba63</v>
          </cell>
          <cell r="E610" t="b">
            <v>0</v>
          </cell>
          <cell r="F610" t="str">
            <v>ALESTC - {1} []</v>
          </cell>
          <cell r="G610" t="str">
            <v>Alarme de Estado em Ponto Telecontrolado SV</v>
          </cell>
          <cell r="H610">
            <v>0</v>
          </cell>
          <cell r="I610">
            <v>0</v>
          </cell>
          <cell r="J610" t="str">
            <v>DiscreteState</v>
          </cell>
          <cell r="K610" t="str">
            <v>Severidade 5</v>
          </cell>
          <cell r="L610" t="str">
            <v>Severidade 16</v>
          </cell>
          <cell r="M610" t="b">
            <v>0</v>
          </cell>
        </row>
        <row r="611">
          <cell r="A611" t="str">
            <v>Alarme de Estado em Ponto Telessinalizado SAx</v>
          </cell>
          <cell r="B611" t="str">
            <v/>
          </cell>
          <cell r="C611" t="str">
            <v>ALESTS SA</v>
          </cell>
          <cell r="D611" t="str">
            <v>dc0ee08d-d0bb-4550-895f-32c41b50b49f</v>
          </cell>
          <cell r="E611" t="b">
            <v>0</v>
          </cell>
          <cell r="F611" t="str">
            <v>ALESTS - {1} []</v>
          </cell>
          <cell r="G611" t="str">
            <v>Alarme de Estado em Ponto Telessinalizado SA</v>
          </cell>
          <cell r="H611">
            <v>0</v>
          </cell>
          <cell r="I611">
            <v>0</v>
          </cell>
          <cell r="J611" t="str">
            <v>DiscreteState</v>
          </cell>
          <cell r="K611" t="str">
            <v>Severidade 4</v>
          </cell>
          <cell r="L611" t="str">
            <v>Severidade 16</v>
          </cell>
          <cell r="M611" t="b">
            <v>0</v>
          </cell>
        </row>
        <row r="612">
          <cell r="A612" t="str">
            <v>Alarme de Estado em Ponto Telecontrolado SAx</v>
          </cell>
          <cell r="B612" t="str">
            <v/>
          </cell>
          <cell r="C612" t="str">
            <v>ALESTC SA</v>
          </cell>
          <cell r="D612" t="str">
            <v>ebe8da59-1e94-4a70-bd4c-7d5c96cd9cb0</v>
          </cell>
          <cell r="E612" t="b">
            <v>0</v>
          </cell>
          <cell r="F612" t="str">
            <v>ALESTC - {1} []</v>
          </cell>
          <cell r="G612" t="str">
            <v>Alarme de Estado em Ponto Telecontrolado SA</v>
          </cell>
          <cell r="H612">
            <v>0</v>
          </cell>
          <cell r="I612">
            <v>0</v>
          </cell>
          <cell r="J612" t="str">
            <v>DiscreteState</v>
          </cell>
          <cell r="K612" t="str">
            <v>Severidade 4</v>
          </cell>
          <cell r="L612" t="str">
            <v>Severidade 16</v>
          </cell>
          <cell r="M612" t="b">
            <v>0</v>
          </cell>
        </row>
        <row r="613">
          <cell r="A613" t="str">
            <v>Alarme de Estado em Ponto Telessinalizado SB Temporizado</v>
          </cell>
          <cell r="B613" t="str">
            <v/>
          </cell>
          <cell r="C613" t="str">
            <v>ALESTS SB Temporizado</v>
          </cell>
          <cell r="D613" t="str">
            <v>25f438c3-fe49-4b9e-a52f-39ee48ce83cf</v>
          </cell>
          <cell r="E613" t="b">
            <v>1</v>
          </cell>
          <cell r="F613" t="str">
            <v>ALESTS - {1} []</v>
          </cell>
          <cell r="G613" t="str">
            <v>Alarme de Estado em Ponto Telessinalizado SB Temporizado 180s</v>
          </cell>
          <cell r="H613">
            <v>180</v>
          </cell>
          <cell r="I613">
            <v>0</v>
          </cell>
          <cell r="J613" t="str">
            <v>DiscreteState</v>
          </cell>
          <cell r="K613" t="str">
            <v>Severidade 7</v>
          </cell>
          <cell r="L613" t="str">
            <v>Severidade 16</v>
          </cell>
          <cell r="M613" t="b">
            <v>0</v>
          </cell>
        </row>
        <row r="614">
          <cell r="A614" t="str">
            <v>Alarme de Dado Capacitivo</v>
          </cell>
          <cell r="B614" t="str">
            <v/>
          </cell>
          <cell r="C614" t="str">
            <v>ALIFP Capacitivo</v>
          </cell>
          <cell r="D614" t="str">
            <v>734748b6-3af9-43a8-b070-90966fa8f787</v>
          </cell>
          <cell r="E614" t="b">
            <v>1</v>
          </cell>
          <cell r="F614" t="str">
            <v>ALIFP Capacitivo - Valor {0:G} {1} (limite = {3:0.00}) {4} []</v>
          </cell>
          <cell r="G614" t="str">
            <v>Alarme de Dado FP em Limite Inferior</v>
          </cell>
          <cell r="H614">
            <v>0</v>
          </cell>
          <cell r="I614">
            <v>0</v>
          </cell>
          <cell r="J614" t="str">
            <v>AnalogLow</v>
          </cell>
          <cell r="K614" t="str">
            <v>Severidade 12</v>
          </cell>
          <cell r="L614" t="str">
            <v>Severidade 16</v>
          </cell>
          <cell r="M614" t="b">
            <v>0</v>
          </cell>
        </row>
        <row r="615">
          <cell r="A615" t="str">
            <v>Alarme de Dado FP Limite Inferior</v>
          </cell>
          <cell r="B615" t="str">
            <v/>
          </cell>
          <cell r="C615" t="str">
            <v>ALIFP</v>
          </cell>
          <cell r="D615" t="str">
            <v>75feac45-3c1e-4827-8998-6e8be8a2be0f</v>
          </cell>
          <cell r="E615" t="b">
            <v>1</v>
          </cell>
          <cell r="F615" t="str">
            <v>ALIFP - Valor {0:G} {1} (limite = {3:0.00}) {4} []</v>
          </cell>
          <cell r="G615" t="str">
            <v>Alarme de Dado FP em Limite Inferior</v>
          </cell>
          <cell r="H615">
            <v>0</v>
          </cell>
          <cell r="I615">
            <v>0</v>
          </cell>
          <cell r="J615" t="str">
            <v>AnalogLow</v>
          </cell>
          <cell r="K615" t="str">
            <v>Severidade 12</v>
          </cell>
          <cell r="L615" t="str">
            <v>Severidade 16</v>
          </cell>
          <cell r="M615" t="b">
            <v>0</v>
          </cell>
        </row>
        <row r="616">
          <cell r="A616" t="str">
            <v>Alarme de Estado em Ponto Telessinalizado SEV1</v>
          </cell>
          <cell r="B616" t="str">
            <v/>
          </cell>
          <cell r="C616" t="str">
            <v>ALESTS SEV1</v>
          </cell>
          <cell r="D616" t="str">
            <v>e8e55ccd-e763-4754-8e87-ef0dc0016da7</v>
          </cell>
          <cell r="E616" t="b">
            <v>1</v>
          </cell>
          <cell r="F616" t="str">
            <v>ALESTS - {1} []</v>
          </cell>
          <cell r="G616" t="str">
            <v>Alarme de Estado em Ponto Telessinalizado SEV1</v>
          </cell>
          <cell r="H616">
            <v>0</v>
          </cell>
          <cell r="I616">
            <v>0</v>
          </cell>
          <cell r="J616" t="str">
            <v>DiscreteState</v>
          </cell>
          <cell r="K616" t="str">
            <v>Severidade 1</v>
          </cell>
          <cell r="L616" t="str">
            <v>Severidade 16</v>
          </cell>
          <cell r="M616" t="b">
            <v>0</v>
          </cell>
        </row>
        <row r="617">
          <cell r="A617" t="str">
            <v>Alarme de Potencia em Limite Superior 2</v>
          </cell>
          <cell r="B617" t="str">
            <v/>
          </cell>
          <cell r="C617" t="str">
            <v>ALISUP EMERG</v>
          </cell>
          <cell r="D617" t="str">
            <v>f8ab3652-7f82-47b3-ba4c-29bacdbfc524</v>
          </cell>
          <cell r="E617" t="b">
            <v>1</v>
          </cell>
          <cell r="F617" t="str">
            <v>ALISUP EMERG - Valor {0:G} {1} (limite = {3:0.00}) {4} []</v>
          </cell>
          <cell r="G617" t="str">
            <v>Alarme de Dado em Limite Superior - Nivel 2</v>
          </cell>
          <cell r="H617">
            <v>0</v>
          </cell>
          <cell r="I617">
            <v>0</v>
          </cell>
          <cell r="J617" t="str">
            <v>AnalogHigh</v>
          </cell>
          <cell r="K617" t="str">
            <v>Severidade 13</v>
          </cell>
          <cell r="L617" t="str">
            <v>Severidade 16</v>
          </cell>
          <cell r="M617" t="b">
            <v>0</v>
          </cell>
        </row>
        <row r="618">
          <cell r="A618" t="str">
            <v>Alarme de Potencia em Limite Superior 1</v>
          </cell>
          <cell r="B618" t="str">
            <v/>
          </cell>
          <cell r="C618" t="str">
            <v>ALISUP OPER</v>
          </cell>
          <cell r="D618" t="str">
            <v>802effc2-d0ff-4a69-84ad-80b996f78470</v>
          </cell>
          <cell r="E618" t="b">
            <v>1</v>
          </cell>
          <cell r="F618" t="str">
            <v>ALISUP OPER - Valor {0:G} {1} (limite = {3:0.00}) {4} []</v>
          </cell>
          <cell r="G618" t="str">
            <v>Alarme de Dado em Limite Superior - Nivel 1</v>
          </cell>
          <cell r="H618">
            <v>0</v>
          </cell>
          <cell r="I618">
            <v>0</v>
          </cell>
          <cell r="J618" t="str">
            <v>AnalogHigh</v>
          </cell>
          <cell r="K618" t="str">
            <v>Severidade 13</v>
          </cell>
          <cell r="L618" t="str">
            <v>Severidade 16</v>
          </cell>
          <cell r="M618" t="b">
            <v>0</v>
          </cell>
        </row>
        <row r="619">
          <cell r="A619" t="str">
            <v>Alarme de Dado em Limite Inferior Tensão</v>
          </cell>
          <cell r="B619" t="str">
            <v/>
          </cell>
          <cell r="C619" t="str">
            <v>ALIINF V</v>
          </cell>
          <cell r="D619" t="str">
            <v>53b4bf92-6398-46a6-b5d7-0caa92e4e2f8</v>
          </cell>
          <cell r="E619" t="b">
            <v>1</v>
          </cell>
          <cell r="F619" t="str">
            <v>TENSÃO INF 25% NOMINAL / FALTA DE FASE - Valor {0:G} {1} (limite {3:0.00}) {4} []</v>
          </cell>
          <cell r="G619" t="str">
            <v>Alarme de Dado em Limite Inferior</v>
          </cell>
          <cell r="H619">
            <v>600</v>
          </cell>
          <cell r="I619">
            <v>0</v>
          </cell>
          <cell r="J619" t="str">
            <v>AnalogLow</v>
          </cell>
          <cell r="K619" t="str">
            <v>Severidade 8</v>
          </cell>
          <cell r="L619" t="str">
            <v>Severidade 16</v>
          </cell>
          <cell r="M619" t="b">
            <v>0</v>
          </cell>
        </row>
        <row r="620">
          <cell r="A620" t="str">
            <v>Alarme de Dado em Limite Superior Tensão</v>
          </cell>
          <cell r="B620" t="str">
            <v/>
          </cell>
          <cell r="C620" t="str">
            <v>ALISUP V</v>
          </cell>
          <cell r="D620" t="str">
            <v>c3e6a6b6-e564-4aac-916e-fe077397f460</v>
          </cell>
          <cell r="E620" t="b">
            <v>1</v>
          </cell>
          <cell r="F620" t="str">
            <v>TENSÃO SUP 25% NOMINAL - Valor {0:G} {1} (limite = {3:0.00}) {4} []</v>
          </cell>
          <cell r="G620" t="str">
            <v>Alarme de Dado em Limite Superior</v>
          </cell>
          <cell r="H620">
            <v>600</v>
          </cell>
          <cell r="I620">
            <v>0</v>
          </cell>
          <cell r="J620" t="str">
            <v>AnalogHigh</v>
          </cell>
          <cell r="K620" t="str">
            <v>Severidade 8</v>
          </cell>
          <cell r="L620" t="str">
            <v>Severidade 16</v>
          </cell>
          <cell r="M620" t="b">
            <v>0</v>
          </cell>
        </row>
        <row r="621">
          <cell r="A621" t="str">
            <v>Alarme Escalonado em Limite Superior 2</v>
          </cell>
          <cell r="B621" t="str">
            <v/>
          </cell>
          <cell r="C621" t="str">
            <v>ALISUP EMERG ESCALONADO</v>
          </cell>
          <cell r="D621" t="str">
            <v>2fe61cce-c8ae-433b-984b-50aa8dc756d5</v>
          </cell>
          <cell r="E621" t="b">
            <v>1</v>
          </cell>
          <cell r="F621" t="str">
            <v>ALISUP EMERG - Valor {0:G} {1} (limite = {3:0.00}) {4} []</v>
          </cell>
          <cell r="G621" t="str">
            <v>Alarme Escalonado em Limite Superior - Nivel 2</v>
          </cell>
          <cell r="H621">
            <v>0</v>
          </cell>
          <cell r="I621">
            <v>600</v>
          </cell>
          <cell r="J621" t="str">
            <v>AnalogHigh</v>
          </cell>
          <cell r="K621" t="str">
            <v>Severidade 10</v>
          </cell>
          <cell r="L621" t="str">
            <v>Severidade 10</v>
          </cell>
          <cell r="M621" t="b">
            <v>0</v>
          </cell>
        </row>
        <row r="622">
          <cell r="A622" t="str">
            <v>Alarme Escalonado em Limite Inferior 2</v>
          </cell>
          <cell r="B622" t="str">
            <v/>
          </cell>
          <cell r="C622" t="str">
            <v>ALIINF EMERG ESCALONADO</v>
          </cell>
          <cell r="D622" t="str">
            <v>d54390b6-3c38-4176-bfe1-0d082ce43344</v>
          </cell>
          <cell r="E622" t="b">
            <v>1</v>
          </cell>
          <cell r="F622" t="str">
            <v>ALIINF EMERG - Valor {0:G} {1} (limite = {3:0.00}) {4} []</v>
          </cell>
          <cell r="G622" t="str">
            <v>Alarme Escalonado em Limite Inferior - Nivel 2</v>
          </cell>
          <cell r="H622">
            <v>0</v>
          </cell>
          <cell r="I622">
            <v>600</v>
          </cell>
          <cell r="J622" t="str">
            <v>AnalogLow</v>
          </cell>
          <cell r="K622" t="str">
            <v>Severidade 10</v>
          </cell>
          <cell r="L622" t="str">
            <v>Severidade 10</v>
          </cell>
          <cell r="M622" t="b">
            <v>0</v>
          </cell>
        </row>
      </sheetData>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Júlia Linck" id="{A0F0F71A-5846-41B8-BA8F-C3EFB36524BE}" userId="S::julia.linck@cpfl.com.br::ac4d3d11-dca5-4f69-9b44-0d2d50815ced" providerId="AD"/>
  <person displayName="Vinicius Flores" id="{7114C248-8284-4552-8D11-EE3A9CA50E09}" userId="S::vinicius.flores@cpfl.com.br::2f5b2f82-254c-4a27-933a-86c8ae7bab7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46AE74-5AFE-49E0-AFC2-F5EDDB432661}" name="LinkTable6789" displayName="LinkTable6789" ref="A1:L809" totalsRowShown="0" headerRowDxfId="30" dataDxfId="28" headerRowBorderDxfId="29" tableBorderDxfId="27">
  <autoFilter ref="A1:L809" xr:uid="{7BF5DA0A-EA21-4780-87A7-841CE37FA7E4}"/>
  <tableColumns count="12">
    <tableColumn id="1" xr3:uid="{790C4C70-7ECC-4860-9176-7E794AF234DD}" name="Name " dataDxfId="26" dataCellStyle="Excel Built-in Normal 1"/>
    <tableColumn id="5" xr3:uid="{D3D03BF8-61E2-49DE-91F1-92B3B16EA784}" name="Alias" dataDxfId="25" dataCellStyle="Excel Built-in Normal 1"/>
    <tableColumn id="2" xr3:uid="{965B2C24-D160-4AD0-A1A0-72E8A5172706}" name="State (Message)" dataDxfId="24" dataCellStyle="Excel Built-in Normal 1"/>
    <tableColumn id="3" xr3:uid="{B0C74871-E09F-411F-926B-24AD3A89510A}" name="Value" dataDxfId="23" dataCellStyle="Excel Built-in Normal 1"/>
    <tableColumn id="15" xr3:uid="{54E26F56-1253-4766-9948-BFB5D5099087}" name="SCADA Value" dataDxfId="22" dataCellStyle="Excel Built-in Normal 1"/>
    <tableColumn id="16" xr3:uid="{7C84F3D8-888F-4C8A-861F-DA3C22240EE4}" name="Commanding message" dataDxfId="21" dataCellStyle="Excel Built-in Normal 1"/>
    <tableColumn id="7" xr3:uid="{523E0A6D-B81D-489F-860D-30C436AF3AEB}" name="Color" dataDxfId="20" dataCellStyle="Excel Built-in Normal 1"/>
    <tableColumn id="19" xr3:uid="{855F97FC-42E4-49F3-A5BE-D6C4B5B25748}" name="Abnormal Status" dataDxfId="19" dataCellStyle="Excel Built-in Normal 1"/>
    <tableColumn id="4" xr3:uid="{F6FFB25E-754A-4A3C-BECB-4846F3F20BBB}" name="Allow Manual Override" dataDxfId="18" dataCellStyle="Excel Built-in Normal 1"/>
    <tableColumn id="8" xr3:uid="{29EEA1F2-70AB-4015-9EE0-E1FBAD5DBC99}" name="Alarm Catalog" dataDxfId="17" dataCellStyle="Excel Built-in Normal 1"/>
    <tableColumn id="6" xr3:uid="{D3CB73DB-F809-416C-AC50-A4F9BFD9447F}" name="Coluna1" dataDxfId="16" dataCellStyle="Excel Built-in Normal 1"/>
    <tableColumn id="9" xr3:uid="{8D862D84-604B-46AC-8CC3-2E214BEC6C2F}" name="Severidade" dataDxfId="15" dataCellStyle="Excel Built-in Normal 1">
      <calculatedColumnFormula>VLOOKUP(LinkTable6789[[#This Row],[Coluna1]],[4]AlarmCatalog!$A:$M,11,FALSE)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24" dT="2025-07-02T19:05:28.42" personId="{A0F0F71A-5846-41B8-BA8F-C3EFB36524BE}" id="{052A235D-8072-49FB-A5AC-93736261AF44}">
    <text>Atualmente, não possui um MM com a severidade SA para RecloserLockout</text>
  </threadedComment>
  <threadedComment ref="B237" dT="2025-01-24T18:39:42.92" personId="{A0F0F71A-5846-41B8-BA8F-C3EFB36524BE}" id="{48308C52-85E3-4657-9383-9EA78373C044}">
    <text>Só tem em MAA. Verificar se não é sobre e sub funcao</text>
  </threadedComment>
  <threadedComment ref="B238" dT="2025-01-24T18:39:46.77" personId="{A0F0F71A-5846-41B8-BA8F-C3EFB36524BE}" id="{A216ADAF-BB87-4CD3-B815-B87C35FE286C}">
    <text>Só tem em MAA. Verificar se não é sobre e sub funcao</text>
  </threadedComment>
  <threadedComment ref="B293" dT="2025-07-02T18:13:50.23" personId="{A0F0F71A-5846-41B8-BA8F-C3EFB36524BE}" id="{3E61C65E-AA5B-4618-8C0D-80A35D39A03C}">
    <text>NÃO USAR.
Conforme consulta às UTRs, é TRIP Geral (Usar sinal "TRIP")</text>
  </threadedComment>
  <threadedComment ref="A529" dT="2025-04-29T20:24:36.96" personId="{A0F0F71A-5846-41B8-BA8F-C3EFB36524BE}" id="{E9D88ABC-8997-4479-A42D-9579288DAE4E}">
    <text>Troca de ajustes, tendo mais de um grupo (roda)</text>
  </threadedComment>
  <threadedComment ref="A580" dT="2025-07-03T18:05:23.94" personId="{7114C248-8284-4552-8D11-EE3A9CA50E09}" id="{D0EA704F-D615-4860-ADFB-01B8AC2757DC}">
    <text>VERIFICAR COM SUB O FUNCIONAMENTO DO SINAL</text>
  </threadedComment>
  <threadedComment ref="A685" dT="2025-08-06T16:57:47.14" personId="{A0F0F71A-5846-41B8-BA8F-C3EFB36524BE}" id="{00556614-9E75-4431-9B6A-9F700B3AE1EC}">
    <text>NÃO utilizar</text>
  </threadedComment>
  <threadedComment ref="A686" dT="2025-08-06T16:57:51.86" personId="{A0F0F71A-5846-41B8-BA8F-C3EFB36524BE}" id="{72C31D3B-009D-4895-80F5-6257150B381D}">
    <text>NÃO utilizar</text>
  </threadedComment>
</ThreadedComments>
</file>

<file path=xl/threadedComments/threadedComment2.xml><?xml version="1.0" encoding="utf-8"?>
<ThreadedComments xmlns="http://schemas.microsoft.com/office/spreadsheetml/2018/threadedcomments" xmlns:x="http://schemas.openxmlformats.org/spreadsheetml/2006/main">
  <threadedComment ref="B188" dT="2025-01-24T16:19:35.35" personId="{A0F0F71A-5846-41B8-BA8F-C3EFB36524BE}" id="{4E2BA673-8B11-46FD-B490-ECC3E1F355AC}">
    <text>Verificar descriçao. Somente existem em ARV 67+50</text>
  </threadedComment>
  <threadedComment ref="B190" dT="2025-01-24T16:19:41.29" personId="{A0F0F71A-5846-41B8-BA8F-C3EFB36524BE}" id="{BAEBAA4E-B17F-4908-A7A5-F99142DDD79D}">
    <text>Verificar descriçao. Somente existem em ARV 67+50</text>
  </threadedComment>
  <threadedComment ref="B192" dT="2025-01-24T16:19:44.63" personId="{A0F0F71A-5846-41B8-BA8F-C3EFB36524BE}" id="{5D77F35F-9677-4B76-AA81-AB5FB0497E79}">
    <text>Verificar descriçao. Somente existem em ARV 67+50</text>
  </threadedComment>
  <threadedComment ref="B250" dT="2025-01-24T18:39:42.92" personId="{A0F0F71A-5846-41B8-BA8F-C3EFB36524BE}" id="{3B4BCBDD-DF8F-4EBE-8420-D02C5318A1CF}">
    <text>Só tem em MAA. Verificar se não é sobre e sub funcao</text>
  </threadedComment>
  <threadedComment ref="B251" dT="2025-01-24T18:39:46.77" personId="{A0F0F71A-5846-41B8-BA8F-C3EFB36524BE}" id="{3AB88AE1-320B-4756-ABF2-A1A35563B21E}">
    <text>Só tem em MAA. Verificar se não é sobre e sub funcao</text>
  </threadedComment>
</ThreadedComments>
</file>

<file path=xl/threadedComments/threadedComment3.xml><?xml version="1.0" encoding="utf-8"?>
<ThreadedComments xmlns="http://schemas.microsoft.com/office/spreadsheetml/2018/threadedcomments" xmlns:x="http://schemas.openxmlformats.org/spreadsheetml/2006/main">
  <threadedComment ref="A64" dT="2025-04-30T12:18:51.70" personId="{A0F0F71A-5846-41B8-BA8F-C3EFB36524BE}" id="{DC0B0423-5422-4749-990C-537485532BE1}">
    <text>Alterar para 21</text>
  </threadedComment>
</ThreadedComments>
</file>

<file path=xl/threadedComments/threadedComment4.xml><?xml version="1.0" encoding="utf-8"?>
<ThreadedComments xmlns="http://schemas.microsoft.com/office/spreadsheetml/2018/threadedcomments" xmlns:x="http://schemas.openxmlformats.org/spreadsheetml/2006/main">
  <threadedComment ref="A807" dT="2025-03-06T11:50:16.73" personId="{A0F0F71A-5846-41B8-BA8F-C3EFB36524BE}" id="{44B1F9AB-239C-4E3D-AD60-53A939F88D6F}">
    <text>Criar esse novo mm</text>
  </threadedComment>
  <threadedComment ref="A808" dT="2025-03-07T17:29:54.62" personId="{A0F0F71A-5846-41B8-BA8F-C3EFB36524BE}" id="{2B4BFE32-EFDB-4D7B-8F26-418950AC6530}">
    <text>Criar MM novo. Grupo 81</text>
  </threadedComment>
</ThreadedComments>
</file>

<file path=xl/threadedComments/threadedComment5.xml><?xml version="1.0" encoding="utf-8"?>
<ThreadedComments xmlns="http://schemas.microsoft.com/office/spreadsheetml/2018/threadedcomments" xmlns:x="http://schemas.openxmlformats.org/spreadsheetml/2006/main">
  <threadedComment ref="A3" dT="2025-07-03T17:45:13.63" personId="{7114C248-8284-4552-8D11-EE3A9CA50E09}" id="{99BB2C3E-CC5E-4674-B6B0-8FE1FFB58A72}">
    <text>USAR NOME AJAL E MUDAR ALIAS</text>
  </threadedComment>
  <threadedComment ref="A5" dT="2025-07-03T18:09:34.64" personId="{7114C248-8284-4552-8D11-EE3A9CA50E09}" id="{5B04D3B7-6E37-410A-9722-71E7579DFF28}">
    <text>NÃO USAR</text>
  </threadedComment>
  <threadedComment ref="B7" dT="2025-07-03T18:14:44.21" personId="{7114C248-8284-4552-8D11-EE3A9CA50E09}" id="{29EE7A84-9321-43B7-A203-A16244D0F618}">
    <text>VER COM CAMPO FUNCIONAMENTO</text>
  </threadedComment>
  <threadedComment ref="B10" dT="2025-07-03T18:53:46.79" personId="{7114C248-8284-4552-8D11-EE3A9CA50E09}" id="{6A58D5BD-A303-4191-B101-3C8BC40F17BE}">
    <text>USAR MDTP</text>
  </threadedComment>
  <threadedComment ref="B11" dT="2025-07-03T18:53:51.18" personId="{7114C248-8284-4552-8D11-EE3A9CA50E09}" id="{2E5AB503-CEA8-4524-B32E-5D9440949733}">
    <text>USAR MDTP</text>
  </threadedComment>
  <threadedComment ref="B12" dT="2025-07-03T18:53:54.37" personId="{7114C248-8284-4552-8D11-EE3A9CA50E09}" id="{F3BECDF5-F592-461B-BB98-3AA37CFA5C13}">
    <text>USAR MDTP</text>
  </threadedComment>
  <threadedComment ref="B13" dT="2025-07-03T18:53:59.61" personId="{7114C248-8284-4552-8D11-EE3A9CA50E09}" id="{BD6AD60B-25AC-433A-8BA4-3552167FE991}">
    <text>USAR MDTP</text>
  </threadedComment>
  <threadedComment ref="B14" dT="2025-07-03T18:55:35.52" personId="{7114C248-8284-4552-8D11-EE3A9CA50E09}" id="{6D70048F-9B64-4FD6-BB20-7E3B30E9B2C7}">
    <text>VER COM CAMPO O FUNCIONAMENTO</text>
  </threadedComment>
  <threadedComment ref="B15" dT="2025-07-03T18:59:58.75" personId="{7114C248-8284-4552-8D11-EE3A9CA50E09}" id="{64DCF02A-9CA0-4C0D-A89D-915CE280FEC5}">
    <text>FAZER MULTI VF1 E VF2 (AVALIAR)</text>
  </threadedComment>
  <threadedComment ref="B16" dT="2025-07-03T19:00:24.88" personId="{7114C248-8284-4552-8D11-EE3A9CA50E09}" id="{AA5090C6-A6E0-4D55-819D-B0F44F2F061D}">
    <text>OK</text>
  </threadedComment>
  <threadedComment ref="B17" dT="2025-07-03T19:00:07.05" personId="{7114C248-8284-4552-8D11-EE3A9CA50E09}" id="{DFD6FDA9-2652-4998-9006-DE8C548D3118}">
    <text>FAZER MULTI VF1 E VF2 (AVALIAR)</text>
  </threadedComment>
  <threadedComment ref="B18" dT="2025-07-03T19:00:30.48" personId="{7114C248-8284-4552-8D11-EE3A9CA50E09}" id="{454595D9-1A25-426E-A065-91B696B01AAD}">
    <text>OK</text>
  </threadedComment>
  <threadedComment ref="A20" dT="2025-07-03T18:05:23.94" personId="{7114C248-8284-4552-8D11-EE3A9CA50E09}" id="{581E8CD1-52EA-497B-A7DB-93520C63F88D}">
    <text>VERIFICAR COM SUB O FUNCIONAMENTO DO SINAL</text>
  </threadedComment>
</ThreadedComments>
</file>

<file path=xl/threadedComments/threadedComment6.xml><?xml version="1.0" encoding="utf-8"?>
<ThreadedComments xmlns="http://schemas.microsoft.com/office/spreadsheetml/2018/threadedcomments" xmlns:x="http://schemas.openxmlformats.org/spreadsheetml/2006/main">
  <threadedComment ref="B142" dT="2025-01-24T16:19:35.35" personId="{A0F0F71A-5846-41B8-BA8F-C3EFB36524BE}" id="{31FB2B95-E0D7-443A-9454-5D3C56AD10C8}">
    <text>Verificar descriçao. Somente existem em ARV 67+50</text>
  </threadedComment>
  <threadedComment ref="B144" dT="2025-01-24T16:19:41.29" personId="{A0F0F71A-5846-41B8-BA8F-C3EFB36524BE}" id="{5F049A5C-CBAA-4C5E-BD4C-B6AF9C119846}">
    <text>Verificar descriçao. Somente existem em ARV 67+50</text>
  </threadedComment>
  <threadedComment ref="B146" dT="2025-01-24T16:19:44.63" personId="{A0F0F71A-5846-41B8-BA8F-C3EFB36524BE}" id="{7D8A081B-FCAB-4427-B931-4C4EA387D5DC}">
    <text>Verificar descriçao. Somente existem em ARV 67+50</text>
  </threadedComment>
  <threadedComment ref="B204" dT="2025-01-24T18:39:42.92" personId="{A0F0F71A-5846-41B8-BA8F-C3EFB36524BE}" id="{C9FA33FE-1C31-486B-A539-649DE8B16881}">
    <text>Só tem em MAA. Verificar se não é sobre e sub funcao</text>
  </threadedComment>
  <threadedComment ref="B205" dT="2025-01-24T18:39:46.77" personId="{A0F0F71A-5846-41B8-BA8F-C3EFB36524BE}" id="{19D01D8D-087D-4BD9-84FD-8FF7A313F978}">
    <text>Só tem em MAA. Verificar se não é sobre e sub funcao</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mailto:null@null___NORMAL@FALTA___Custom_S_TS_SA" TargetMode="External"/><Relationship Id="rId21" Type="http://schemas.openxmlformats.org/officeDocument/2006/relationships/hyperlink" Target="mailto:null@null___INCLUIDO@EXCLUIDO___Enabled_S_TS_SS" TargetMode="External"/><Relationship Id="rId42" Type="http://schemas.openxmlformats.org/officeDocument/2006/relationships/hyperlink" Target="mailto:null@null___NORMAL@ATUADO___Custom_S_TS_SV" TargetMode="External"/><Relationship Id="rId63" Type="http://schemas.openxmlformats.org/officeDocument/2006/relationships/hyperlink" Target="mailto:null@null___NORMAL@ATUADO___Custom_S_TS_SA" TargetMode="External"/><Relationship Id="rId84" Type="http://schemas.openxmlformats.org/officeDocument/2006/relationships/hyperlink" Target="mailto:null@null___NORMAL@FALHA___Custom_S_TS_SB" TargetMode="External"/><Relationship Id="rId138" Type="http://schemas.openxmlformats.org/officeDocument/2006/relationships/hyperlink" Target="mailto:null@null___NORMAL@FALTA___Custom_S_TS_SB" TargetMode="External"/><Relationship Id="rId159" Type="http://schemas.openxmlformats.org/officeDocument/2006/relationships/hyperlink" Target="mailto:null@null___NORMAL@ATUADO___RelayTrip_S_TS_SA" TargetMode="External"/><Relationship Id="rId170" Type="http://schemas.openxmlformats.org/officeDocument/2006/relationships/hyperlink" Target="mailto:null@null___NORMAL@ATUADO___Custom_S_TS_SA" TargetMode="External"/><Relationship Id="rId191" Type="http://schemas.openxmlformats.org/officeDocument/2006/relationships/hyperlink" Target="mailto:DESLIGAR@LIGAR___DESLIGADO@LIGADO___Custom_S_TC_SV" TargetMode="External"/><Relationship Id="rId205" Type="http://schemas.openxmlformats.org/officeDocument/2006/relationships/hyperlink" Target="mailto:INCLUIR@EXCLUIR___INCLUIDO@EXCLUIDO___Custom_S_TC_SS" TargetMode="External"/><Relationship Id="rId226" Type="http://schemas.openxmlformats.org/officeDocument/2006/relationships/hyperlink" Target="mailto:DESLIGAR@LIGAR___DESLIGADO@LIGADO___Custom_S_TS_SV" TargetMode="External"/><Relationship Id="rId107" Type="http://schemas.openxmlformats.org/officeDocument/2006/relationships/hyperlink" Target="mailto:null@null___NORMAL@FALHA___Custom_S_TS_SB" TargetMode="External"/><Relationship Id="rId11" Type="http://schemas.openxmlformats.org/officeDocument/2006/relationships/hyperlink" Target="mailto:null@null___NORMAL@ATUADO___Custom_S_TS_SA" TargetMode="External"/><Relationship Id="rId32" Type="http://schemas.openxmlformats.org/officeDocument/2006/relationships/hyperlink" Target="mailto:null@null___DESATIVADO@ATIVADO___Custom_S_TS_SV" TargetMode="External"/><Relationship Id="rId53" Type="http://schemas.openxmlformats.org/officeDocument/2006/relationships/hyperlink" Target="mailto:null@null___NORMAL@ATUADO___Custom_S_TS_SI" TargetMode="External"/><Relationship Id="rId74" Type="http://schemas.openxmlformats.org/officeDocument/2006/relationships/hyperlink" Target="mailto:null@null___NORMAL@FALHA___Custom_S_TS_SI" TargetMode="External"/><Relationship Id="rId128" Type="http://schemas.openxmlformats.org/officeDocument/2006/relationships/hyperlink" Target="mailto:null@null___NORMAL@FALTA___Custom_S_TS_SB" TargetMode="External"/><Relationship Id="rId149" Type="http://schemas.openxmlformats.org/officeDocument/2006/relationships/hyperlink" Target="mailto:null@null___NORMAL@FALTA___Custom_S_TS_SB" TargetMode="External"/><Relationship Id="rId5" Type="http://schemas.openxmlformats.org/officeDocument/2006/relationships/hyperlink" Target="mailto:INCLUIR@EXCLUIR___INCLUIDO@EXCLUIDO___Enabled_S_TC_SS" TargetMode="External"/><Relationship Id="rId95" Type="http://schemas.openxmlformats.org/officeDocument/2006/relationships/hyperlink" Target="mailto:null@null___NORMAL@FALHA___Custom_S_TS_SB" TargetMode="External"/><Relationship Id="rId160" Type="http://schemas.openxmlformats.org/officeDocument/2006/relationships/hyperlink" Target="mailto:null@null___EXTRAIDA@INSERIDA___Custom_S_TS_SS" TargetMode="External"/><Relationship Id="rId181" Type="http://schemas.openxmlformats.org/officeDocument/2006/relationships/hyperlink" Target="mailto:null@null___COMPLETA@INCOMPLETA___Custom_S_TS_SA" TargetMode="External"/><Relationship Id="rId216" Type="http://schemas.openxmlformats.org/officeDocument/2006/relationships/hyperlink" Target="mailto:null@null___NORMAL@FALTA___Custom_S_TS_SB" TargetMode="External"/><Relationship Id="rId237" Type="http://schemas.openxmlformats.org/officeDocument/2006/relationships/hyperlink" Target="mailto:null@null___INCLUIDO@EXCLUIDO___Custom_S_TS_SS" TargetMode="External"/><Relationship Id="rId22" Type="http://schemas.openxmlformats.org/officeDocument/2006/relationships/hyperlink" Target="mailto:null@null___INCLUIDO@EXCLUIDO___Enabled_S_TS_SS" TargetMode="External"/><Relationship Id="rId43" Type="http://schemas.openxmlformats.org/officeDocument/2006/relationships/hyperlink" Target="mailto:null@null___NORMAL@ATUADO___Custom_S_TS_SI" TargetMode="External"/><Relationship Id="rId64" Type="http://schemas.openxmlformats.org/officeDocument/2006/relationships/hyperlink" Target="mailto:MESTRE@INDIVIDUAL@COMANDO___MESTRE@INDIVIDUAL@COMANDO___Parallel___admsINV_D_TC" TargetMode="External"/><Relationship Id="rId118" Type="http://schemas.openxmlformats.org/officeDocument/2006/relationships/hyperlink" Target="mailto:null@null___NORMAL@FALTA___Custom_S_TS_SA" TargetMode="External"/><Relationship Id="rId139" Type="http://schemas.openxmlformats.org/officeDocument/2006/relationships/hyperlink" Target="mailto:null@null___NORMAL@FALTA___Custom_S_TS_SB" TargetMode="External"/><Relationship Id="rId85" Type="http://schemas.openxmlformats.org/officeDocument/2006/relationships/hyperlink" Target="mailto:null@null___NORMAL@FALHA___Custom_S_TS_SB" TargetMode="External"/><Relationship Id="rId150" Type="http://schemas.openxmlformats.org/officeDocument/2006/relationships/hyperlink" Target="mailto:null@null___NORMAL@ATUADO___RelayTrip_S_TS_SA" TargetMode="External"/><Relationship Id="rId171" Type="http://schemas.openxmlformats.org/officeDocument/2006/relationships/hyperlink" Target="mailto:null@null___NORMAL@ATUADO___Custom_S_TS_SB" TargetMode="External"/><Relationship Id="rId192" Type="http://schemas.openxmlformats.org/officeDocument/2006/relationships/hyperlink" Target="mailto:DESLIGAR@LIGAR___DESLIGADO@LIGADO___Custom_S_TS_SV" TargetMode="External"/><Relationship Id="rId206" Type="http://schemas.openxmlformats.org/officeDocument/2006/relationships/hyperlink" Target="mailto:null@null___NORMAL@ATUADO___Custom_S_TS_SI" TargetMode="External"/><Relationship Id="rId227" Type="http://schemas.openxmlformats.org/officeDocument/2006/relationships/hyperlink" Target="mailto:DESLIGAR@LIGAR___DESLIGADO@LIGADO___Custom_S_TC_SV" TargetMode="External"/><Relationship Id="rId12" Type="http://schemas.openxmlformats.org/officeDocument/2006/relationships/hyperlink" Target="mailto:null@null___NORMAL@ATUADO___Custom_S_TS_SA" TargetMode="External"/><Relationship Id="rId33" Type="http://schemas.openxmlformats.org/officeDocument/2006/relationships/hyperlink" Target="mailto:null@null___DESATIVADO@ATIVADO___Custom_S_TS_SV" TargetMode="External"/><Relationship Id="rId108" Type="http://schemas.openxmlformats.org/officeDocument/2006/relationships/hyperlink" Target="mailto:null@null___NORMAL@FALHA___Custom_S_TS_SB" TargetMode="External"/><Relationship Id="rId129" Type="http://schemas.openxmlformats.org/officeDocument/2006/relationships/hyperlink" Target="mailto:null@null___NORMAL@FALTA___Custom_S_TS_SB" TargetMode="External"/><Relationship Id="rId54" Type="http://schemas.openxmlformats.org/officeDocument/2006/relationships/hyperlink" Target="mailto:null@null___CARGA@DESCARGA___Custom_S_TS_SB" TargetMode="External"/><Relationship Id="rId75" Type="http://schemas.openxmlformats.org/officeDocument/2006/relationships/hyperlink" Target="mailto:null@null___NORMAL@FALHA___Custom_S_TS_SB" TargetMode="External"/><Relationship Id="rId96" Type="http://schemas.openxmlformats.org/officeDocument/2006/relationships/hyperlink" Target="mailto:null@null___NORMAL@FALHA___Custom_S_TS_SB" TargetMode="External"/><Relationship Id="rId140" Type="http://schemas.openxmlformats.org/officeDocument/2006/relationships/hyperlink" Target="mailto:null@null___NORMAL@FALTA___Custom_S_TS_SB" TargetMode="External"/><Relationship Id="rId161" Type="http://schemas.openxmlformats.org/officeDocument/2006/relationships/hyperlink" Target="mailto:null@null___NORMAL@ATUADO___Custom_S_TS_SA" TargetMode="External"/><Relationship Id="rId182" Type="http://schemas.openxmlformats.org/officeDocument/2006/relationships/hyperlink" Target="mailto:null@null___NORMAL@ATUADO___Custom_S_TS_SB" TargetMode="External"/><Relationship Id="rId217" Type="http://schemas.openxmlformats.org/officeDocument/2006/relationships/hyperlink" Target="mailto:null@null___NORMAL@FALHA___Custom_S_TS_SI" TargetMode="External"/><Relationship Id="rId6" Type="http://schemas.openxmlformats.org/officeDocument/2006/relationships/hyperlink" Target="mailto:null@null___REMOTO@LOCAL___Custom_S_TS_SS" TargetMode="External"/><Relationship Id="rId238" Type="http://schemas.openxmlformats.org/officeDocument/2006/relationships/vmlDrawing" Target="../drawings/vmlDrawing1.vml"/><Relationship Id="rId23" Type="http://schemas.openxmlformats.org/officeDocument/2006/relationships/hyperlink" Target="mailto:null@null___INCLUIDO@EXCLUIDO___Custom_S_TS_SS" TargetMode="External"/><Relationship Id="rId119" Type="http://schemas.openxmlformats.org/officeDocument/2006/relationships/hyperlink" Target="mailto:null@null___NORMAL@FALTA___Custom_S_TS_SA" TargetMode="External"/><Relationship Id="rId44" Type="http://schemas.openxmlformats.org/officeDocument/2006/relationships/hyperlink" Target="mailto:null@null___NORMAL@DISPARADA___Custom_S_TS_SV" TargetMode="External"/><Relationship Id="rId65" Type="http://schemas.openxmlformats.org/officeDocument/2006/relationships/hyperlink" Target="mailto:null@null___REMOTO@LOCAL___Custom_S_TS_SS" TargetMode="External"/><Relationship Id="rId86" Type="http://schemas.openxmlformats.org/officeDocument/2006/relationships/hyperlink" Target="mailto:null@null___NORMAL@FALHA___Custom_S_TS_SB" TargetMode="External"/><Relationship Id="rId130" Type="http://schemas.openxmlformats.org/officeDocument/2006/relationships/hyperlink" Target="mailto:null@null___NORMAL@FALTA___Custom_S_TS_SB" TargetMode="External"/><Relationship Id="rId151" Type="http://schemas.openxmlformats.org/officeDocument/2006/relationships/hyperlink" Target="mailto:null@null___NORMAL@ATUADO___RelayTrip_S_TS_SA" TargetMode="External"/><Relationship Id="rId172" Type="http://schemas.openxmlformats.org/officeDocument/2006/relationships/hyperlink" Target="mailto:null@null___NORMAL@ATUADO___Custom_S_TS_SB" TargetMode="External"/><Relationship Id="rId193" Type="http://schemas.openxmlformats.org/officeDocument/2006/relationships/hyperlink" Target="mailto:DESLIGAR@LIGAR___DESLIGADO@LIGADO___Custom_S_TC_SV" TargetMode="External"/><Relationship Id="rId207" Type="http://schemas.openxmlformats.org/officeDocument/2006/relationships/hyperlink" Target="mailto:null@null___NORMAL@ATUADO___Custom_S_TS_SI" TargetMode="External"/><Relationship Id="rId228" Type="http://schemas.openxmlformats.org/officeDocument/2006/relationships/hyperlink" Target="mailto:null@null___NORMAL@FALHA___Custom_S_TS_SI" TargetMode="External"/><Relationship Id="rId13" Type="http://schemas.openxmlformats.org/officeDocument/2006/relationships/hyperlink" Target="mailto:null@null___NORMAL@ATUADO___Custom_S_TS_SA" TargetMode="External"/><Relationship Id="rId109" Type="http://schemas.openxmlformats.org/officeDocument/2006/relationships/hyperlink" Target="mailto:null@null___NORMAL@FALHA___Custom_S_TS_SA" TargetMode="External"/><Relationship Id="rId34" Type="http://schemas.openxmlformats.org/officeDocument/2006/relationships/hyperlink" Target="mailto:null@null___DESATIVADO@ATIVADO___Custom_S_TS_SV" TargetMode="External"/><Relationship Id="rId55" Type="http://schemas.openxmlformats.org/officeDocument/2006/relationships/hyperlink" Target="mailto:null@null___NORMAL@ATUADO___Custom_S_TS_SA" TargetMode="External"/><Relationship Id="rId76" Type="http://schemas.openxmlformats.org/officeDocument/2006/relationships/hyperlink" Target="mailto:null@null___NORMAL@FALHA___Custom_S_TS_SB" TargetMode="External"/><Relationship Id="rId97" Type="http://schemas.openxmlformats.org/officeDocument/2006/relationships/hyperlink" Target="mailto:null@null___NORMAL@FALHA___Custom_S_TS_SB" TargetMode="External"/><Relationship Id="rId120" Type="http://schemas.openxmlformats.org/officeDocument/2006/relationships/hyperlink" Target="mailto:null@null___NORMAL@FALTA___Custom_S_TS_SA" TargetMode="External"/><Relationship Id="rId141" Type="http://schemas.openxmlformats.org/officeDocument/2006/relationships/hyperlink" Target="mailto:null@null___NORMAL@FALTA___Custom_S_TS_SB" TargetMode="External"/><Relationship Id="rId7" Type="http://schemas.openxmlformats.org/officeDocument/2006/relationships/hyperlink" Target="mailto:null@null___NORMAL@ATUADO___Custom_S_TS_SB" TargetMode="External"/><Relationship Id="rId162" Type="http://schemas.openxmlformats.org/officeDocument/2006/relationships/hyperlink" Target="mailto:null@null___NORMAL@ATUADO___Custom_S_TS_SI" TargetMode="External"/><Relationship Id="rId183" Type="http://schemas.openxmlformats.org/officeDocument/2006/relationships/hyperlink" Target="mailto:null@null___NORMAL@ATUADO___Custom_S_TS_SB" TargetMode="External"/><Relationship Id="rId218" Type="http://schemas.openxmlformats.org/officeDocument/2006/relationships/hyperlink" Target="mailto:null@null___NORMAL@FALHA___Custom_S_TS_SI" TargetMode="External"/><Relationship Id="rId239" Type="http://schemas.openxmlformats.org/officeDocument/2006/relationships/comments" Target="../comments1.xml"/><Relationship Id="rId24" Type="http://schemas.openxmlformats.org/officeDocument/2006/relationships/hyperlink" Target="mailto:null@null___INCLUIDO@EXCLUIDO___Enabled_S_TS_SS" TargetMode="External"/><Relationship Id="rId45" Type="http://schemas.openxmlformats.org/officeDocument/2006/relationships/hyperlink" Target="mailto:null@null___INCLUIDO@EXCLUIDO___Custom_S_TS_SS" TargetMode="External"/><Relationship Id="rId66" Type="http://schemas.openxmlformats.org/officeDocument/2006/relationships/hyperlink" Target="mailto:CMD_COS@null___REMOTO@LOCAL___Custom_S_TC_SS" TargetMode="External"/><Relationship Id="rId87" Type="http://schemas.openxmlformats.org/officeDocument/2006/relationships/hyperlink" Target="mailto:null@null___NORMAL@FALHA___Custom_S_TS_SB" TargetMode="External"/><Relationship Id="rId110" Type="http://schemas.openxmlformats.org/officeDocument/2006/relationships/hyperlink" Target="mailto:null@null___NORMAL@FALHA___Custom_S_TS_SB" TargetMode="External"/><Relationship Id="rId131" Type="http://schemas.openxmlformats.org/officeDocument/2006/relationships/hyperlink" Target="mailto:null@null___NORMAL@FALTA___Custom_S_TS_SB" TargetMode="External"/><Relationship Id="rId152" Type="http://schemas.openxmlformats.org/officeDocument/2006/relationships/hyperlink" Target="mailto:null@null___NORMAL@ATUADO___RelayTrip_S_TS_SA" TargetMode="External"/><Relationship Id="rId173" Type="http://schemas.openxmlformats.org/officeDocument/2006/relationships/hyperlink" Target="mailto:null@null___NORMAL@ATUADO___Custom_S_TS_SV" TargetMode="External"/><Relationship Id="rId194" Type="http://schemas.openxmlformats.org/officeDocument/2006/relationships/hyperlink" Target="mailto:DESLIGAR@LIGAR___DESLIGADO@LIGADO___Custom_S_TS_SV" TargetMode="External"/><Relationship Id="rId208" Type="http://schemas.openxmlformats.org/officeDocument/2006/relationships/hyperlink" Target="mailto:null@null___NORMAL@ATUADO___RecloserLockout_S_TS_SA" TargetMode="External"/><Relationship Id="rId229" Type="http://schemas.openxmlformats.org/officeDocument/2006/relationships/hyperlink" Target="mailto:null@null___NORMAL@FALHA___Custom_S_TS_SI" TargetMode="External"/><Relationship Id="rId240" Type="http://schemas.microsoft.com/office/2017/10/relationships/threadedComment" Target="../threadedComments/threadedComment1.xml"/><Relationship Id="rId14" Type="http://schemas.openxmlformats.org/officeDocument/2006/relationships/hyperlink" Target="mailto:null@null___NORMAL@ATUADO___Custom_S_TS_SA" TargetMode="External"/><Relationship Id="rId35" Type="http://schemas.openxmlformats.org/officeDocument/2006/relationships/hyperlink" Target="mailto:null@null___DESATIVADO@ATIVADO___Custom_S_TS_SV" TargetMode="External"/><Relationship Id="rId56" Type="http://schemas.openxmlformats.org/officeDocument/2006/relationships/hyperlink" Target="mailto:null@null___NORMAL@ATUADO___Custom_S_TS_SA" TargetMode="External"/><Relationship Id="rId77" Type="http://schemas.openxmlformats.org/officeDocument/2006/relationships/hyperlink" Target="mailto:null@null___NORMAL@FALHA___Custom_S_TS_SB" TargetMode="External"/><Relationship Id="rId100" Type="http://schemas.openxmlformats.org/officeDocument/2006/relationships/hyperlink" Target="mailto:null@null___NORMAL@FALHA___Custom_S_TS_SI" TargetMode="External"/><Relationship Id="rId8" Type="http://schemas.openxmlformats.org/officeDocument/2006/relationships/hyperlink" Target="mailto:null@null___NORMAL@ATUADO___Custom_S_TS_SA" TargetMode="External"/><Relationship Id="rId98" Type="http://schemas.openxmlformats.org/officeDocument/2006/relationships/hyperlink" Target="mailto:null@null___NORMAL@FALHA___Custom_S_TS_SI" TargetMode="External"/><Relationship Id="rId121" Type="http://schemas.openxmlformats.org/officeDocument/2006/relationships/hyperlink" Target="mailto:null@null___NORMAL@FALTA___Custom_S_TS_SA" TargetMode="External"/><Relationship Id="rId142" Type="http://schemas.openxmlformats.org/officeDocument/2006/relationships/hyperlink" Target="mailto:null@null___NORMAL@FALTA___Custom_S_TS_SB" TargetMode="External"/><Relationship Id="rId163" Type="http://schemas.openxmlformats.org/officeDocument/2006/relationships/hyperlink" Target="mailto:INCLUIR@EXCLUIR___INCLUIDO@EXCLUIDO___Enabled_S_TC_SS" TargetMode="External"/><Relationship Id="rId184" Type="http://schemas.openxmlformats.org/officeDocument/2006/relationships/hyperlink" Target="mailto:null@null___NORMAL@ATUADO___Custom_S_TS_SB" TargetMode="External"/><Relationship Id="rId219" Type="http://schemas.openxmlformats.org/officeDocument/2006/relationships/hyperlink" Target="mailto:null@null___NORMAL@FALHA___Custom_S_TS_SI" TargetMode="External"/><Relationship Id="rId230" Type="http://schemas.openxmlformats.org/officeDocument/2006/relationships/hyperlink" Target="mailto:DESLIGAR@LIGAR___DESLIGADO@LIGADO___Custom_S_TS_SV" TargetMode="External"/><Relationship Id="rId25" Type="http://schemas.openxmlformats.org/officeDocument/2006/relationships/hyperlink" Target="mailto:null@null___INCLUIDO@EXCLUIDO___Enabled_S_TS_SS" TargetMode="External"/><Relationship Id="rId46" Type="http://schemas.openxmlformats.org/officeDocument/2006/relationships/hyperlink" Target="mailto:null@null___NORMAL@ATUADO___Custom_S_TS_SS" TargetMode="External"/><Relationship Id="rId67" Type="http://schemas.openxmlformats.org/officeDocument/2006/relationships/hyperlink" Target="mailto:null@null___NORMAL@ATUADO___Custom_S_TS_SA" TargetMode="External"/><Relationship Id="rId88" Type="http://schemas.openxmlformats.org/officeDocument/2006/relationships/hyperlink" Target="mailto:null@null___NORMAL@FALHA___Custom_S_TS_SB" TargetMode="External"/><Relationship Id="rId111" Type="http://schemas.openxmlformats.org/officeDocument/2006/relationships/hyperlink" Target="mailto:null@null___NORMAL@FALHA___Custom_S_TS_SI" TargetMode="External"/><Relationship Id="rId132" Type="http://schemas.openxmlformats.org/officeDocument/2006/relationships/hyperlink" Target="mailto:null@null___NORMAL@FALTA___Custom_S_TS_SB" TargetMode="External"/><Relationship Id="rId153" Type="http://schemas.openxmlformats.org/officeDocument/2006/relationships/hyperlink" Target="mailto:INCLUIR@EXCLUIR___INCLUIDO@EXCLUIDO___Enabled_S_TS_SS" TargetMode="External"/><Relationship Id="rId174" Type="http://schemas.openxmlformats.org/officeDocument/2006/relationships/hyperlink" Target="mailto:null@null___NORMAL@ATUADO___Custom_S_TS_SV" TargetMode="External"/><Relationship Id="rId195" Type="http://schemas.openxmlformats.org/officeDocument/2006/relationships/hyperlink" Target="mailto:DESLIGAR@LIGAR___DESLIGADO@LIGADO___Custom_S_TC_SV" TargetMode="External"/><Relationship Id="rId209" Type="http://schemas.openxmlformats.org/officeDocument/2006/relationships/hyperlink" Target="mailto:null@null___NORMAL@DEFEITO___Custom_S_TS_SP" TargetMode="External"/><Relationship Id="rId190" Type="http://schemas.openxmlformats.org/officeDocument/2006/relationships/hyperlink" Target="mailto:DESLIGAR@LIGAR___DESLIGADO@LIGADO___Custom_S_TS_SV" TargetMode="External"/><Relationship Id="rId204" Type="http://schemas.openxmlformats.org/officeDocument/2006/relationships/hyperlink" Target="mailto:null@null___NORMAL@ATUADO___Custom_S_TS_SA" TargetMode="External"/><Relationship Id="rId220" Type="http://schemas.openxmlformats.org/officeDocument/2006/relationships/hyperlink" Target="mailto:null@null___NORMAL@FALHA___Custom_S_TS_SI" TargetMode="External"/><Relationship Id="rId225" Type="http://schemas.openxmlformats.org/officeDocument/2006/relationships/hyperlink" Target="mailto:DESLIGAR@LIGAR___DESLIGADO@LIGADO___Custom_S_TC_SV" TargetMode="External"/><Relationship Id="rId15" Type="http://schemas.openxmlformats.org/officeDocument/2006/relationships/hyperlink" Target="mailto:null@null___NORMAL@ATUADO___Custom_S_TS_SA" TargetMode="External"/><Relationship Id="rId36" Type="http://schemas.openxmlformats.org/officeDocument/2006/relationships/hyperlink" Target="mailto:null@null___DESATIVADO@ATIVADO___Custom_S_TS_SV" TargetMode="External"/><Relationship Id="rId57" Type="http://schemas.openxmlformats.org/officeDocument/2006/relationships/hyperlink" Target="mailto:null@null___NORMAL@ATUADO___Custom_S_TS_SA" TargetMode="External"/><Relationship Id="rId106" Type="http://schemas.openxmlformats.org/officeDocument/2006/relationships/hyperlink" Target="mailto:null@null___NORMAL@FALHA___Custom_S_TS_SI" TargetMode="External"/><Relationship Id="rId127" Type="http://schemas.openxmlformats.org/officeDocument/2006/relationships/hyperlink" Target="mailto:null@null___NORMAL@FALTA___Custom_S_TS_SB" TargetMode="External"/><Relationship Id="rId10" Type="http://schemas.openxmlformats.org/officeDocument/2006/relationships/hyperlink" Target="mailto:null@null___REMOTO@LOCAL__Local_S_TS_SS" TargetMode="External"/><Relationship Id="rId31" Type="http://schemas.openxmlformats.org/officeDocument/2006/relationships/hyperlink" Target="mailto:null@null___DESATIVADO@ATIVADO___Custom_S_TS_SV" TargetMode="External"/><Relationship Id="rId52" Type="http://schemas.openxmlformats.org/officeDocument/2006/relationships/hyperlink" Target="mailto:null@null___NORMAL@ATUADO___Custom_S_TS_SI" TargetMode="External"/><Relationship Id="rId73" Type="http://schemas.openxmlformats.org/officeDocument/2006/relationships/hyperlink" Target="mailto:null@null___NORMAL@FALHA___Custom_S_TS_SI" TargetMode="External"/><Relationship Id="rId78" Type="http://schemas.openxmlformats.org/officeDocument/2006/relationships/hyperlink" Target="mailto:null@null___NORMAL@FALHA___Custom_S_TS_SB" TargetMode="External"/><Relationship Id="rId94" Type="http://schemas.openxmlformats.org/officeDocument/2006/relationships/hyperlink" Target="mailto:null@null___NORMAL@FALHA___Custom_S_TS_SB" TargetMode="External"/><Relationship Id="rId99" Type="http://schemas.openxmlformats.org/officeDocument/2006/relationships/hyperlink" Target="mailto:null@null___NORMAL@FALHA___Custom_S_TS_SI" TargetMode="External"/><Relationship Id="rId101" Type="http://schemas.openxmlformats.org/officeDocument/2006/relationships/hyperlink" Target="mailto:null@null___NORMAL@FALHA___Custom_S_TS_SI" TargetMode="External"/><Relationship Id="rId122" Type="http://schemas.openxmlformats.org/officeDocument/2006/relationships/hyperlink" Target="mailto:null@null___NORMAL@FALTA___Custom_S_TS_SA" TargetMode="External"/><Relationship Id="rId143" Type="http://schemas.openxmlformats.org/officeDocument/2006/relationships/hyperlink" Target="mailto:null@null___NORMAL@FALTA___Custom_S_TS_SB" TargetMode="External"/><Relationship Id="rId148" Type="http://schemas.openxmlformats.org/officeDocument/2006/relationships/hyperlink" Target="mailto:null@null___NORMAL@FALTA___Custom_S_TS_SB" TargetMode="External"/><Relationship Id="rId164" Type="http://schemas.openxmlformats.org/officeDocument/2006/relationships/hyperlink" Target="mailto:null@null___INCLUIDO@EXCLUIDO___Local_S_TS_SS" TargetMode="External"/><Relationship Id="rId169" Type="http://schemas.openxmlformats.org/officeDocument/2006/relationships/hyperlink" Target="mailto:null@null___NORMAL@ATUADO___Custom_S_TS_SA" TargetMode="External"/><Relationship Id="rId185" Type="http://schemas.openxmlformats.org/officeDocument/2006/relationships/hyperlink" Target="mailto:null@null___NORMAL@ATUADO___Custom_S_TS_SB" TargetMode="External"/><Relationship Id="rId4" Type="http://schemas.openxmlformats.org/officeDocument/2006/relationships/hyperlink" Target="mailto:null@null___NORMAL@FALTA___Custom_S_TS_SB" TargetMode="External"/><Relationship Id="rId9" Type="http://schemas.openxmlformats.org/officeDocument/2006/relationships/hyperlink" Target="mailto:null@null___NORMAL@ATUADO___Custom_S_TS_SA" TargetMode="External"/><Relationship Id="rId180" Type="http://schemas.openxmlformats.org/officeDocument/2006/relationships/hyperlink" Target="mailto:null@null___NORMAL@ATUADO___Custom_S_TS_SB" TargetMode="External"/><Relationship Id="rId210" Type="http://schemas.openxmlformats.org/officeDocument/2006/relationships/hyperlink" Target="mailto:null@EXCLUIR___null@null___ReclosingEnabled___admsINV_D_TC_SS" TargetMode="External"/><Relationship Id="rId215" Type="http://schemas.openxmlformats.org/officeDocument/2006/relationships/hyperlink" Target="mailto:null@null___NORMAL@ATUADO___Custom_S_TS_SA" TargetMode="External"/><Relationship Id="rId236" Type="http://schemas.openxmlformats.org/officeDocument/2006/relationships/hyperlink" Target="mailto:null@null___INCLUIDO@EXCLUIDO___Custom_S_TS_SS" TargetMode="External"/><Relationship Id="rId26" Type="http://schemas.openxmlformats.org/officeDocument/2006/relationships/hyperlink" Target="mailto:null@null___INCLUIDO@EXCLUIDO___Enabled_S_TS_SS" TargetMode="External"/><Relationship Id="rId231" Type="http://schemas.openxmlformats.org/officeDocument/2006/relationships/hyperlink" Target="mailto:null@null___NORMAL@FALHA___Custom_S_TS_SI" TargetMode="External"/><Relationship Id="rId47" Type="http://schemas.openxmlformats.org/officeDocument/2006/relationships/hyperlink" Target="mailto:INCLUIR@EXCLUIR___INCLUIDO@EXCLUIDO___Custom_S_TC_SS" TargetMode="External"/><Relationship Id="rId68" Type="http://schemas.openxmlformats.org/officeDocument/2006/relationships/hyperlink" Target="mailto:DESLIGAR@LIGAR___DESLIGADO@LIGADO___SwitchStatus_D_TS_SE" TargetMode="External"/><Relationship Id="rId89" Type="http://schemas.openxmlformats.org/officeDocument/2006/relationships/hyperlink" Target="mailto:null@null___NORMAL@FALHA___Custom_S_TS_SB" TargetMode="External"/><Relationship Id="rId112" Type="http://schemas.openxmlformats.org/officeDocument/2006/relationships/hyperlink" Target="mailto:null@null___NORMAL@FALHA___Custom_S_TS_SB" TargetMode="External"/><Relationship Id="rId133" Type="http://schemas.openxmlformats.org/officeDocument/2006/relationships/hyperlink" Target="mailto:null@null___NORMAL@FALTA___Custom_S_TS_SB" TargetMode="External"/><Relationship Id="rId154" Type="http://schemas.openxmlformats.org/officeDocument/2006/relationships/hyperlink" Target="mailto:INCLUIR@EXCLUIR___INCLUIDO@EXCLUIDO___Enabled_S_TS_SS" TargetMode="External"/><Relationship Id="rId175" Type="http://schemas.openxmlformats.org/officeDocument/2006/relationships/hyperlink" Target="mailto:null@null___NORMAL@ATUADO___Custom_S_TS_SV" TargetMode="External"/><Relationship Id="rId196" Type="http://schemas.openxmlformats.org/officeDocument/2006/relationships/hyperlink" Target="mailto:AUTOMATICO@MANUAL___AUTOMATICO@MANUAL___Custom___admsINV_S_TS_SV" TargetMode="External"/><Relationship Id="rId200" Type="http://schemas.openxmlformats.org/officeDocument/2006/relationships/hyperlink" Target="mailto:null@null___NORMAL@ATUADO___Custom_S_TS_SA" TargetMode="External"/><Relationship Id="rId16" Type="http://schemas.openxmlformats.org/officeDocument/2006/relationships/hyperlink" Target="mailto:null@null___NORMAL@ATUADO___Custom_S_TS_SA" TargetMode="External"/><Relationship Id="rId221" Type="http://schemas.openxmlformats.org/officeDocument/2006/relationships/hyperlink" Target="mailto:null@null___NORMAL@FALHA___Custom_S_TS_SI" TargetMode="External"/><Relationship Id="rId37" Type="http://schemas.openxmlformats.org/officeDocument/2006/relationships/hyperlink" Target="mailto:null@null___DESATIVADO@ATIVADO___Custom_S_TS_SV" TargetMode="External"/><Relationship Id="rId58" Type="http://schemas.openxmlformats.org/officeDocument/2006/relationships/hyperlink" Target="mailto:null@null___NORMAL@ATUADO___Custom_S_TS_SA" TargetMode="External"/><Relationship Id="rId79" Type="http://schemas.openxmlformats.org/officeDocument/2006/relationships/hyperlink" Target="mailto:null@null___NORMAL@FALHA___Custom_S_TS_SB" TargetMode="External"/><Relationship Id="rId102" Type="http://schemas.openxmlformats.org/officeDocument/2006/relationships/hyperlink" Target="mailto:null@null___NORMAL@FALHA___Custom_S_TS_SI" TargetMode="External"/><Relationship Id="rId123" Type="http://schemas.openxmlformats.org/officeDocument/2006/relationships/hyperlink" Target="mailto:null@null___NORMAL@FALTA___Custom_S_TS_SA" TargetMode="External"/><Relationship Id="rId144" Type="http://schemas.openxmlformats.org/officeDocument/2006/relationships/hyperlink" Target="mailto:null@null___NORMAL@FALTA___Custom_S_TS_SB" TargetMode="External"/><Relationship Id="rId90" Type="http://schemas.openxmlformats.org/officeDocument/2006/relationships/hyperlink" Target="mailto:null@null___NORMAL@FALHA___Custom_S_TS_SB" TargetMode="External"/><Relationship Id="rId165" Type="http://schemas.openxmlformats.org/officeDocument/2006/relationships/hyperlink" Target="mailto:null@null___NORMAL@ATUADO___RelayTrip_S_TS_SA" TargetMode="External"/><Relationship Id="rId186" Type="http://schemas.openxmlformats.org/officeDocument/2006/relationships/hyperlink" Target="mailto:null@null___NORMAL@ATUADO___Custom_S_TS_SB" TargetMode="External"/><Relationship Id="rId211" Type="http://schemas.openxmlformats.org/officeDocument/2006/relationships/hyperlink" Target="mailto:null@null___NORMAL@ATUADO___RelayTrip_S_TS_SA" TargetMode="External"/><Relationship Id="rId232" Type="http://schemas.openxmlformats.org/officeDocument/2006/relationships/hyperlink" Target="mailto:null@null___NORMAL@FALHA___Custom_S_TS_SI" TargetMode="External"/><Relationship Id="rId27" Type="http://schemas.openxmlformats.org/officeDocument/2006/relationships/hyperlink" Target="mailto:null@null___INCLUIDO@EXCLUIDO___Enabled_S_TS_SS" TargetMode="External"/><Relationship Id="rId48" Type="http://schemas.openxmlformats.org/officeDocument/2006/relationships/hyperlink" Target="mailto:null@null___NORMAL@ATUADO___Custom_S_TS_SS" TargetMode="External"/><Relationship Id="rId69" Type="http://schemas.openxmlformats.org/officeDocument/2006/relationships/hyperlink" Target="mailto:DESLIGAR@LIGAR___DESLIGADO@LIGADO___SwitchStatus_D_TS_SE" TargetMode="External"/><Relationship Id="rId113" Type="http://schemas.openxmlformats.org/officeDocument/2006/relationships/hyperlink" Target="mailto:null@null___NORMAL@FALHA___Custom_S_TS_SB" TargetMode="External"/><Relationship Id="rId134" Type="http://schemas.openxmlformats.org/officeDocument/2006/relationships/hyperlink" Target="mailto:null@null___NORMAL@FALTA___Custom_S_TS_SB" TargetMode="External"/><Relationship Id="rId80" Type="http://schemas.openxmlformats.org/officeDocument/2006/relationships/hyperlink" Target="mailto:null@null___NORMAL@FALHA___Custom_S_TS_SB" TargetMode="External"/><Relationship Id="rId155" Type="http://schemas.openxmlformats.org/officeDocument/2006/relationships/hyperlink" Target="mailto:INCLUIR@EXCLUIR___INCLUIDO@EXCLUIDO___Enabled_S_TS_SS" TargetMode="External"/><Relationship Id="rId176" Type="http://schemas.openxmlformats.org/officeDocument/2006/relationships/hyperlink" Target="mailto:null@null___NORMAL@ATUADO___Custom_S_TS_SB" TargetMode="External"/><Relationship Id="rId197" Type="http://schemas.openxmlformats.org/officeDocument/2006/relationships/hyperlink" Target="mailto:null@null___DESABILITADO@HABILITADO___Custom_S_TS_SV" TargetMode="External"/><Relationship Id="rId201" Type="http://schemas.openxmlformats.org/officeDocument/2006/relationships/hyperlink" Target="mailto:null@null___NORMAL@ATUADO___Custom_S_TS_SI" TargetMode="External"/><Relationship Id="rId222" Type="http://schemas.openxmlformats.org/officeDocument/2006/relationships/hyperlink" Target="mailto:null@null___NORMAL@FALHA___Custom_S_TS_SI" TargetMode="External"/><Relationship Id="rId17" Type="http://schemas.openxmlformats.org/officeDocument/2006/relationships/hyperlink" Target="mailto:null@null___NORMAL@ATUADO___Custom_S_TS_SA" TargetMode="External"/><Relationship Id="rId38" Type="http://schemas.openxmlformats.org/officeDocument/2006/relationships/hyperlink" Target="mailto:null@null___NORMAL@ATUADO___Custom_S_TS_SI" TargetMode="External"/><Relationship Id="rId59" Type="http://schemas.openxmlformats.org/officeDocument/2006/relationships/hyperlink" Target="mailto:null@null___NORMAL@ATUADO___Custom_S_TS_SA" TargetMode="External"/><Relationship Id="rId103" Type="http://schemas.openxmlformats.org/officeDocument/2006/relationships/hyperlink" Target="mailto:null@null___NORMAL@FALHA___Custom_S_TS_SI" TargetMode="External"/><Relationship Id="rId124" Type="http://schemas.openxmlformats.org/officeDocument/2006/relationships/hyperlink" Target="mailto:null@null___NORMAL@FALTA___Custom_S_TS_SB" TargetMode="External"/><Relationship Id="rId70" Type="http://schemas.openxmlformats.org/officeDocument/2006/relationships/hyperlink" Target="mailto:DESLIGAR@LIGAR___DESLIGADO@LIGADO___Custom_S_TS_SB" TargetMode="External"/><Relationship Id="rId91" Type="http://schemas.openxmlformats.org/officeDocument/2006/relationships/hyperlink" Target="mailto:null@null___NORMAL@FALHA___Custom_S_TS_SB" TargetMode="External"/><Relationship Id="rId145" Type="http://schemas.openxmlformats.org/officeDocument/2006/relationships/hyperlink" Target="mailto:null@null___NORMAL@FALTA___Custom_S_TS_SB" TargetMode="External"/><Relationship Id="rId166" Type="http://schemas.openxmlformats.org/officeDocument/2006/relationships/hyperlink" Target="mailto:null@null___NORMAL@ATUADO___Custom_S_TS_SS" TargetMode="External"/><Relationship Id="rId187" Type="http://schemas.openxmlformats.org/officeDocument/2006/relationships/hyperlink" Target="mailto:null@null___NORMAL@ATUADO___Custom_S_TS_SB" TargetMode="External"/><Relationship Id="rId1" Type="http://schemas.openxmlformats.org/officeDocument/2006/relationships/hyperlink" Target="mailto:null@null___INCLUIDO@EXCLUIDO___Enabled_S_TS_SS" TargetMode="External"/><Relationship Id="rId212" Type="http://schemas.openxmlformats.org/officeDocument/2006/relationships/hyperlink" Target="mailto:null@null___NORMAL@ATUADO___RelayTrip_S_TS_SA" TargetMode="External"/><Relationship Id="rId233" Type="http://schemas.openxmlformats.org/officeDocument/2006/relationships/hyperlink" Target="mailto:null@null___NORMAL@FALHA___Custom_S_TS_SB" TargetMode="External"/><Relationship Id="rId28" Type="http://schemas.openxmlformats.org/officeDocument/2006/relationships/hyperlink" Target="mailto:null@null___INCLUIDO@EXCLUIDO___Enabled_S_TS_SS" TargetMode="External"/><Relationship Id="rId49" Type="http://schemas.openxmlformats.org/officeDocument/2006/relationships/hyperlink" Target="mailto:null@null___INCLUIDO@EXCLUIDO___Enabled_S_TS_SS" TargetMode="External"/><Relationship Id="rId114" Type="http://schemas.openxmlformats.org/officeDocument/2006/relationships/hyperlink" Target="mailto:null@null___NORMAL@FALHA___Custom_S_TS_SI" TargetMode="External"/><Relationship Id="rId60" Type="http://schemas.openxmlformats.org/officeDocument/2006/relationships/hyperlink" Target="mailto:null@null___NORMAL@ATUADO___Custom_S_TS_SA" TargetMode="External"/><Relationship Id="rId81" Type="http://schemas.openxmlformats.org/officeDocument/2006/relationships/hyperlink" Target="mailto:null@null___NORMAL@FALHA___Custom_S_TS_SB" TargetMode="External"/><Relationship Id="rId135" Type="http://schemas.openxmlformats.org/officeDocument/2006/relationships/hyperlink" Target="mailto:null@null___NORMAL@FALTA___Custom_S_TS_SB" TargetMode="External"/><Relationship Id="rId156" Type="http://schemas.openxmlformats.org/officeDocument/2006/relationships/hyperlink" Target="mailto:TROCA@null___null@null___Custom_S_TC_SV" TargetMode="External"/><Relationship Id="rId177" Type="http://schemas.openxmlformats.org/officeDocument/2006/relationships/hyperlink" Target="mailto:null@null___NORMAL@ATUADO___Custom_S_TS_SB" TargetMode="External"/><Relationship Id="rId198" Type="http://schemas.openxmlformats.org/officeDocument/2006/relationships/hyperlink" Target="mailto:null@null___NORMAL@ATUADO___Custom_S_TS_SA" TargetMode="External"/><Relationship Id="rId202" Type="http://schemas.openxmlformats.org/officeDocument/2006/relationships/hyperlink" Target="mailto:null@null___NORMAL@ATUADO___RelayTrip_S_TS_SA" TargetMode="External"/><Relationship Id="rId223" Type="http://schemas.openxmlformats.org/officeDocument/2006/relationships/hyperlink" Target="mailto:null@null___NORMAL@FALHA___Custom_S_TS_SI" TargetMode="External"/><Relationship Id="rId18" Type="http://schemas.openxmlformats.org/officeDocument/2006/relationships/hyperlink" Target="mailto:null@null___NORMAL@ATUADO___Custom_S_TS_SA" TargetMode="External"/><Relationship Id="rId39" Type="http://schemas.openxmlformats.org/officeDocument/2006/relationships/hyperlink" Target="mailto:null@null___NORMAL@ATUADO___Custom_S_TS_SI" TargetMode="External"/><Relationship Id="rId50" Type="http://schemas.openxmlformats.org/officeDocument/2006/relationships/hyperlink" Target="mailto:null@null___NORMAL@ATUADO___Custom_S_TS_SI" TargetMode="External"/><Relationship Id="rId104" Type="http://schemas.openxmlformats.org/officeDocument/2006/relationships/hyperlink" Target="mailto:null@null___NORMAL@FALHA___Custom_S_TS_SI" TargetMode="External"/><Relationship Id="rId125" Type="http://schemas.openxmlformats.org/officeDocument/2006/relationships/hyperlink" Target="mailto:null@null___NORMAL@FALTA___Custom_S_TS_SB" TargetMode="External"/><Relationship Id="rId146" Type="http://schemas.openxmlformats.org/officeDocument/2006/relationships/hyperlink" Target="mailto:null@null___NORMAL@FALTA___Custom_S_TS_SB" TargetMode="External"/><Relationship Id="rId167" Type="http://schemas.openxmlformats.org/officeDocument/2006/relationships/hyperlink" Target="mailto:null@null___NORMAL@ATUADO___Custom_S_TS_SA" TargetMode="External"/><Relationship Id="rId188" Type="http://schemas.openxmlformats.org/officeDocument/2006/relationships/hyperlink" Target="mailto:null@null___NORMAL@ATUADO___Custom_S_TS_SB" TargetMode="External"/><Relationship Id="rId71" Type="http://schemas.openxmlformats.org/officeDocument/2006/relationships/hyperlink" Target="mailto:null@null___NORMAL@FALHA___Custom_S_TS_SI" TargetMode="External"/><Relationship Id="rId92" Type="http://schemas.openxmlformats.org/officeDocument/2006/relationships/hyperlink" Target="mailto:null@null___NORMAL@FALHA___Custom_S_TS_SB" TargetMode="External"/><Relationship Id="rId213" Type="http://schemas.openxmlformats.org/officeDocument/2006/relationships/hyperlink" Target="mailto:null@null___NORMAL@ATUADO___RelayTrip_S_TS_SA" TargetMode="External"/><Relationship Id="rId234" Type="http://schemas.openxmlformats.org/officeDocument/2006/relationships/hyperlink" Target="mailto:INCLUIR@EXCLUIR___INCLUIDO@EXCLUIDO___Custom_S_TC_SS" TargetMode="External"/><Relationship Id="rId2" Type="http://schemas.openxmlformats.org/officeDocument/2006/relationships/hyperlink" Target="mailto:null@null___NORMAL@FALHA___Custom_S_TS_SB" TargetMode="External"/><Relationship Id="rId29" Type="http://schemas.openxmlformats.org/officeDocument/2006/relationships/hyperlink" Target="mailto:null@null___INCLUIDO@EXCLUIDO___Enabled_S_TS_SS" TargetMode="External"/><Relationship Id="rId40" Type="http://schemas.openxmlformats.org/officeDocument/2006/relationships/hyperlink" Target="mailto:null@null___DESATIVADO@ATIVADO___Custom_S_TS_SV" TargetMode="External"/><Relationship Id="rId115" Type="http://schemas.openxmlformats.org/officeDocument/2006/relationships/hyperlink" Target="mailto:null@null___NORMAL@FALHA___Custom_S_TS_SI" TargetMode="External"/><Relationship Id="rId136" Type="http://schemas.openxmlformats.org/officeDocument/2006/relationships/hyperlink" Target="mailto:null@null___NORMAL@FALTA___Custom_S_TS_SB" TargetMode="External"/><Relationship Id="rId157" Type="http://schemas.openxmlformats.org/officeDocument/2006/relationships/hyperlink" Target="mailto:INCLUIR@EXCLUIR___INCLUIDO@EXCLUIDO___HotLineTag_S_TC_SS" TargetMode="External"/><Relationship Id="rId178" Type="http://schemas.openxmlformats.org/officeDocument/2006/relationships/hyperlink" Target="mailto:null@null___NORMAL@ATUADO___Custom_S_TS_SB" TargetMode="External"/><Relationship Id="rId61" Type="http://schemas.openxmlformats.org/officeDocument/2006/relationships/hyperlink" Target="mailto:null@null___NORMAL@ATUADO___Custom_S_TS_SA" TargetMode="External"/><Relationship Id="rId82" Type="http://schemas.openxmlformats.org/officeDocument/2006/relationships/hyperlink" Target="mailto:null@null___NORMAL@FALHA___Custom_S_TS_SB" TargetMode="External"/><Relationship Id="rId199" Type="http://schemas.openxmlformats.org/officeDocument/2006/relationships/hyperlink" Target="mailto:null@null___NORMAL@ATUADO___Custom_S_TS_SA" TargetMode="External"/><Relationship Id="rId203" Type="http://schemas.openxmlformats.org/officeDocument/2006/relationships/hyperlink" Target="mailto:null@null___NORMAL@FALHA___Custom_S_TS_SB" TargetMode="External"/><Relationship Id="rId19" Type="http://schemas.openxmlformats.org/officeDocument/2006/relationships/hyperlink" Target="mailto:null@null___NORMAL@ATUADO___Custom_S_TS_SA" TargetMode="External"/><Relationship Id="rId224" Type="http://schemas.openxmlformats.org/officeDocument/2006/relationships/hyperlink" Target="mailto:DESLIGAR@LIGAR___DESLIGADO@LIGADO___Custom_S_TS_SV" TargetMode="External"/><Relationship Id="rId30" Type="http://schemas.openxmlformats.org/officeDocument/2006/relationships/hyperlink" Target="mailto:null@null___INCLUIDO@EXCLUIDO___Enabled_S_TS_SS" TargetMode="External"/><Relationship Id="rId105" Type="http://schemas.openxmlformats.org/officeDocument/2006/relationships/hyperlink" Target="mailto:null@null___NORMAL@FALHA___Custom_S_TS_SI" TargetMode="External"/><Relationship Id="rId126" Type="http://schemas.openxmlformats.org/officeDocument/2006/relationships/hyperlink" Target="mailto:null@null___NORMAL@FALTA___Custom_S_TS_SB" TargetMode="External"/><Relationship Id="rId147" Type="http://schemas.openxmlformats.org/officeDocument/2006/relationships/hyperlink" Target="mailto:null@null___NORMAL@FALTA___Custom_S_TS_SB" TargetMode="External"/><Relationship Id="rId168" Type="http://schemas.openxmlformats.org/officeDocument/2006/relationships/hyperlink" Target="mailto:null@null___NORMAL@ATUADO___Custom_S_TS_SA" TargetMode="External"/><Relationship Id="rId51" Type="http://schemas.openxmlformats.org/officeDocument/2006/relationships/hyperlink" Target="mailto:null@null___NORMAL@ATUADO___Custom_S_TS_SI" TargetMode="External"/><Relationship Id="rId72" Type="http://schemas.openxmlformats.org/officeDocument/2006/relationships/hyperlink" Target="mailto:null@null___NORMAL@FALHA___Custom_S_TS_SI" TargetMode="External"/><Relationship Id="rId93" Type="http://schemas.openxmlformats.org/officeDocument/2006/relationships/hyperlink" Target="mailto:null@null___NORMAL@FALHA___Custom_S_TS_SB" TargetMode="External"/><Relationship Id="rId189" Type="http://schemas.openxmlformats.org/officeDocument/2006/relationships/hyperlink" Target="mailto:null@null___NORMAL@ATUADO___Custom_S_TS_SB" TargetMode="External"/><Relationship Id="rId3" Type="http://schemas.openxmlformats.org/officeDocument/2006/relationships/hyperlink" Target="mailto:null@null___NORMAL@FALHA___Custom_S_TS_SB" TargetMode="External"/><Relationship Id="rId214" Type="http://schemas.openxmlformats.org/officeDocument/2006/relationships/hyperlink" Target="mailto:INCLUIR@EXCLUIR___INCLUIDO@EXCLUIDO___Enabled_S_TS_SS" TargetMode="External"/><Relationship Id="rId235" Type="http://schemas.openxmlformats.org/officeDocument/2006/relationships/hyperlink" Target="mailto:DESLIGAR@LIGAR___DESLIGADO@LIGADO___SwitchStatus_D_TC_SE" TargetMode="External"/><Relationship Id="rId116" Type="http://schemas.openxmlformats.org/officeDocument/2006/relationships/hyperlink" Target="mailto:null@null___NORMAL@FALHA___Custom_S_TS_SI" TargetMode="External"/><Relationship Id="rId137" Type="http://schemas.openxmlformats.org/officeDocument/2006/relationships/hyperlink" Target="mailto:null@null___NORMAL@FALTA___Custom_S_TS_SB" TargetMode="External"/><Relationship Id="rId158" Type="http://schemas.openxmlformats.org/officeDocument/2006/relationships/hyperlink" Target="mailto:null@null___NORMAL@ATUADO___RelayTrip_S_TS_SA" TargetMode="External"/><Relationship Id="rId20" Type="http://schemas.openxmlformats.org/officeDocument/2006/relationships/hyperlink" Target="mailto:null@null___INCLUIDO@EXCLUIDO___Enabled_S_TS_SS" TargetMode="External"/><Relationship Id="rId41" Type="http://schemas.openxmlformats.org/officeDocument/2006/relationships/hyperlink" Target="mailto:null@null___NORMAL@ATUADO___Custom_S_TS_SV" TargetMode="External"/><Relationship Id="rId62" Type="http://schemas.openxmlformats.org/officeDocument/2006/relationships/hyperlink" Target="mailto:null@null___NORMAL@ATUADO___Custom_S_TS_SA" TargetMode="External"/><Relationship Id="rId83" Type="http://schemas.openxmlformats.org/officeDocument/2006/relationships/hyperlink" Target="mailto:null@null___NORMAL@FALHA___Custom_S_TS_SB" TargetMode="External"/><Relationship Id="rId179" Type="http://schemas.openxmlformats.org/officeDocument/2006/relationships/hyperlink" Target="mailto:null@null___NORMAL@ATUADO___Custom_S_TS_SB"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mailto:null@null___EXTRAIDO@INSERIDO___Custom_S_TS_SI" TargetMode="External"/><Relationship Id="rId3" Type="http://schemas.openxmlformats.org/officeDocument/2006/relationships/hyperlink" Target="mailto:INCLUIR@EXCLUIR___INCLUIDO@EXCLUIDO___Custom_S_TC_SS" TargetMode="External"/><Relationship Id="rId7" Type="http://schemas.openxmlformats.org/officeDocument/2006/relationships/hyperlink" Target="mailto:null@null___NORMAL@DISPARADA___Custom_S_TS_SV" TargetMode="External"/><Relationship Id="rId12" Type="http://schemas.microsoft.com/office/2017/10/relationships/threadedComment" Target="../threadedComments/threadedComment4.xml"/><Relationship Id="rId2" Type="http://schemas.openxmlformats.org/officeDocument/2006/relationships/hyperlink" Target="mailto:INCLUIR@EXCLUIR___INCLUIDO@EXCLUIDO___Enabled_S_TC_SS" TargetMode="External"/><Relationship Id="rId1" Type="http://schemas.openxmlformats.org/officeDocument/2006/relationships/hyperlink" Target="mailto:INCLUIR@EXCLUIR___INCLUIDO@EXCLUIDO___Enabled_S_TC_SA" TargetMode="External"/><Relationship Id="rId6" Type="http://schemas.openxmlformats.org/officeDocument/2006/relationships/hyperlink" Target="mailto:null@null___NORMAL@ATUADO___RecloserLockout_S_TS_SA" TargetMode="External"/><Relationship Id="rId11" Type="http://schemas.openxmlformats.org/officeDocument/2006/relationships/comments" Target="../comments4.xml"/><Relationship Id="rId5" Type="http://schemas.openxmlformats.org/officeDocument/2006/relationships/hyperlink" Target="mailto:DI_null@null___NORMAL@ATUADO___RecloserLockout_S_TS" TargetMode="External"/><Relationship Id="rId10" Type="http://schemas.openxmlformats.org/officeDocument/2006/relationships/table" Target="../tables/table1.xml"/><Relationship Id="rId4" Type="http://schemas.openxmlformats.org/officeDocument/2006/relationships/hyperlink" Target="mailto:null@null___DESABILITADO@HABILITADO___Custom_S_TS_SV" TargetMode="External"/><Relationship Id="rId9"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81F61-4144-40D5-947E-5C2CEE5B2BF6}">
  <sheetPr codeName="Planilha1">
    <tabColor theme="8"/>
  </sheetPr>
  <dimension ref="A1:P693"/>
  <sheetViews>
    <sheetView tabSelected="1" topLeftCell="C1" workbookViewId="0">
      <pane ySplit="1" topLeftCell="A38" activePane="bottomLeft" state="frozen"/>
      <selection activeCell="L37" sqref="L37"/>
      <selection pane="bottomLeft" activeCell="G63" sqref="G63"/>
    </sheetView>
  </sheetViews>
  <sheetFormatPr defaultRowHeight="15" x14ac:dyDescent="0.25"/>
  <cols>
    <col min="1" max="1" width="11.5703125" bestFit="1" customWidth="1"/>
    <col min="2" max="2" width="65" customWidth="1"/>
    <col min="3" max="3" width="15.5703125" customWidth="1"/>
    <col min="4" max="5" width="25.140625" customWidth="1"/>
    <col min="6" max="6" width="61.5703125" customWidth="1"/>
    <col min="7" max="7" width="35.5703125" customWidth="1"/>
    <col min="8" max="8" width="9.28515625" bestFit="1" customWidth="1"/>
    <col min="9" max="9" width="19.42578125" customWidth="1"/>
    <col min="10" max="10" width="12.42578125" bestFit="1" customWidth="1"/>
    <col min="11" max="11" width="93.140625" customWidth="1"/>
    <col min="12" max="16" width="11" customWidth="1"/>
  </cols>
  <sheetData>
    <row r="1" spans="1:16" x14ac:dyDescent="0.25">
      <c r="A1" s="93" t="s">
        <v>0</v>
      </c>
      <c r="B1" s="1" t="s">
        <v>1</v>
      </c>
      <c r="C1" s="1" t="s">
        <v>2</v>
      </c>
      <c r="D1" s="1" t="s">
        <v>1157</v>
      </c>
      <c r="E1" s="1" t="s">
        <v>1158</v>
      </c>
      <c r="F1" s="1" t="s">
        <v>3</v>
      </c>
      <c r="G1" s="1" t="s">
        <v>4</v>
      </c>
      <c r="H1" s="1" t="s">
        <v>5</v>
      </c>
      <c r="I1" s="1" t="s">
        <v>6</v>
      </c>
      <c r="J1" s="1" t="s">
        <v>7</v>
      </c>
      <c r="K1" s="1" t="s">
        <v>8</v>
      </c>
      <c r="L1" s="1" t="s">
        <v>1220</v>
      </c>
      <c r="M1" s="1" t="s">
        <v>1221</v>
      </c>
      <c r="N1" s="1" t="s">
        <v>1222</v>
      </c>
      <c r="O1" s="1" t="s">
        <v>1223</v>
      </c>
      <c r="P1" s="1" t="s">
        <v>1224</v>
      </c>
    </row>
    <row r="2" spans="1:16" x14ac:dyDescent="0.25">
      <c r="A2" s="94" t="s">
        <v>909</v>
      </c>
      <c r="B2" s="2" t="s">
        <v>1268</v>
      </c>
      <c r="C2" s="2" t="s">
        <v>11</v>
      </c>
      <c r="D2" s="2" t="s">
        <v>123</v>
      </c>
      <c r="E2" s="2" t="s">
        <v>1160</v>
      </c>
      <c r="F2" s="2" t="s">
        <v>1208</v>
      </c>
      <c r="G2" s="2" t="str">
        <f>VLOOKUP(F2,'Message Mapping'!A:L,3,FALSE)</f>
        <v>Transit;CEEE;RGE;Error</v>
      </c>
      <c r="H2" s="2" t="str">
        <f>VLOOKUP(F2,'Message Mapping'!A:L,4,FALSE)</f>
        <v>0;2;1;3</v>
      </c>
      <c r="I2" s="2"/>
      <c r="J2" s="3" t="str">
        <f>VLOOKUP(F2,'Message Mapping'!A:L,12,FALSE)</f>
        <v>Severidade 4</v>
      </c>
      <c r="K2" s="3"/>
      <c r="L2" s="3"/>
      <c r="M2" s="3"/>
      <c r="N2" s="3"/>
      <c r="O2" s="3"/>
      <c r="P2" s="3"/>
    </row>
    <row r="3" spans="1:16" x14ac:dyDescent="0.25">
      <c r="A3" s="94" t="s">
        <v>4390</v>
      </c>
      <c r="B3" s="2" t="s">
        <v>4391</v>
      </c>
      <c r="C3" s="2" t="s">
        <v>11</v>
      </c>
      <c r="D3" s="2" t="s">
        <v>123</v>
      </c>
      <c r="E3" s="2" t="s">
        <v>1160</v>
      </c>
      <c r="F3" s="2" t="s">
        <v>4392</v>
      </c>
      <c r="G3" s="2" t="e">
        <f>VLOOKUP(F3,'Message Mapping'!A:L,3,FALSE)</f>
        <v>#N/A</v>
      </c>
      <c r="H3" s="2" t="e">
        <f>VLOOKUP(F3,'Message Mapping'!A:L,4,FALSE)</f>
        <v>#N/A</v>
      </c>
      <c r="I3" s="2"/>
      <c r="J3" s="3" t="e">
        <f>VLOOKUP(F3,'Message Mapping'!A:L,12,FALSE)</f>
        <v>#N/A</v>
      </c>
      <c r="K3" s="3" t="s">
        <v>4405</v>
      </c>
      <c r="L3" s="3"/>
      <c r="M3" s="3"/>
      <c r="N3" s="3"/>
      <c r="O3" s="3"/>
      <c r="P3" s="3"/>
    </row>
    <row r="4" spans="1:16" x14ac:dyDescent="0.25">
      <c r="A4" s="94" t="s">
        <v>9</v>
      </c>
      <c r="B4" s="2" t="s">
        <v>10</v>
      </c>
      <c r="C4" s="2" t="s">
        <v>11</v>
      </c>
      <c r="D4" s="2" t="s">
        <v>12</v>
      </c>
      <c r="E4" s="2" t="s">
        <v>1159</v>
      </c>
      <c r="F4" s="2" t="s">
        <v>13</v>
      </c>
      <c r="G4" s="2" t="str">
        <f>VLOOKUP(F4,'Message Mapping'!A:L,3,FALSE)</f>
        <v>Transit;NORMAL;ATUADO;Error</v>
      </c>
      <c r="H4" s="2" t="str">
        <f>VLOOKUP(F4,'Message Mapping'!A:L,4,FALSE)</f>
        <v>0;1;2;3</v>
      </c>
      <c r="I4" s="2"/>
      <c r="J4" s="3" t="str">
        <f>VLOOKUP(F4,'Message Mapping'!A:L,12,FALSE)</f>
        <v>Severidade 4</v>
      </c>
      <c r="K4" s="3"/>
      <c r="L4" s="3"/>
      <c r="M4" s="3"/>
      <c r="N4" s="3"/>
      <c r="O4" s="3"/>
      <c r="P4" s="3"/>
    </row>
    <row r="5" spans="1:16" x14ac:dyDescent="0.25">
      <c r="A5" s="94" t="s">
        <v>14</v>
      </c>
      <c r="B5" s="2" t="s">
        <v>15</v>
      </c>
      <c r="C5" s="2" t="s">
        <v>11</v>
      </c>
      <c r="D5" s="2" t="s">
        <v>12</v>
      </c>
      <c r="E5" s="2" t="s">
        <v>1159</v>
      </c>
      <c r="F5" s="2" t="s">
        <v>13</v>
      </c>
      <c r="G5" s="2" t="str">
        <f>VLOOKUP(F5,'Message Mapping'!A:L,3,FALSE)</f>
        <v>Transit;NORMAL;ATUADO;Error</v>
      </c>
      <c r="H5" s="2" t="str">
        <f>VLOOKUP(F5,'Message Mapping'!A:L,4,FALSE)</f>
        <v>0;1;2;3</v>
      </c>
      <c r="I5" s="2"/>
      <c r="J5" s="3" t="str">
        <f>VLOOKUP(F5,'Message Mapping'!A:L,12,FALSE)</f>
        <v>Severidade 4</v>
      </c>
      <c r="K5" s="3"/>
      <c r="L5" s="3"/>
      <c r="M5" s="3"/>
      <c r="N5" s="3"/>
      <c r="O5" s="3"/>
      <c r="P5" s="3"/>
    </row>
    <row r="6" spans="1:16" x14ac:dyDescent="0.25">
      <c r="A6" s="94" t="s">
        <v>16</v>
      </c>
      <c r="B6" s="2" t="s">
        <v>17</v>
      </c>
      <c r="C6" s="2" t="s">
        <v>11</v>
      </c>
      <c r="D6" s="2" t="s">
        <v>12</v>
      </c>
      <c r="E6" s="2" t="s">
        <v>1159</v>
      </c>
      <c r="F6" s="2" t="s">
        <v>13</v>
      </c>
      <c r="G6" s="2" t="str">
        <f>VLOOKUP(F6,'Message Mapping'!A:L,3,FALSE)</f>
        <v>Transit;NORMAL;ATUADO;Error</v>
      </c>
      <c r="H6" s="2" t="str">
        <f>VLOOKUP(F6,'Message Mapping'!A:L,4,FALSE)</f>
        <v>0;1;2;3</v>
      </c>
      <c r="I6" s="2"/>
      <c r="J6" s="3" t="str">
        <f>VLOOKUP(F6,'Message Mapping'!A:L,12,FALSE)</f>
        <v>Severidade 4</v>
      </c>
      <c r="K6" s="3"/>
      <c r="L6" s="3"/>
      <c r="M6" s="3"/>
      <c r="N6" s="3"/>
      <c r="O6" s="3"/>
      <c r="P6" s="3"/>
    </row>
    <row r="7" spans="1:16" x14ac:dyDescent="0.25">
      <c r="A7" s="94" t="s">
        <v>2817</v>
      </c>
      <c r="B7" s="2" t="s">
        <v>2818</v>
      </c>
      <c r="C7" s="2" t="s">
        <v>39</v>
      </c>
      <c r="D7" s="2" t="s">
        <v>12</v>
      </c>
      <c r="E7" s="2" t="s">
        <v>1159</v>
      </c>
      <c r="F7" s="2" t="s">
        <v>40</v>
      </c>
      <c r="G7" s="2" t="str">
        <f>VLOOKUP(F7,'Message Mapping'!A:L,3,FALSE)</f>
        <v>Transit;NORMAL;ATUADO;Error</v>
      </c>
      <c r="H7" s="2" t="str">
        <f>VLOOKUP(F7,'Message Mapping'!A:L,4,FALSE)</f>
        <v>0;1;2;3</v>
      </c>
      <c r="I7" s="2"/>
      <c r="J7" s="3" t="str">
        <f>VLOOKUP(F7,'Message Mapping'!A:L,12,FALSE)</f>
        <v>Severidade 4</v>
      </c>
      <c r="K7" s="3"/>
      <c r="L7" s="3"/>
      <c r="M7" s="3"/>
      <c r="N7" s="3"/>
      <c r="O7" s="3"/>
      <c r="P7" s="3"/>
    </row>
    <row r="8" spans="1:16" x14ac:dyDescent="0.25">
      <c r="A8" s="94" t="s">
        <v>2815</v>
      </c>
      <c r="B8" s="2" t="s">
        <v>2816</v>
      </c>
      <c r="C8" s="2" t="s">
        <v>39</v>
      </c>
      <c r="D8" s="2" t="s">
        <v>12</v>
      </c>
      <c r="E8" s="2" t="s">
        <v>1159</v>
      </c>
      <c r="F8" s="2" t="s">
        <v>40</v>
      </c>
      <c r="G8" s="2" t="str">
        <f>VLOOKUP(F8,'Message Mapping'!A:L,3,FALSE)</f>
        <v>Transit;NORMAL;ATUADO;Error</v>
      </c>
      <c r="H8" s="2" t="str">
        <f>VLOOKUP(F8,'Message Mapping'!A:L,4,FALSE)</f>
        <v>0;1;2;3</v>
      </c>
      <c r="I8" s="2"/>
      <c r="J8" s="3" t="str">
        <f>VLOOKUP(F8,'Message Mapping'!A:L,12,FALSE)</f>
        <v>Severidade 4</v>
      </c>
      <c r="K8" s="3"/>
      <c r="L8" s="3"/>
      <c r="M8" s="3"/>
      <c r="N8" s="3"/>
      <c r="O8" s="3"/>
      <c r="P8" s="3"/>
    </row>
    <row r="9" spans="1:16" x14ac:dyDescent="0.25">
      <c r="A9" s="94" t="s">
        <v>18</v>
      </c>
      <c r="B9" s="2" t="s">
        <v>19</v>
      </c>
      <c r="C9" s="2" t="s">
        <v>39</v>
      </c>
      <c r="D9" s="2" t="s">
        <v>12</v>
      </c>
      <c r="E9" s="2" t="s">
        <v>1159</v>
      </c>
      <c r="F9" s="2" t="s">
        <v>40</v>
      </c>
      <c r="G9" s="2" t="str">
        <f>VLOOKUP(F9,'Message Mapping'!A:L,3,FALSE)</f>
        <v>Transit;NORMAL;ATUADO;Error</v>
      </c>
      <c r="H9" s="2" t="str">
        <f>VLOOKUP(F9,'Message Mapping'!A:L,4,FALSE)</f>
        <v>0;1;2;3</v>
      </c>
      <c r="I9" s="2"/>
      <c r="J9" s="3" t="str">
        <f>VLOOKUP(F9,'Message Mapping'!A:L,12,FALSE)</f>
        <v>Severidade 4</v>
      </c>
      <c r="K9" s="3"/>
      <c r="L9" s="3"/>
      <c r="M9" s="3"/>
      <c r="N9" s="3"/>
      <c r="O9" s="3"/>
      <c r="P9" s="3"/>
    </row>
    <row r="10" spans="1:16" x14ac:dyDescent="0.25">
      <c r="A10" s="94" t="s">
        <v>22</v>
      </c>
      <c r="B10" s="2" t="s">
        <v>21</v>
      </c>
      <c r="C10" s="2" t="s">
        <v>39</v>
      </c>
      <c r="D10" s="2" t="s">
        <v>12</v>
      </c>
      <c r="E10" s="2" t="s">
        <v>1159</v>
      </c>
      <c r="F10" s="2" t="s">
        <v>40</v>
      </c>
      <c r="G10" s="2" t="str">
        <f>VLOOKUP(F10,'Message Mapping'!A:L,3,FALSE)</f>
        <v>Transit;NORMAL;ATUADO;Error</v>
      </c>
      <c r="H10" s="2" t="str">
        <f>VLOOKUP(F10,'Message Mapping'!A:L,4,FALSE)</f>
        <v>0;1;2;3</v>
      </c>
      <c r="I10" s="2"/>
      <c r="J10" s="3" t="str">
        <f>VLOOKUP(F10,'Message Mapping'!A:L,12,FALSE)</f>
        <v>Severidade 4</v>
      </c>
      <c r="K10" s="3"/>
      <c r="L10" s="3"/>
      <c r="M10" s="3"/>
      <c r="N10" s="3"/>
      <c r="O10" s="3"/>
      <c r="P10" s="3"/>
    </row>
    <row r="11" spans="1:16" x14ac:dyDescent="0.25">
      <c r="A11" s="94" t="s">
        <v>24</v>
      </c>
      <c r="B11" s="2" t="s">
        <v>23</v>
      </c>
      <c r="C11" s="2" t="s">
        <v>39</v>
      </c>
      <c r="D11" s="2" t="s">
        <v>12</v>
      </c>
      <c r="E11" s="2" t="s">
        <v>1159</v>
      </c>
      <c r="F11" s="2" t="s">
        <v>40</v>
      </c>
      <c r="G11" s="2" t="str">
        <f>VLOOKUP(F11,'Message Mapping'!A:L,3,FALSE)</f>
        <v>Transit;NORMAL;ATUADO;Error</v>
      </c>
      <c r="H11" s="2" t="str">
        <f>VLOOKUP(F11,'Message Mapping'!A:L,4,FALSE)</f>
        <v>0;1;2;3</v>
      </c>
      <c r="I11" s="2"/>
      <c r="J11" s="3" t="str">
        <f>VLOOKUP(F11,'Message Mapping'!A:L,12,FALSE)</f>
        <v>Severidade 4</v>
      </c>
      <c r="K11" s="3"/>
      <c r="L11" s="3"/>
      <c r="M11" s="3"/>
      <c r="N11" s="3"/>
      <c r="O11" s="3"/>
      <c r="P11" s="3"/>
    </row>
    <row r="12" spans="1:16" x14ac:dyDescent="0.25">
      <c r="A12" s="94" t="s">
        <v>25</v>
      </c>
      <c r="B12" s="2" t="s">
        <v>26</v>
      </c>
      <c r="C12" s="2" t="s">
        <v>39</v>
      </c>
      <c r="D12" s="2" t="s">
        <v>12</v>
      </c>
      <c r="E12" s="2" t="s">
        <v>1159</v>
      </c>
      <c r="F12" s="2" t="s">
        <v>40</v>
      </c>
      <c r="G12" s="2" t="str">
        <f>VLOOKUP(F12,'Message Mapping'!A:L,3,FALSE)</f>
        <v>Transit;NORMAL;ATUADO;Error</v>
      </c>
      <c r="H12" s="2" t="str">
        <f>VLOOKUP(F12,'Message Mapping'!A:L,4,FALSE)</f>
        <v>0;1;2;3</v>
      </c>
      <c r="I12" s="2"/>
      <c r="J12" s="3" t="str">
        <f>VLOOKUP(F12,'Message Mapping'!A:L,12,FALSE)</f>
        <v>Severidade 4</v>
      </c>
      <c r="K12" s="3"/>
      <c r="L12" s="3"/>
      <c r="M12" s="3"/>
      <c r="N12" s="3"/>
      <c r="O12" s="3"/>
      <c r="P12" s="3"/>
    </row>
    <row r="13" spans="1:16" x14ac:dyDescent="0.25">
      <c r="A13" s="94" t="s">
        <v>27</v>
      </c>
      <c r="B13" s="2" t="s">
        <v>28</v>
      </c>
      <c r="C13" s="2" t="s">
        <v>39</v>
      </c>
      <c r="D13" s="2" t="s">
        <v>12</v>
      </c>
      <c r="E13" s="2" t="s">
        <v>1159</v>
      </c>
      <c r="F13" s="2" t="s">
        <v>40</v>
      </c>
      <c r="G13" s="2" t="str">
        <f>VLOOKUP(F13,'Message Mapping'!A:L,3,FALSE)</f>
        <v>Transit;NORMAL;ATUADO;Error</v>
      </c>
      <c r="H13" s="2" t="str">
        <f>VLOOKUP(F13,'Message Mapping'!A:L,4,FALSE)</f>
        <v>0;1;2;3</v>
      </c>
      <c r="I13" s="2"/>
      <c r="J13" s="3" t="str">
        <f>VLOOKUP(F13,'Message Mapping'!A:L,12,FALSE)</f>
        <v>Severidade 4</v>
      </c>
      <c r="K13" s="3"/>
      <c r="L13" s="3"/>
      <c r="M13" s="3"/>
      <c r="N13" s="3"/>
      <c r="O13" s="3"/>
      <c r="P13" s="3"/>
    </row>
    <row r="14" spans="1:16" x14ac:dyDescent="0.25">
      <c r="A14" s="94" t="s">
        <v>20</v>
      </c>
      <c r="B14" s="2" t="s">
        <v>1149</v>
      </c>
      <c r="C14" s="2" t="s">
        <v>39</v>
      </c>
      <c r="D14" s="2" t="s">
        <v>12</v>
      </c>
      <c r="E14" s="2" t="s">
        <v>1159</v>
      </c>
      <c r="F14" s="2" t="s">
        <v>40</v>
      </c>
      <c r="G14" s="2" t="str">
        <f>VLOOKUP(F14,'Message Mapping'!A:L,3,FALSE)</f>
        <v>Transit;NORMAL;ATUADO;Error</v>
      </c>
      <c r="H14" s="2" t="str">
        <f>VLOOKUP(F14,'Message Mapping'!A:L,4,FALSE)</f>
        <v>0;1;2;3</v>
      </c>
      <c r="I14" s="2"/>
      <c r="J14" s="3" t="str">
        <f>VLOOKUP(F14,'Message Mapping'!A:L,12,FALSE)</f>
        <v>Severidade 4</v>
      </c>
      <c r="K14" s="3"/>
      <c r="L14" s="3"/>
      <c r="M14" s="3"/>
      <c r="N14" s="3"/>
      <c r="O14" s="3"/>
      <c r="P14" s="3"/>
    </row>
    <row r="15" spans="1:16" x14ac:dyDescent="0.25">
      <c r="A15" s="94" t="s">
        <v>29</v>
      </c>
      <c r="B15" s="2" t="s">
        <v>30</v>
      </c>
      <c r="C15" s="2" t="s">
        <v>39</v>
      </c>
      <c r="D15" s="2" t="s">
        <v>12</v>
      </c>
      <c r="E15" s="2" t="s">
        <v>1159</v>
      </c>
      <c r="F15" s="2" t="s">
        <v>40</v>
      </c>
      <c r="G15" s="2" t="str">
        <f>VLOOKUP(F15,'Message Mapping'!A:L,3,FALSE)</f>
        <v>Transit;NORMAL;ATUADO;Error</v>
      </c>
      <c r="H15" s="2" t="str">
        <f>VLOOKUP(F15,'Message Mapping'!A:L,4,FALSE)</f>
        <v>0;1;2;3</v>
      </c>
      <c r="I15" s="2"/>
      <c r="J15" s="3" t="str">
        <f>VLOOKUP(F15,'Message Mapping'!A:L,12,FALSE)</f>
        <v>Severidade 4</v>
      </c>
      <c r="K15" s="3"/>
      <c r="L15" s="3"/>
      <c r="M15" s="3"/>
      <c r="N15" s="3"/>
      <c r="O15" s="3"/>
      <c r="P15" s="3"/>
    </row>
    <row r="16" spans="1:16" x14ac:dyDescent="0.25">
      <c r="A16" s="94" t="s">
        <v>1282</v>
      </c>
      <c r="B16" s="2" t="s">
        <v>1283</v>
      </c>
      <c r="C16" s="2" t="s">
        <v>39</v>
      </c>
      <c r="D16" s="2" t="s">
        <v>12</v>
      </c>
      <c r="E16" s="2" t="s">
        <v>1159</v>
      </c>
      <c r="F16" s="2" t="s">
        <v>40</v>
      </c>
      <c r="G16" s="2" t="str">
        <f>VLOOKUP(F16,'Message Mapping'!A:L,3,FALSE)</f>
        <v>Transit;NORMAL;ATUADO;Error</v>
      </c>
      <c r="H16" s="2" t="str">
        <f>VLOOKUP(F16,'Message Mapping'!A:L,4,FALSE)</f>
        <v>0;1;2;3</v>
      </c>
      <c r="I16" s="2"/>
      <c r="J16" s="3" t="str">
        <f>VLOOKUP(F16,'Message Mapping'!A:L,12,FALSE)</f>
        <v>Severidade 4</v>
      </c>
      <c r="K16" s="3"/>
      <c r="L16" s="3"/>
      <c r="M16" s="3"/>
      <c r="N16" s="3"/>
      <c r="O16" s="3"/>
      <c r="P16" s="3"/>
    </row>
    <row r="17" spans="1:16" x14ac:dyDescent="0.25">
      <c r="A17" s="94" t="s">
        <v>31</v>
      </c>
      <c r="B17" s="2" t="s">
        <v>1284</v>
      </c>
      <c r="C17" s="2" t="s">
        <v>39</v>
      </c>
      <c r="D17" s="2" t="s">
        <v>12</v>
      </c>
      <c r="E17" s="2" t="s">
        <v>1159</v>
      </c>
      <c r="F17" s="2" t="s">
        <v>40</v>
      </c>
      <c r="G17" s="2" t="str">
        <f>VLOOKUP(F17,'Message Mapping'!A:L,3,FALSE)</f>
        <v>Transit;NORMAL;ATUADO;Error</v>
      </c>
      <c r="H17" s="2" t="str">
        <f>VLOOKUP(F17,'Message Mapping'!A:L,4,FALSE)</f>
        <v>0;1;2;3</v>
      </c>
      <c r="I17" s="2"/>
      <c r="J17" s="3" t="str">
        <f>VLOOKUP(F17,'Message Mapping'!A:L,12,FALSE)</f>
        <v>Severidade 4</v>
      </c>
      <c r="K17" s="3"/>
      <c r="L17" s="3"/>
      <c r="M17" s="3"/>
      <c r="N17" s="3"/>
      <c r="O17" s="3"/>
      <c r="P17" s="3"/>
    </row>
    <row r="18" spans="1:16" x14ac:dyDescent="0.25">
      <c r="A18" s="94" t="s">
        <v>4226</v>
      </c>
      <c r="B18" s="2" t="s">
        <v>1285</v>
      </c>
      <c r="C18" s="2" t="s">
        <v>39</v>
      </c>
      <c r="D18" s="2" t="s">
        <v>12</v>
      </c>
      <c r="E18" s="2" t="s">
        <v>1159</v>
      </c>
      <c r="F18" s="2" t="s">
        <v>40</v>
      </c>
      <c r="G18" s="2" t="str">
        <f>VLOOKUP(F18,'Message Mapping'!A:L,3,FALSE)</f>
        <v>Transit;NORMAL;ATUADO;Error</v>
      </c>
      <c r="H18" s="2" t="str">
        <f>VLOOKUP(F18,'Message Mapping'!A:L,4,FALSE)</f>
        <v>0;1;2;3</v>
      </c>
      <c r="I18" s="2"/>
      <c r="J18" s="3" t="str">
        <f>VLOOKUP(F18,'Message Mapping'!A:L,12,FALSE)</f>
        <v>Severidade 4</v>
      </c>
      <c r="K18" s="3"/>
      <c r="L18" s="3"/>
      <c r="M18" s="3"/>
      <c r="N18" s="3"/>
      <c r="O18" s="3"/>
      <c r="P18" s="3"/>
    </row>
    <row r="19" spans="1:16" x14ac:dyDescent="0.25">
      <c r="A19" s="94" t="s">
        <v>32</v>
      </c>
      <c r="B19" s="2" t="s">
        <v>1286</v>
      </c>
      <c r="C19" s="2" t="s">
        <v>39</v>
      </c>
      <c r="D19" s="2" t="s">
        <v>12</v>
      </c>
      <c r="E19" s="2" t="s">
        <v>1159</v>
      </c>
      <c r="F19" s="2" t="s">
        <v>40</v>
      </c>
      <c r="G19" s="2" t="str">
        <f>VLOOKUP(F19,'Message Mapping'!A:L,3,FALSE)</f>
        <v>Transit;NORMAL;ATUADO;Error</v>
      </c>
      <c r="H19" s="2" t="str">
        <f>VLOOKUP(F19,'Message Mapping'!A:L,4,FALSE)</f>
        <v>0;1;2;3</v>
      </c>
      <c r="I19" s="2"/>
      <c r="J19" s="3" t="str">
        <f>VLOOKUP(F19,'Message Mapping'!A:L,12,FALSE)</f>
        <v>Severidade 4</v>
      </c>
      <c r="K19" s="3"/>
      <c r="L19" s="3"/>
      <c r="M19" s="3"/>
      <c r="N19" s="3"/>
      <c r="O19" s="3"/>
      <c r="P19" s="3"/>
    </row>
    <row r="20" spans="1:16" x14ac:dyDescent="0.25">
      <c r="A20" s="94" t="s">
        <v>1213</v>
      </c>
      <c r="B20" s="2" t="s">
        <v>1214</v>
      </c>
      <c r="C20" s="2" t="s">
        <v>11</v>
      </c>
      <c r="D20" s="2" t="s">
        <v>12</v>
      </c>
      <c r="E20" s="2" t="s">
        <v>1159</v>
      </c>
      <c r="F20" s="2" t="s">
        <v>13</v>
      </c>
      <c r="G20" s="2" t="str">
        <f>VLOOKUP(F20,'Message Mapping'!A:L,3,FALSE)</f>
        <v>Transit;NORMAL;ATUADO;Error</v>
      </c>
      <c r="H20" s="2" t="str">
        <f>VLOOKUP(F20,'Message Mapping'!A:L,4,FALSE)</f>
        <v>0;1;2;3</v>
      </c>
      <c r="I20" s="2"/>
      <c r="J20" s="3" t="str">
        <f>VLOOKUP(F20,'Message Mapping'!A:L,12,FALSE)</f>
        <v>Severidade 4</v>
      </c>
      <c r="K20" s="3"/>
      <c r="L20" s="3"/>
      <c r="M20" s="3"/>
      <c r="N20" s="3"/>
      <c r="O20" s="3"/>
      <c r="P20" s="3"/>
    </row>
    <row r="21" spans="1:16" x14ac:dyDescent="0.25">
      <c r="A21" s="94" t="s">
        <v>4227</v>
      </c>
      <c r="B21" s="2" t="s">
        <v>33</v>
      </c>
      <c r="C21" s="2" t="s">
        <v>34</v>
      </c>
      <c r="D21" s="2" t="s">
        <v>35</v>
      </c>
      <c r="E21" s="2" t="s">
        <v>1159</v>
      </c>
      <c r="F21" s="2" t="s">
        <v>36</v>
      </c>
      <c r="G21" s="2" t="str">
        <f>VLOOKUP(F21,'Message Mapping'!A:L,3,FALSE)</f>
        <v>Transit;INCLUIDO;EXCLUIDO;Error</v>
      </c>
      <c r="H21" s="2" t="str">
        <f>VLOOKUP(F21,'Message Mapping'!A:L,4,FALSE)</f>
        <v>0;1;2;3</v>
      </c>
      <c r="I21" s="2"/>
      <c r="J21" s="3" t="str">
        <f>VLOOKUP(F21,'Message Mapping'!A:L,12,FALSE)</f>
        <v>Severidade 8</v>
      </c>
      <c r="K21" s="3"/>
      <c r="L21" s="3"/>
      <c r="M21" s="3"/>
      <c r="N21" s="3"/>
      <c r="O21" s="3"/>
      <c r="P21" s="3"/>
    </row>
    <row r="22" spans="1:16" x14ac:dyDescent="0.25">
      <c r="A22" s="94" t="s">
        <v>4227</v>
      </c>
      <c r="B22" s="2" t="s">
        <v>33</v>
      </c>
      <c r="C22" s="2" t="s">
        <v>34</v>
      </c>
      <c r="D22" s="2" t="s">
        <v>35</v>
      </c>
      <c r="E22" s="2" t="s">
        <v>1160</v>
      </c>
      <c r="F22" s="2" t="s">
        <v>113</v>
      </c>
      <c r="G22" s="2" t="str">
        <f>VLOOKUP(F22,'Message Mapping'!A:L,3,FALSE)</f>
        <v>Transit;INCLUIDO;EXCLUIDO;Error</v>
      </c>
      <c r="H22" s="2" t="str">
        <f>VLOOKUP(F22,'Message Mapping'!A:L,4,FALSE)</f>
        <v>0;1;2;3</v>
      </c>
      <c r="I22" s="2"/>
      <c r="J22" s="3" t="str">
        <f>VLOOKUP(F22,'Message Mapping'!A:L,12,FALSE)</f>
        <v>Severidade 8</v>
      </c>
      <c r="K22" s="3"/>
      <c r="L22" s="3"/>
      <c r="M22" s="3"/>
      <c r="N22" s="3"/>
      <c r="O22" s="3"/>
      <c r="P22" s="3"/>
    </row>
    <row r="23" spans="1:16" x14ac:dyDescent="0.25">
      <c r="A23" s="94" t="s">
        <v>37</v>
      </c>
      <c r="B23" s="2" t="s">
        <v>38</v>
      </c>
      <c r="C23" s="2" t="s">
        <v>39</v>
      </c>
      <c r="D23" s="2" t="s">
        <v>12</v>
      </c>
      <c r="E23" s="2" t="s">
        <v>1159</v>
      </c>
      <c r="F23" s="2" t="s">
        <v>40</v>
      </c>
      <c r="G23" s="2" t="str">
        <f>VLOOKUP(F23,'Message Mapping'!A:L,3,FALSE)</f>
        <v>Transit;NORMAL;ATUADO;Error</v>
      </c>
      <c r="H23" s="2" t="str">
        <f>VLOOKUP(F23,'Message Mapping'!A:L,4,FALSE)</f>
        <v>0;1;2;3</v>
      </c>
      <c r="I23" s="2"/>
      <c r="J23" s="3" t="str">
        <f>VLOOKUP(F23,'Message Mapping'!A:L,12,FALSE)</f>
        <v>Severidade 4</v>
      </c>
      <c r="K23" s="3"/>
      <c r="L23" s="3"/>
      <c r="M23" s="3"/>
      <c r="N23" s="3"/>
      <c r="O23" s="3"/>
      <c r="P23" s="3"/>
    </row>
    <row r="24" spans="1:16" x14ac:dyDescent="0.25">
      <c r="A24" s="94" t="s">
        <v>41</v>
      </c>
      <c r="B24" s="2" t="s">
        <v>42</v>
      </c>
      <c r="C24" s="2" t="s">
        <v>39</v>
      </c>
      <c r="D24" s="2" t="s">
        <v>12</v>
      </c>
      <c r="E24" s="2" t="s">
        <v>1159</v>
      </c>
      <c r="F24" s="2" t="s">
        <v>40</v>
      </c>
      <c r="G24" s="2" t="str">
        <f>VLOOKUP(F24,'Message Mapping'!A:L,3,FALSE)</f>
        <v>Transit;NORMAL;ATUADO;Error</v>
      </c>
      <c r="H24" s="2" t="str">
        <f>VLOOKUP(F24,'Message Mapping'!A:L,4,FALSE)</f>
        <v>0;1;2;3</v>
      </c>
      <c r="I24" s="2"/>
      <c r="J24" s="3" t="str">
        <f>VLOOKUP(F24,'Message Mapping'!A:L,12,FALSE)</f>
        <v>Severidade 4</v>
      </c>
      <c r="K24" s="3"/>
      <c r="L24" s="3"/>
      <c r="M24" s="3"/>
      <c r="N24" s="3"/>
      <c r="O24" s="3"/>
      <c r="P24" s="3"/>
    </row>
    <row r="25" spans="1:16" x14ac:dyDescent="0.25">
      <c r="A25" s="94" t="s">
        <v>43</v>
      </c>
      <c r="B25" s="2" t="s">
        <v>44</v>
      </c>
      <c r="C25" s="2" t="s">
        <v>39</v>
      </c>
      <c r="D25" s="2" t="s">
        <v>12</v>
      </c>
      <c r="E25" s="2" t="s">
        <v>1159</v>
      </c>
      <c r="F25" s="2" t="s">
        <v>40</v>
      </c>
      <c r="G25" s="2" t="str">
        <f>VLOOKUP(F25,'Message Mapping'!A:L,3,FALSE)</f>
        <v>Transit;NORMAL;ATUADO;Error</v>
      </c>
      <c r="H25" s="2" t="str">
        <f>VLOOKUP(F25,'Message Mapping'!A:L,4,FALSE)</f>
        <v>0;1;2;3</v>
      </c>
      <c r="I25" s="2"/>
      <c r="J25" s="3" t="str">
        <f>VLOOKUP(F25,'Message Mapping'!A:L,12,FALSE)</f>
        <v>Severidade 4</v>
      </c>
      <c r="K25" s="3"/>
      <c r="L25" s="3"/>
      <c r="M25" s="3"/>
      <c r="N25" s="3"/>
      <c r="O25" s="3"/>
      <c r="P25" s="3"/>
    </row>
    <row r="26" spans="1:16" x14ac:dyDescent="0.25">
      <c r="A26" s="94" t="s">
        <v>45</v>
      </c>
      <c r="B26" s="2" t="s">
        <v>46</v>
      </c>
      <c r="C26" s="2" t="s">
        <v>39</v>
      </c>
      <c r="D26" s="2" t="s">
        <v>12</v>
      </c>
      <c r="E26" s="2" t="s">
        <v>1159</v>
      </c>
      <c r="F26" s="2" t="s">
        <v>40</v>
      </c>
      <c r="G26" s="2" t="str">
        <f>VLOOKUP(F26,'Message Mapping'!A:L,3,FALSE)</f>
        <v>Transit;NORMAL;ATUADO;Error</v>
      </c>
      <c r="H26" s="2" t="str">
        <f>VLOOKUP(F26,'Message Mapping'!A:L,4,FALSE)</f>
        <v>0;1;2;3</v>
      </c>
      <c r="I26" s="2"/>
      <c r="J26" s="3" t="str">
        <f>VLOOKUP(F26,'Message Mapping'!A:L,12,FALSE)</f>
        <v>Severidade 4</v>
      </c>
      <c r="K26" s="3"/>
      <c r="L26" s="3"/>
      <c r="M26" s="3"/>
      <c r="N26" s="3"/>
      <c r="O26" s="3"/>
      <c r="P26" s="3"/>
    </row>
    <row r="27" spans="1:16" x14ac:dyDescent="0.25">
      <c r="A27" s="94" t="s">
        <v>47</v>
      </c>
      <c r="B27" s="2" t="s">
        <v>48</v>
      </c>
      <c r="C27" s="2" t="s">
        <v>39</v>
      </c>
      <c r="D27" s="2" t="s">
        <v>12</v>
      </c>
      <c r="E27" s="2" t="s">
        <v>1159</v>
      </c>
      <c r="F27" s="2" t="s">
        <v>40</v>
      </c>
      <c r="G27" s="2" t="str">
        <f>VLOOKUP(F27,'Message Mapping'!A:L,3,FALSE)</f>
        <v>Transit;NORMAL;ATUADO;Error</v>
      </c>
      <c r="H27" s="2" t="str">
        <f>VLOOKUP(F27,'Message Mapping'!A:L,4,FALSE)</f>
        <v>0;1;2;3</v>
      </c>
      <c r="I27" s="2"/>
      <c r="J27" s="3" t="str">
        <f>VLOOKUP(F27,'Message Mapping'!A:L,12,FALSE)</f>
        <v>Severidade 4</v>
      </c>
      <c r="K27" s="3"/>
      <c r="L27" s="3"/>
      <c r="M27" s="3"/>
      <c r="N27" s="3"/>
      <c r="O27" s="3"/>
      <c r="P27" s="3"/>
    </row>
    <row r="28" spans="1:16" x14ac:dyDescent="0.25">
      <c r="A28" s="94" t="s">
        <v>49</v>
      </c>
      <c r="B28" s="2" t="s">
        <v>50</v>
      </c>
      <c r="C28" s="2" t="s">
        <v>39</v>
      </c>
      <c r="D28" s="2" t="s">
        <v>12</v>
      </c>
      <c r="E28" s="2" t="s">
        <v>1159</v>
      </c>
      <c r="F28" s="2" t="s">
        <v>40</v>
      </c>
      <c r="G28" s="2" t="str">
        <f>VLOOKUP(F28,'Message Mapping'!A:L,3,FALSE)</f>
        <v>Transit;NORMAL;ATUADO;Error</v>
      </c>
      <c r="H28" s="2" t="str">
        <f>VLOOKUP(F28,'Message Mapping'!A:L,4,FALSE)</f>
        <v>0;1;2;3</v>
      </c>
      <c r="I28" s="2"/>
      <c r="J28" s="3" t="str">
        <f>VLOOKUP(F28,'Message Mapping'!A:L,12,FALSE)</f>
        <v>Severidade 4</v>
      </c>
      <c r="K28" s="3"/>
      <c r="L28" s="3"/>
      <c r="M28" s="3"/>
      <c r="N28" s="3"/>
      <c r="O28" s="3"/>
      <c r="P28" s="3"/>
    </row>
    <row r="29" spans="1:16" x14ac:dyDescent="0.25">
      <c r="A29" s="94" t="s">
        <v>51</v>
      </c>
      <c r="B29" s="2" t="s">
        <v>52</v>
      </c>
      <c r="C29" s="2" t="s">
        <v>39</v>
      </c>
      <c r="D29" s="2" t="s">
        <v>12</v>
      </c>
      <c r="E29" s="2" t="s">
        <v>1159</v>
      </c>
      <c r="F29" s="2" t="s">
        <v>40</v>
      </c>
      <c r="G29" s="2" t="str">
        <f>VLOOKUP(F29,'Message Mapping'!A:L,3,FALSE)</f>
        <v>Transit;NORMAL;ATUADO;Error</v>
      </c>
      <c r="H29" s="2" t="str">
        <f>VLOOKUP(F29,'Message Mapping'!A:L,4,FALSE)</f>
        <v>0;1;2;3</v>
      </c>
      <c r="I29" s="2"/>
      <c r="J29" s="3" t="str">
        <f>VLOOKUP(F29,'Message Mapping'!A:L,12,FALSE)</f>
        <v>Severidade 4</v>
      </c>
      <c r="K29" s="3"/>
      <c r="L29" s="3"/>
      <c r="M29" s="3"/>
      <c r="N29" s="3"/>
      <c r="O29" s="3"/>
      <c r="P29" s="3"/>
    </row>
    <row r="30" spans="1:16" x14ac:dyDescent="0.25">
      <c r="A30" s="94" t="s">
        <v>53</v>
      </c>
      <c r="B30" s="2" t="s">
        <v>54</v>
      </c>
      <c r="C30" s="2" t="s">
        <v>39</v>
      </c>
      <c r="D30" s="2" t="s">
        <v>12</v>
      </c>
      <c r="E30" s="2" t="s">
        <v>1159</v>
      </c>
      <c r="F30" s="2" t="s">
        <v>40</v>
      </c>
      <c r="G30" s="2" t="str">
        <f>VLOOKUP(F30,'Message Mapping'!A:L,3,FALSE)</f>
        <v>Transit;NORMAL;ATUADO;Error</v>
      </c>
      <c r="H30" s="2" t="str">
        <f>VLOOKUP(F30,'Message Mapping'!A:L,4,FALSE)</f>
        <v>0;1;2;3</v>
      </c>
      <c r="I30" s="2"/>
      <c r="J30" s="3" t="str">
        <f>VLOOKUP(F30,'Message Mapping'!A:L,12,FALSE)</f>
        <v>Severidade 4</v>
      </c>
      <c r="K30" s="3"/>
      <c r="L30" s="3"/>
      <c r="M30" s="3"/>
      <c r="N30" s="3"/>
      <c r="O30" s="3"/>
      <c r="P30" s="3"/>
    </row>
    <row r="31" spans="1:16" x14ac:dyDescent="0.25">
      <c r="A31" s="94" t="s">
        <v>55</v>
      </c>
      <c r="B31" s="2" t="s">
        <v>56</v>
      </c>
      <c r="C31" s="2" t="s">
        <v>39</v>
      </c>
      <c r="D31" s="2" t="s">
        <v>12</v>
      </c>
      <c r="E31" s="2" t="s">
        <v>1159</v>
      </c>
      <c r="F31" s="2" t="s">
        <v>40</v>
      </c>
      <c r="G31" s="2" t="str">
        <f>VLOOKUP(F31,'Message Mapping'!A:L,3,FALSE)</f>
        <v>Transit;NORMAL;ATUADO;Error</v>
      </c>
      <c r="H31" s="2" t="str">
        <f>VLOOKUP(F31,'Message Mapping'!A:L,4,FALSE)</f>
        <v>0;1;2;3</v>
      </c>
      <c r="I31" s="2"/>
      <c r="J31" s="3" t="str">
        <f>VLOOKUP(F31,'Message Mapping'!A:L,12,FALSE)</f>
        <v>Severidade 4</v>
      </c>
      <c r="K31" s="3"/>
      <c r="L31" s="3"/>
      <c r="M31" s="3"/>
      <c r="N31" s="3"/>
      <c r="O31" s="3"/>
      <c r="P31" s="3"/>
    </row>
    <row r="32" spans="1:16" x14ac:dyDescent="0.25">
      <c r="A32" s="94" t="s">
        <v>57</v>
      </c>
      <c r="B32" s="2" t="s">
        <v>58</v>
      </c>
      <c r="C32" s="2" t="s">
        <v>39</v>
      </c>
      <c r="D32" s="2" t="s">
        <v>12</v>
      </c>
      <c r="E32" s="2" t="s">
        <v>1159</v>
      </c>
      <c r="F32" s="2" t="s">
        <v>40</v>
      </c>
      <c r="G32" s="2" t="str">
        <f>VLOOKUP(F32,'Message Mapping'!A:L,3,FALSE)</f>
        <v>Transit;NORMAL;ATUADO;Error</v>
      </c>
      <c r="H32" s="2" t="str">
        <f>VLOOKUP(F32,'Message Mapping'!A:L,4,FALSE)</f>
        <v>0;1;2;3</v>
      </c>
      <c r="I32" s="2"/>
      <c r="J32" s="3" t="str">
        <f>VLOOKUP(F32,'Message Mapping'!A:L,12,FALSE)</f>
        <v>Severidade 4</v>
      </c>
      <c r="K32" s="3"/>
      <c r="L32" s="3"/>
      <c r="M32" s="3"/>
      <c r="N32" s="3"/>
      <c r="O32" s="3"/>
      <c r="P32" s="3"/>
    </row>
    <row r="33" spans="1:16" x14ac:dyDescent="0.25">
      <c r="A33" s="94" t="s">
        <v>59</v>
      </c>
      <c r="B33" s="2" t="s">
        <v>60</v>
      </c>
      <c r="C33" s="2" t="s">
        <v>39</v>
      </c>
      <c r="D33" s="2" t="s">
        <v>12</v>
      </c>
      <c r="E33" s="2" t="s">
        <v>1159</v>
      </c>
      <c r="F33" s="2" t="s">
        <v>40</v>
      </c>
      <c r="G33" s="2" t="str">
        <f>VLOOKUP(F33,'Message Mapping'!A:L,3,FALSE)</f>
        <v>Transit;NORMAL;ATUADO;Error</v>
      </c>
      <c r="H33" s="2" t="str">
        <f>VLOOKUP(F33,'Message Mapping'!A:L,4,FALSE)</f>
        <v>0;1;2;3</v>
      </c>
      <c r="I33" s="2"/>
      <c r="J33" s="3" t="str">
        <f>VLOOKUP(F33,'Message Mapping'!A:L,12,FALSE)</f>
        <v>Severidade 4</v>
      </c>
      <c r="K33" s="3"/>
      <c r="L33" s="3"/>
      <c r="M33" s="3"/>
      <c r="N33" s="3"/>
      <c r="O33" s="3"/>
      <c r="P33" s="3"/>
    </row>
    <row r="34" spans="1:16" x14ac:dyDescent="0.25">
      <c r="A34" s="94" t="s">
        <v>61</v>
      </c>
      <c r="B34" s="2" t="s">
        <v>62</v>
      </c>
      <c r="C34" s="2" t="s">
        <v>39</v>
      </c>
      <c r="D34" s="2" t="s">
        <v>12</v>
      </c>
      <c r="E34" s="2" t="s">
        <v>1159</v>
      </c>
      <c r="F34" s="2" t="s">
        <v>40</v>
      </c>
      <c r="G34" s="2" t="str">
        <f>VLOOKUP(F34,'Message Mapping'!A:L,3,FALSE)</f>
        <v>Transit;NORMAL;ATUADO;Error</v>
      </c>
      <c r="H34" s="2" t="str">
        <f>VLOOKUP(F34,'Message Mapping'!A:L,4,FALSE)</f>
        <v>0;1;2;3</v>
      </c>
      <c r="I34" s="2"/>
      <c r="J34" s="3" t="str">
        <f>VLOOKUP(F34,'Message Mapping'!A:L,12,FALSE)</f>
        <v>Severidade 4</v>
      </c>
      <c r="K34" s="3"/>
      <c r="L34" s="3"/>
      <c r="M34" s="3"/>
      <c r="N34" s="3"/>
      <c r="O34" s="3"/>
      <c r="P34" s="3"/>
    </row>
    <row r="35" spans="1:16" x14ac:dyDescent="0.25">
      <c r="A35" s="94" t="s">
        <v>63</v>
      </c>
      <c r="B35" s="2" t="s">
        <v>64</v>
      </c>
      <c r="C35" s="2" t="s">
        <v>39</v>
      </c>
      <c r="D35" s="2" t="s">
        <v>12</v>
      </c>
      <c r="E35" s="2" t="s">
        <v>1159</v>
      </c>
      <c r="F35" s="2" t="s">
        <v>40</v>
      </c>
      <c r="G35" s="2" t="str">
        <f>VLOOKUP(F35,'Message Mapping'!A:L,3,FALSE)</f>
        <v>Transit;NORMAL;ATUADO;Error</v>
      </c>
      <c r="H35" s="2" t="str">
        <f>VLOOKUP(F35,'Message Mapping'!A:L,4,FALSE)</f>
        <v>0;1;2;3</v>
      </c>
      <c r="I35" s="2"/>
      <c r="J35" s="3" t="str">
        <f>VLOOKUP(F35,'Message Mapping'!A:L,12,FALSE)</f>
        <v>Severidade 4</v>
      </c>
      <c r="K35" s="3"/>
      <c r="L35" s="3"/>
      <c r="M35" s="3"/>
      <c r="N35" s="3"/>
      <c r="O35" s="3"/>
      <c r="P35" s="3"/>
    </row>
    <row r="36" spans="1:16" x14ac:dyDescent="0.25">
      <c r="A36" s="94" t="s">
        <v>65</v>
      </c>
      <c r="B36" s="2" t="s">
        <v>66</v>
      </c>
      <c r="C36" s="2" t="s">
        <v>39</v>
      </c>
      <c r="D36" s="2" t="s">
        <v>12</v>
      </c>
      <c r="E36" s="2" t="s">
        <v>1159</v>
      </c>
      <c r="F36" s="2" t="s">
        <v>40</v>
      </c>
      <c r="G36" s="2" t="str">
        <f>VLOOKUP(F36,'Message Mapping'!A:L,3,FALSE)</f>
        <v>Transit;NORMAL;ATUADO;Error</v>
      </c>
      <c r="H36" s="2" t="str">
        <f>VLOOKUP(F36,'Message Mapping'!A:L,4,FALSE)</f>
        <v>0;1;2;3</v>
      </c>
      <c r="I36" s="2"/>
      <c r="J36" s="3" t="str">
        <f>VLOOKUP(F36,'Message Mapping'!A:L,12,FALSE)</f>
        <v>Severidade 4</v>
      </c>
      <c r="K36" s="3"/>
      <c r="L36" s="3"/>
      <c r="M36" s="3"/>
      <c r="N36" s="3"/>
      <c r="O36" s="3"/>
      <c r="P36" s="3"/>
    </row>
    <row r="37" spans="1:16" x14ac:dyDescent="0.25">
      <c r="A37" s="94" t="s">
        <v>67</v>
      </c>
      <c r="B37" s="2" t="s">
        <v>68</v>
      </c>
      <c r="C37" s="2" t="s">
        <v>39</v>
      </c>
      <c r="D37" s="2" t="s">
        <v>12</v>
      </c>
      <c r="E37" s="2" t="s">
        <v>1159</v>
      </c>
      <c r="F37" s="2" t="s">
        <v>40</v>
      </c>
      <c r="G37" s="2" t="str">
        <f>VLOOKUP(F37,'Message Mapping'!A:L,3,FALSE)</f>
        <v>Transit;NORMAL;ATUADO;Error</v>
      </c>
      <c r="H37" s="2" t="str">
        <f>VLOOKUP(F37,'Message Mapping'!A:L,4,FALSE)</f>
        <v>0;1;2;3</v>
      </c>
      <c r="I37" s="2"/>
      <c r="J37" s="3" t="str">
        <f>VLOOKUP(F37,'Message Mapping'!A:L,12,FALSE)</f>
        <v>Severidade 4</v>
      </c>
      <c r="K37" s="3"/>
      <c r="L37" s="3"/>
      <c r="M37" s="3"/>
      <c r="N37" s="3"/>
      <c r="O37" s="3"/>
      <c r="P37" s="3"/>
    </row>
    <row r="38" spans="1:16" x14ac:dyDescent="0.25">
      <c r="A38" s="94" t="s">
        <v>69</v>
      </c>
      <c r="B38" s="2" t="s">
        <v>70</v>
      </c>
      <c r="C38" s="2" t="s">
        <v>39</v>
      </c>
      <c r="D38" s="2" t="s">
        <v>12</v>
      </c>
      <c r="E38" s="2" t="s">
        <v>1159</v>
      </c>
      <c r="F38" s="2" t="s">
        <v>40</v>
      </c>
      <c r="G38" s="2" t="str">
        <f>VLOOKUP(F38,'Message Mapping'!A:L,3,FALSE)</f>
        <v>Transit;NORMAL;ATUADO;Error</v>
      </c>
      <c r="H38" s="2" t="str">
        <f>VLOOKUP(F38,'Message Mapping'!A:L,4,FALSE)</f>
        <v>0;1;2;3</v>
      </c>
      <c r="I38" s="2"/>
      <c r="J38" s="3" t="str">
        <f>VLOOKUP(F38,'Message Mapping'!A:L,12,FALSE)</f>
        <v>Severidade 4</v>
      </c>
      <c r="K38" s="3"/>
      <c r="L38" s="3"/>
      <c r="M38" s="3"/>
      <c r="N38" s="3"/>
      <c r="O38" s="3"/>
      <c r="P38" s="3"/>
    </row>
    <row r="39" spans="1:16" x14ac:dyDescent="0.25">
      <c r="A39" s="94" t="s">
        <v>71</v>
      </c>
      <c r="B39" s="2" t="s">
        <v>72</v>
      </c>
      <c r="C39" s="2" t="s">
        <v>39</v>
      </c>
      <c r="D39" s="2" t="s">
        <v>12</v>
      </c>
      <c r="E39" s="2" t="s">
        <v>1159</v>
      </c>
      <c r="F39" s="2" t="s">
        <v>40</v>
      </c>
      <c r="G39" s="2" t="str">
        <f>VLOOKUP(F39,'Message Mapping'!A:L,3,FALSE)</f>
        <v>Transit;NORMAL;ATUADO;Error</v>
      </c>
      <c r="H39" s="2" t="str">
        <f>VLOOKUP(F39,'Message Mapping'!A:L,4,FALSE)</f>
        <v>0;1;2;3</v>
      </c>
      <c r="I39" s="2"/>
      <c r="J39" s="3" t="str">
        <f>VLOOKUP(F39,'Message Mapping'!A:L,12,FALSE)</f>
        <v>Severidade 4</v>
      </c>
      <c r="K39" s="3"/>
      <c r="L39" s="3"/>
      <c r="M39" s="3"/>
      <c r="N39" s="3"/>
      <c r="O39" s="3"/>
      <c r="P39" s="3"/>
    </row>
    <row r="40" spans="1:16" x14ac:dyDescent="0.25">
      <c r="A40" s="94" t="s">
        <v>74</v>
      </c>
      <c r="B40" s="2" t="s">
        <v>73</v>
      </c>
      <c r="C40" s="2" t="s">
        <v>39</v>
      </c>
      <c r="D40" s="2" t="s">
        <v>12</v>
      </c>
      <c r="E40" s="2" t="s">
        <v>1159</v>
      </c>
      <c r="F40" s="2" t="s">
        <v>40</v>
      </c>
      <c r="G40" s="2" t="str">
        <f>VLOOKUP(F40,'Message Mapping'!A:L,3,FALSE)</f>
        <v>Transit;NORMAL;ATUADO;Error</v>
      </c>
      <c r="H40" s="2" t="str">
        <f>VLOOKUP(F40,'Message Mapping'!A:L,4,FALSE)</f>
        <v>0;1;2;3</v>
      </c>
      <c r="I40" s="2"/>
      <c r="J40" s="3" t="str">
        <f>VLOOKUP(F40,'Message Mapping'!A:L,12,FALSE)</f>
        <v>Severidade 4</v>
      </c>
      <c r="K40" s="3"/>
      <c r="L40" s="3"/>
      <c r="M40" s="3"/>
      <c r="N40" s="3"/>
      <c r="O40" s="3"/>
      <c r="P40" s="3"/>
    </row>
    <row r="41" spans="1:16" x14ac:dyDescent="0.25">
      <c r="A41" s="94" t="s">
        <v>76</v>
      </c>
      <c r="B41" s="2" t="s">
        <v>75</v>
      </c>
      <c r="C41" s="2" t="s">
        <v>39</v>
      </c>
      <c r="D41" s="2" t="s">
        <v>12</v>
      </c>
      <c r="E41" s="2" t="s">
        <v>1159</v>
      </c>
      <c r="F41" s="2" t="s">
        <v>40</v>
      </c>
      <c r="G41" s="2" t="str">
        <f>VLOOKUP(F41,'Message Mapping'!A:L,3,FALSE)</f>
        <v>Transit;NORMAL;ATUADO;Error</v>
      </c>
      <c r="H41" s="2" t="str">
        <f>VLOOKUP(F41,'Message Mapping'!A:L,4,FALSE)</f>
        <v>0;1;2;3</v>
      </c>
      <c r="I41" s="2"/>
      <c r="J41" s="3" t="str">
        <f>VLOOKUP(F41,'Message Mapping'!A:L,12,FALSE)</f>
        <v>Severidade 4</v>
      </c>
      <c r="K41" s="3"/>
      <c r="L41" s="3"/>
      <c r="M41" s="3"/>
      <c r="N41" s="3"/>
      <c r="O41" s="3"/>
      <c r="P41" s="3"/>
    </row>
    <row r="42" spans="1:16" x14ac:dyDescent="0.25">
      <c r="A42" s="94" t="s">
        <v>78</v>
      </c>
      <c r="B42" s="2" t="s">
        <v>77</v>
      </c>
      <c r="C42" s="2" t="s">
        <v>39</v>
      </c>
      <c r="D42" s="2" t="s">
        <v>12</v>
      </c>
      <c r="E42" s="2" t="s">
        <v>1159</v>
      </c>
      <c r="F42" s="2" t="s">
        <v>40</v>
      </c>
      <c r="G42" s="2" t="str">
        <f>VLOOKUP(F42,'Message Mapping'!A:L,3,FALSE)</f>
        <v>Transit;NORMAL;ATUADO;Error</v>
      </c>
      <c r="H42" s="2" t="str">
        <f>VLOOKUP(F42,'Message Mapping'!A:L,4,FALSE)</f>
        <v>0;1;2;3</v>
      </c>
      <c r="I42" s="2"/>
      <c r="J42" s="3" t="str">
        <f>VLOOKUP(F42,'Message Mapping'!A:L,12,FALSE)</f>
        <v>Severidade 4</v>
      </c>
      <c r="K42" s="3"/>
      <c r="L42" s="3"/>
      <c r="M42" s="3"/>
      <c r="N42" s="3"/>
      <c r="O42" s="3"/>
      <c r="P42" s="3"/>
    </row>
    <row r="43" spans="1:16" x14ac:dyDescent="0.25">
      <c r="A43" s="94" t="s">
        <v>80</v>
      </c>
      <c r="B43" s="2" t="s">
        <v>79</v>
      </c>
      <c r="C43" s="2" t="s">
        <v>39</v>
      </c>
      <c r="D43" s="2" t="s">
        <v>12</v>
      </c>
      <c r="E43" s="2" t="s">
        <v>1159</v>
      </c>
      <c r="F43" s="2" t="s">
        <v>40</v>
      </c>
      <c r="G43" s="2" t="str">
        <f>VLOOKUP(F43,'Message Mapping'!A:L,3,FALSE)</f>
        <v>Transit;NORMAL;ATUADO;Error</v>
      </c>
      <c r="H43" s="2" t="str">
        <f>VLOOKUP(F43,'Message Mapping'!A:L,4,FALSE)</f>
        <v>0;1;2;3</v>
      </c>
      <c r="I43" s="2"/>
      <c r="J43" s="3" t="str">
        <f>VLOOKUP(F43,'Message Mapping'!A:L,12,FALSE)</f>
        <v>Severidade 4</v>
      </c>
      <c r="K43" s="3"/>
      <c r="L43" s="3"/>
      <c r="M43" s="3"/>
      <c r="N43" s="3"/>
      <c r="O43" s="3"/>
      <c r="P43" s="3"/>
    </row>
    <row r="44" spans="1:16" x14ac:dyDescent="0.25">
      <c r="A44" s="94" t="s">
        <v>81</v>
      </c>
      <c r="B44" s="2" t="s">
        <v>82</v>
      </c>
      <c r="C44" s="2" t="s">
        <v>39</v>
      </c>
      <c r="D44" s="2" t="s">
        <v>12</v>
      </c>
      <c r="E44" s="2" t="s">
        <v>1159</v>
      </c>
      <c r="F44" s="2" t="s">
        <v>40</v>
      </c>
      <c r="G44" s="2" t="str">
        <f>VLOOKUP(F44,'Message Mapping'!A:L,3,FALSE)</f>
        <v>Transit;NORMAL;ATUADO;Error</v>
      </c>
      <c r="H44" s="2" t="str">
        <f>VLOOKUP(F44,'Message Mapping'!A:L,4,FALSE)</f>
        <v>0;1;2;3</v>
      </c>
      <c r="I44" s="2"/>
      <c r="J44" s="3" t="str">
        <f>VLOOKUP(F44,'Message Mapping'!A:L,12,FALSE)</f>
        <v>Severidade 4</v>
      </c>
      <c r="K44" s="3"/>
      <c r="L44" s="3"/>
      <c r="M44" s="3"/>
      <c r="N44" s="3"/>
      <c r="O44" s="3"/>
      <c r="P44" s="3"/>
    </row>
    <row r="45" spans="1:16" x14ac:dyDescent="0.25">
      <c r="A45" s="94" t="s">
        <v>83</v>
      </c>
      <c r="B45" s="2" t="s">
        <v>84</v>
      </c>
      <c r="C45" s="2" t="s">
        <v>39</v>
      </c>
      <c r="D45" s="2" t="s">
        <v>12</v>
      </c>
      <c r="E45" s="2" t="s">
        <v>1159</v>
      </c>
      <c r="F45" s="2" t="s">
        <v>40</v>
      </c>
      <c r="G45" s="2" t="str">
        <f>VLOOKUP(F45,'Message Mapping'!A:L,3,FALSE)</f>
        <v>Transit;NORMAL;ATUADO;Error</v>
      </c>
      <c r="H45" s="2" t="str">
        <f>VLOOKUP(F45,'Message Mapping'!A:L,4,FALSE)</f>
        <v>0;1;2;3</v>
      </c>
      <c r="I45" s="2"/>
      <c r="J45" s="3" t="str">
        <f>VLOOKUP(F45,'Message Mapping'!A:L,12,FALSE)</f>
        <v>Severidade 4</v>
      </c>
      <c r="K45" s="3"/>
      <c r="L45" s="3"/>
      <c r="M45" s="3"/>
      <c r="N45" s="3"/>
      <c r="O45" s="3"/>
      <c r="P45" s="3"/>
    </row>
    <row r="46" spans="1:16" x14ac:dyDescent="0.25">
      <c r="A46" s="94" t="s">
        <v>85</v>
      </c>
      <c r="B46" s="2" t="s">
        <v>86</v>
      </c>
      <c r="C46" s="2" t="s">
        <v>39</v>
      </c>
      <c r="D46" s="2" t="s">
        <v>12</v>
      </c>
      <c r="E46" s="2" t="s">
        <v>1159</v>
      </c>
      <c r="F46" s="2" t="s">
        <v>40</v>
      </c>
      <c r="G46" s="2" t="str">
        <f>VLOOKUP(F46,'Message Mapping'!A:L,3,FALSE)</f>
        <v>Transit;NORMAL;ATUADO;Error</v>
      </c>
      <c r="H46" s="2" t="str">
        <f>VLOOKUP(F46,'Message Mapping'!A:L,4,FALSE)</f>
        <v>0;1;2;3</v>
      </c>
      <c r="I46" s="2"/>
      <c r="J46" s="3" t="str">
        <f>VLOOKUP(F46,'Message Mapping'!A:L,12,FALSE)</f>
        <v>Severidade 4</v>
      </c>
      <c r="K46" s="3"/>
      <c r="L46" s="3"/>
      <c r="M46" s="3"/>
      <c r="N46" s="3"/>
      <c r="O46" s="3"/>
      <c r="P46" s="3"/>
    </row>
    <row r="47" spans="1:16" x14ac:dyDescent="0.25">
      <c r="A47" s="94" t="s">
        <v>87</v>
      </c>
      <c r="B47" s="2" t="s">
        <v>88</v>
      </c>
      <c r="C47" s="2" t="s">
        <v>39</v>
      </c>
      <c r="D47" s="2" t="s">
        <v>12</v>
      </c>
      <c r="E47" s="2" t="s">
        <v>1159</v>
      </c>
      <c r="F47" s="2" t="s">
        <v>40</v>
      </c>
      <c r="G47" s="2" t="str">
        <f>VLOOKUP(F47,'Message Mapping'!A:L,3,FALSE)</f>
        <v>Transit;NORMAL;ATUADO;Error</v>
      </c>
      <c r="H47" s="2" t="str">
        <f>VLOOKUP(F47,'Message Mapping'!A:L,4,FALSE)</f>
        <v>0;1;2;3</v>
      </c>
      <c r="I47" s="2"/>
      <c r="J47" s="3" t="str">
        <f>VLOOKUP(F47,'Message Mapping'!A:L,12,FALSE)</f>
        <v>Severidade 4</v>
      </c>
      <c r="K47" s="3"/>
      <c r="L47" s="3"/>
      <c r="M47" s="3"/>
      <c r="N47" s="3"/>
      <c r="O47" s="3"/>
      <c r="P47" s="3"/>
    </row>
    <row r="48" spans="1:16" x14ac:dyDescent="0.25">
      <c r="A48" s="94" t="s">
        <v>89</v>
      </c>
      <c r="B48" s="2" t="s">
        <v>90</v>
      </c>
      <c r="C48" s="2" t="s">
        <v>39</v>
      </c>
      <c r="D48" s="2" t="s">
        <v>12</v>
      </c>
      <c r="E48" s="2" t="s">
        <v>1159</v>
      </c>
      <c r="F48" s="2" t="s">
        <v>40</v>
      </c>
      <c r="G48" s="2" t="str">
        <f>VLOOKUP(F48,'Message Mapping'!A:L,3,FALSE)</f>
        <v>Transit;NORMAL;ATUADO;Error</v>
      </c>
      <c r="H48" s="2" t="str">
        <f>VLOOKUP(F48,'Message Mapping'!A:L,4,FALSE)</f>
        <v>0;1;2;3</v>
      </c>
      <c r="I48" s="2"/>
      <c r="J48" s="3" t="str">
        <f>VLOOKUP(F48,'Message Mapping'!A:L,12,FALSE)</f>
        <v>Severidade 4</v>
      </c>
      <c r="K48" s="3"/>
      <c r="L48" s="3"/>
      <c r="M48" s="3"/>
      <c r="N48" s="3"/>
      <c r="O48" s="3"/>
      <c r="P48" s="3"/>
    </row>
    <row r="49" spans="1:16" x14ac:dyDescent="0.25">
      <c r="A49" s="94" t="s">
        <v>91</v>
      </c>
      <c r="B49" s="2" t="s">
        <v>92</v>
      </c>
      <c r="C49" s="2" t="s">
        <v>39</v>
      </c>
      <c r="D49" s="2" t="s">
        <v>12</v>
      </c>
      <c r="E49" s="2" t="s">
        <v>1159</v>
      </c>
      <c r="F49" s="2" t="s">
        <v>40</v>
      </c>
      <c r="G49" s="2" t="str">
        <f>VLOOKUP(F49,'Message Mapping'!A:L,3,FALSE)</f>
        <v>Transit;NORMAL;ATUADO;Error</v>
      </c>
      <c r="H49" s="2" t="str">
        <f>VLOOKUP(F49,'Message Mapping'!A:L,4,FALSE)</f>
        <v>0;1;2;3</v>
      </c>
      <c r="I49" s="2"/>
      <c r="J49" s="3" t="str">
        <f>VLOOKUP(F49,'Message Mapping'!A:L,12,FALSE)</f>
        <v>Severidade 4</v>
      </c>
      <c r="K49" s="3"/>
      <c r="L49" s="3"/>
      <c r="M49" s="3"/>
      <c r="N49" s="3"/>
      <c r="O49" s="3"/>
      <c r="P49" s="3"/>
    </row>
    <row r="50" spans="1:16" x14ac:dyDescent="0.25">
      <c r="A50" s="94" t="s">
        <v>93</v>
      </c>
      <c r="B50" s="2" t="s">
        <v>94</v>
      </c>
      <c r="C50" s="2" t="s">
        <v>39</v>
      </c>
      <c r="D50" s="2" t="s">
        <v>12</v>
      </c>
      <c r="E50" s="2" t="s">
        <v>1159</v>
      </c>
      <c r="F50" s="2" t="s">
        <v>40</v>
      </c>
      <c r="G50" s="2" t="str">
        <f>VLOOKUP(F50,'Message Mapping'!A:L,3,FALSE)</f>
        <v>Transit;NORMAL;ATUADO;Error</v>
      </c>
      <c r="H50" s="2" t="str">
        <f>VLOOKUP(F50,'Message Mapping'!A:L,4,FALSE)</f>
        <v>0;1;2;3</v>
      </c>
      <c r="I50" s="2"/>
      <c r="J50" s="3" t="str">
        <f>VLOOKUP(F50,'Message Mapping'!A:L,12,FALSE)</f>
        <v>Severidade 4</v>
      </c>
      <c r="K50" s="3"/>
      <c r="L50" s="3"/>
      <c r="M50" s="3"/>
      <c r="N50" s="3"/>
      <c r="O50" s="3"/>
      <c r="P50" s="3"/>
    </row>
    <row r="51" spans="1:16" x14ac:dyDescent="0.25">
      <c r="A51" s="94" t="s">
        <v>4228</v>
      </c>
      <c r="B51" s="2" t="s">
        <v>95</v>
      </c>
      <c r="C51" s="2" t="s">
        <v>39</v>
      </c>
      <c r="D51" s="2" t="s">
        <v>12</v>
      </c>
      <c r="E51" s="2" t="s">
        <v>1159</v>
      </c>
      <c r="F51" s="2" t="s">
        <v>40</v>
      </c>
      <c r="G51" s="2" t="str">
        <f>VLOOKUP(F51,'Message Mapping'!A:L,3,FALSE)</f>
        <v>Transit;NORMAL;ATUADO;Error</v>
      </c>
      <c r="H51" s="2" t="str">
        <f>VLOOKUP(F51,'Message Mapping'!A:L,4,FALSE)</f>
        <v>0;1;2;3</v>
      </c>
      <c r="I51" s="2"/>
      <c r="J51" s="3" t="str">
        <f>VLOOKUP(F51,'Message Mapping'!A:L,12,FALSE)</f>
        <v>Severidade 4</v>
      </c>
      <c r="K51" s="3"/>
      <c r="L51" s="3"/>
      <c r="M51" s="3"/>
      <c r="N51" s="3"/>
      <c r="O51" s="3"/>
      <c r="P51" s="3"/>
    </row>
    <row r="52" spans="1:16" x14ac:dyDescent="0.25">
      <c r="A52" s="94" t="s">
        <v>105</v>
      </c>
      <c r="B52" s="2" t="s">
        <v>106</v>
      </c>
      <c r="C52" s="2" t="s">
        <v>11</v>
      </c>
      <c r="D52" s="2" t="s">
        <v>1234</v>
      </c>
      <c r="E52" s="2" t="s">
        <v>1159</v>
      </c>
      <c r="F52" s="2" t="s">
        <v>107</v>
      </c>
      <c r="G52" s="2" t="str">
        <f>VLOOKUP(F52,'Message Mapping'!A:L,3,FALSE)</f>
        <v>Transit;NORMAL;FALHA;Error</v>
      </c>
      <c r="H52" s="2" t="str">
        <f>VLOOKUP(F52,'Message Mapping'!A:L,4,FALSE)</f>
        <v>0;1;2;3</v>
      </c>
      <c r="I52" s="2"/>
      <c r="J52" s="3" t="str">
        <f>VLOOKUP(F52,'Message Mapping'!A:L,12,FALSE)</f>
        <v>Severidade 7</v>
      </c>
      <c r="K52" s="3"/>
      <c r="L52" s="3"/>
      <c r="M52" s="3"/>
      <c r="N52" s="3"/>
      <c r="O52" s="3"/>
      <c r="P52" s="3"/>
    </row>
    <row r="53" spans="1:16" x14ac:dyDescent="0.25">
      <c r="A53" s="94" t="s">
        <v>102</v>
      </c>
      <c r="B53" s="2" t="s">
        <v>103</v>
      </c>
      <c r="C53" s="2" t="s">
        <v>11</v>
      </c>
      <c r="D53" s="2" t="s">
        <v>1234</v>
      </c>
      <c r="E53" s="2" t="s">
        <v>1159</v>
      </c>
      <c r="F53" s="2" t="s">
        <v>104</v>
      </c>
      <c r="G53" s="2" t="str">
        <f>VLOOKUP(F53,'Message Mapping'!A:L,3,FALSE)</f>
        <v>Transit;NORMAL;FALTA;Error</v>
      </c>
      <c r="H53" s="2" t="str">
        <f>VLOOKUP(F53,'Message Mapping'!A:L,4,FALSE)</f>
        <v>0;1;2;3</v>
      </c>
      <c r="I53" s="2"/>
      <c r="J53" s="3" t="str">
        <f>VLOOKUP(F53,'Message Mapping'!A:L,12,FALSE)</f>
        <v>Severidade 7</v>
      </c>
      <c r="K53" s="3"/>
      <c r="L53" s="3"/>
      <c r="M53" s="3"/>
      <c r="N53" s="3"/>
      <c r="O53" s="3"/>
      <c r="P53" s="3"/>
    </row>
    <row r="54" spans="1:16" x14ac:dyDescent="0.25">
      <c r="A54" s="94" t="s">
        <v>111</v>
      </c>
      <c r="B54" s="2" t="s">
        <v>112</v>
      </c>
      <c r="C54" s="2" t="s">
        <v>34</v>
      </c>
      <c r="D54" s="2" t="s">
        <v>35</v>
      </c>
      <c r="E54" s="2" t="s">
        <v>1160</v>
      </c>
      <c r="F54" s="2" t="s">
        <v>113</v>
      </c>
      <c r="G54" s="2" t="str">
        <f>VLOOKUP(F54,'Message Mapping'!A:L,3,FALSE)</f>
        <v>Transit;INCLUIDO;EXCLUIDO;Error</v>
      </c>
      <c r="H54" s="2" t="str">
        <f>VLOOKUP(F54,'Message Mapping'!A:L,4,FALSE)</f>
        <v>0;1;2;3</v>
      </c>
      <c r="I54" s="2"/>
      <c r="J54" s="3" t="str">
        <f>VLOOKUP(F54,'Message Mapping'!A:L,12,FALSE)</f>
        <v>Severidade 8</v>
      </c>
      <c r="K54" s="3"/>
      <c r="L54" s="3"/>
      <c r="M54" s="3"/>
      <c r="N54" s="3"/>
      <c r="O54" s="3"/>
      <c r="P54" s="3"/>
    </row>
    <row r="55" spans="1:16" x14ac:dyDescent="0.25">
      <c r="A55" s="94" t="s">
        <v>111</v>
      </c>
      <c r="B55" s="2" t="s">
        <v>112</v>
      </c>
      <c r="C55" s="2" t="s">
        <v>34</v>
      </c>
      <c r="D55" s="2" t="s">
        <v>35</v>
      </c>
      <c r="E55" s="2" t="s">
        <v>1159</v>
      </c>
      <c r="F55" s="2" t="s">
        <v>36</v>
      </c>
      <c r="G55" s="2" t="str">
        <f>VLOOKUP(F55,'Message Mapping'!A:L,3,FALSE)</f>
        <v>Transit;INCLUIDO;EXCLUIDO;Error</v>
      </c>
      <c r="H55" s="2" t="str">
        <f>VLOOKUP(F55,'Message Mapping'!A:L,4,FALSE)</f>
        <v>0;1;2;3</v>
      </c>
      <c r="I55" s="2"/>
      <c r="J55" s="3" t="str">
        <f>VLOOKUP(F55,'Message Mapping'!A:L,12,FALSE)</f>
        <v>Severidade 8</v>
      </c>
      <c r="K55" s="3"/>
      <c r="L55" s="3"/>
      <c r="M55" s="3"/>
      <c r="N55" s="3"/>
      <c r="O55" s="3"/>
      <c r="P55" s="3"/>
    </row>
    <row r="56" spans="1:16" x14ac:dyDescent="0.25">
      <c r="A56" s="95" t="s">
        <v>98</v>
      </c>
      <c r="B56" s="2" t="s">
        <v>1287</v>
      </c>
      <c r="C56" s="2" t="s">
        <v>11</v>
      </c>
      <c r="D56" s="2" t="s">
        <v>35</v>
      </c>
      <c r="E56" s="2" t="s">
        <v>1159</v>
      </c>
      <c r="F56" s="2" t="s">
        <v>99</v>
      </c>
      <c r="G56" s="2" t="str">
        <f>VLOOKUP(F56,'Message Mapping'!A:L,3,FALSE)</f>
        <v>Transit;MANUAL;AUTOMATICO;Error</v>
      </c>
      <c r="H56" s="2" t="str">
        <f>VLOOKUP(F56,'Message Mapping'!A:L,4,FALSE)</f>
        <v>0;1;2;3</v>
      </c>
      <c r="I56" s="2"/>
      <c r="J56" s="3" t="str">
        <f>VLOOKUP(F56,'Message Mapping'!A:L,12,FALSE)</f>
        <v>Severidade 8</v>
      </c>
      <c r="K56" s="3"/>
      <c r="L56" s="3"/>
      <c r="M56" s="3"/>
      <c r="N56" s="3"/>
      <c r="O56" s="3"/>
      <c r="P56" s="3"/>
    </row>
    <row r="57" spans="1:16" x14ac:dyDescent="0.25">
      <c r="A57" s="94" t="s">
        <v>114</v>
      </c>
      <c r="B57" s="2" t="s">
        <v>4252</v>
      </c>
      <c r="C57" s="2" t="s">
        <v>11</v>
      </c>
      <c r="D57" s="2" t="s">
        <v>35</v>
      </c>
      <c r="E57" s="2" t="s">
        <v>1159</v>
      </c>
      <c r="F57" s="2" t="s">
        <v>115</v>
      </c>
      <c r="G57" s="2" t="str">
        <f>VLOOKUP(F57,'Message Mapping'!A:L,3,FALSE)</f>
        <v>Transit;REMOTO;LOCAL;Error</v>
      </c>
      <c r="H57" s="2" t="str">
        <f>VLOOKUP(F57,'Message Mapping'!A:L,4,FALSE)</f>
        <v>0;1;2;3</v>
      </c>
      <c r="I57" s="2"/>
      <c r="J57" s="3" t="str">
        <f>VLOOKUP(F57,'Message Mapping'!A:L,12,FALSE)</f>
        <v>Severidade 8</v>
      </c>
      <c r="K57" s="3"/>
      <c r="L57" s="3"/>
      <c r="M57" s="3"/>
      <c r="N57" s="3"/>
      <c r="O57" s="3"/>
      <c r="P57" s="3"/>
    </row>
    <row r="58" spans="1:16" x14ac:dyDescent="0.25">
      <c r="A58" s="94" t="s">
        <v>116</v>
      </c>
      <c r="B58" s="2" t="s">
        <v>117</v>
      </c>
      <c r="C58" s="2" t="s">
        <v>11</v>
      </c>
      <c r="D58" s="2" t="s">
        <v>1234</v>
      </c>
      <c r="E58" s="2" t="s">
        <v>1159</v>
      </c>
      <c r="F58" s="2" t="s">
        <v>118</v>
      </c>
      <c r="G58" s="2" t="str">
        <f>VLOOKUP(F58,'Message Mapping'!A:L,3,FALSE)</f>
        <v>Transit;NORMAL;ATUADO;Error</v>
      </c>
      <c r="H58" s="2" t="str">
        <f>VLOOKUP(F58,'Message Mapping'!A:L,4,FALSE)</f>
        <v>0;1;2;3</v>
      </c>
      <c r="I58" s="2"/>
      <c r="J58" s="3" t="str">
        <f>VLOOKUP(F58,'Message Mapping'!A:L,12,FALSE)</f>
        <v>Severidade 7</v>
      </c>
      <c r="K58" s="3"/>
      <c r="L58" s="3"/>
      <c r="M58" s="3"/>
      <c r="N58" s="3"/>
      <c r="O58" s="3"/>
      <c r="P58" s="3"/>
    </row>
    <row r="59" spans="1:16" x14ac:dyDescent="0.25">
      <c r="A59" s="94" t="s">
        <v>100</v>
      </c>
      <c r="B59" s="2" t="s">
        <v>101</v>
      </c>
      <c r="C59" s="2" t="s">
        <v>39</v>
      </c>
      <c r="D59" s="2" t="s">
        <v>12</v>
      </c>
      <c r="E59" s="2" t="s">
        <v>1159</v>
      </c>
      <c r="F59" s="2" t="s">
        <v>40</v>
      </c>
      <c r="G59" s="2" t="str">
        <f>VLOOKUP(F59,'Message Mapping'!A:L,3,FALSE)</f>
        <v>Transit;NORMAL;ATUADO;Error</v>
      </c>
      <c r="H59" s="2" t="str">
        <f>VLOOKUP(F59,'Message Mapping'!A:L,4,FALSE)</f>
        <v>0;1;2;3</v>
      </c>
      <c r="I59" s="2"/>
      <c r="J59" s="3" t="str">
        <f>VLOOKUP(F59,'Message Mapping'!A:L,12,FALSE)</f>
        <v>Severidade 4</v>
      </c>
      <c r="K59" s="3"/>
      <c r="L59" s="3"/>
      <c r="M59" s="3"/>
      <c r="N59" s="3"/>
      <c r="O59" s="3"/>
      <c r="P59" s="3"/>
    </row>
    <row r="60" spans="1:16" x14ac:dyDescent="0.25">
      <c r="A60" s="94" t="s">
        <v>109</v>
      </c>
      <c r="B60" s="2" t="s">
        <v>110</v>
      </c>
      <c r="C60" s="2" t="s">
        <v>39</v>
      </c>
      <c r="D60" s="2" t="s">
        <v>12</v>
      </c>
      <c r="E60" s="2" t="s">
        <v>1159</v>
      </c>
      <c r="F60" s="2" t="s">
        <v>40</v>
      </c>
      <c r="G60" s="2" t="str">
        <f>VLOOKUP(F60,'Message Mapping'!A:L,3,FALSE)</f>
        <v>Transit;NORMAL;ATUADO;Error</v>
      </c>
      <c r="H60" s="2" t="str">
        <f>VLOOKUP(F60,'Message Mapping'!A:L,4,FALSE)</f>
        <v>0;1;2;3</v>
      </c>
      <c r="I60" s="2"/>
      <c r="J60" s="3" t="str">
        <f>VLOOKUP(F60,'Message Mapping'!A:L,12,FALSE)</f>
        <v>Severidade 4</v>
      </c>
      <c r="K60" s="3"/>
      <c r="L60" s="3"/>
      <c r="M60" s="3"/>
      <c r="N60" s="3"/>
      <c r="O60" s="3"/>
      <c r="P60" s="3"/>
    </row>
    <row r="61" spans="1:16" x14ac:dyDescent="0.25">
      <c r="A61" s="94" t="s">
        <v>119</v>
      </c>
      <c r="B61" s="2" t="s">
        <v>120</v>
      </c>
      <c r="C61" s="2" t="s">
        <v>39</v>
      </c>
      <c r="D61" s="2" t="s">
        <v>12</v>
      </c>
      <c r="E61" s="2" t="s">
        <v>1159</v>
      </c>
      <c r="F61" s="2" t="s">
        <v>40</v>
      </c>
      <c r="G61" s="2" t="str">
        <f>VLOOKUP(F61,'Message Mapping'!A:L,3,FALSE)</f>
        <v>Transit;NORMAL;ATUADO;Error</v>
      </c>
      <c r="H61" s="2" t="str">
        <f>VLOOKUP(F61,'Message Mapping'!A:L,4,FALSE)</f>
        <v>0;1;2;3</v>
      </c>
      <c r="I61" s="2"/>
      <c r="J61" s="3" t="str">
        <f>VLOOKUP(F61,'Message Mapping'!A:L,12,FALSE)</f>
        <v>Severidade 4</v>
      </c>
      <c r="K61" s="3"/>
      <c r="L61" s="3"/>
      <c r="M61" s="3"/>
      <c r="N61" s="3"/>
      <c r="O61" s="3"/>
      <c r="P61" s="3"/>
    </row>
    <row r="62" spans="1:16" x14ac:dyDescent="0.25">
      <c r="A62" s="94" t="s">
        <v>96</v>
      </c>
      <c r="B62" s="2" t="s">
        <v>97</v>
      </c>
      <c r="C62" s="2" t="s">
        <v>39</v>
      </c>
      <c r="D62" s="2" t="s">
        <v>12</v>
      </c>
      <c r="E62" s="2" t="s">
        <v>1159</v>
      </c>
      <c r="F62" s="2" t="s">
        <v>40</v>
      </c>
      <c r="G62" s="2" t="str">
        <f>VLOOKUP(F62,'Message Mapping'!A:L,3,FALSE)</f>
        <v>Transit;NORMAL;ATUADO;Error</v>
      </c>
      <c r="H62" s="2" t="str">
        <f>VLOOKUP(F62,'Message Mapping'!A:L,4,FALSE)</f>
        <v>0;1;2;3</v>
      </c>
      <c r="I62" s="2"/>
      <c r="J62" s="3" t="str">
        <f>VLOOKUP(F62,'Message Mapping'!A:L,12,FALSE)</f>
        <v>Severidade 4</v>
      </c>
      <c r="K62" s="3"/>
      <c r="L62" s="3"/>
      <c r="M62" s="3"/>
      <c r="N62" s="3"/>
      <c r="O62" s="3"/>
      <c r="P62" s="3"/>
    </row>
    <row r="63" spans="1:16" x14ac:dyDescent="0.25">
      <c r="A63" s="94" t="s">
        <v>125</v>
      </c>
      <c r="B63" s="2" t="s">
        <v>126</v>
      </c>
      <c r="C63" s="2" t="s">
        <v>11</v>
      </c>
      <c r="D63" s="2" t="s">
        <v>12</v>
      </c>
      <c r="E63" s="2" t="s">
        <v>1159</v>
      </c>
      <c r="F63" s="2" t="s">
        <v>13</v>
      </c>
      <c r="G63" s="2" t="str">
        <f>VLOOKUP(F63,'Message Mapping'!A:L,3,FALSE)</f>
        <v>Transit;NORMAL;ATUADO;Error</v>
      </c>
      <c r="H63" s="2" t="str">
        <f>VLOOKUP(F63,'Message Mapping'!A:L,4,FALSE)</f>
        <v>0;1;2;3</v>
      </c>
      <c r="I63" s="2"/>
      <c r="J63" s="3" t="str">
        <f>VLOOKUP(F63,'Message Mapping'!A:L,12,FALSE)</f>
        <v>Severidade 4</v>
      </c>
      <c r="K63" s="3"/>
      <c r="L63" s="3"/>
      <c r="M63" s="3"/>
      <c r="N63" s="3"/>
      <c r="O63" s="3"/>
      <c r="P63" s="3"/>
    </row>
    <row r="64" spans="1:16" x14ac:dyDescent="0.25">
      <c r="A64" s="94" t="s">
        <v>127</v>
      </c>
      <c r="B64" s="2" t="s">
        <v>128</v>
      </c>
      <c r="C64" s="2" t="s">
        <v>11</v>
      </c>
      <c r="D64" s="2" t="s">
        <v>12</v>
      </c>
      <c r="E64" s="2" t="s">
        <v>1159</v>
      </c>
      <c r="F64" s="2" t="s">
        <v>13</v>
      </c>
      <c r="G64" s="2" t="str">
        <f>VLOOKUP(F64,'Message Mapping'!A:L,3,FALSE)</f>
        <v>Transit;NORMAL;ATUADO;Error</v>
      </c>
      <c r="H64" s="2" t="str">
        <f>VLOOKUP(F64,'Message Mapping'!A:L,4,FALSE)</f>
        <v>0;1;2;3</v>
      </c>
      <c r="I64" s="2"/>
      <c r="J64" s="3" t="str">
        <f>VLOOKUP(F64,'Message Mapping'!A:L,12,FALSE)</f>
        <v>Severidade 4</v>
      </c>
      <c r="K64" s="3"/>
      <c r="L64" s="3"/>
      <c r="M64" s="3"/>
      <c r="N64" s="3"/>
      <c r="O64" s="3"/>
      <c r="P64" s="3"/>
    </row>
    <row r="65" spans="1:16" x14ac:dyDescent="0.25">
      <c r="A65" s="94" t="s">
        <v>129</v>
      </c>
      <c r="B65" s="2" t="s">
        <v>130</v>
      </c>
      <c r="C65" s="2" t="s">
        <v>39</v>
      </c>
      <c r="D65" s="2" t="s">
        <v>12</v>
      </c>
      <c r="E65" s="2" t="s">
        <v>1159</v>
      </c>
      <c r="F65" s="2" t="s">
        <v>40</v>
      </c>
      <c r="G65" s="2" t="str">
        <f>VLOOKUP(F65,'Message Mapping'!A:L,3,FALSE)</f>
        <v>Transit;NORMAL;ATUADO;Error</v>
      </c>
      <c r="H65" s="2" t="str">
        <f>VLOOKUP(F65,'Message Mapping'!A:L,4,FALSE)</f>
        <v>0;1;2;3</v>
      </c>
      <c r="I65" s="2"/>
      <c r="J65" s="3" t="str">
        <f>VLOOKUP(F65,'Message Mapping'!A:L,12,FALSE)</f>
        <v>Severidade 4</v>
      </c>
      <c r="K65" s="3"/>
      <c r="L65" s="3"/>
      <c r="M65" s="3"/>
      <c r="N65" s="3"/>
      <c r="O65" s="3"/>
      <c r="P65" s="3"/>
    </row>
    <row r="66" spans="1:16" x14ac:dyDescent="0.25">
      <c r="A66" s="94" t="s">
        <v>131</v>
      </c>
      <c r="B66" s="2" t="s">
        <v>132</v>
      </c>
      <c r="C66" s="2" t="s">
        <v>11</v>
      </c>
      <c r="D66" s="2" t="s">
        <v>12</v>
      </c>
      <c r="E66" s="2" t="s">
        <v>1159</v>
      </c>
      <c r="F66" s="2" t="s">
        <v>133</v>
      </c>
      <c r="G66" s="2" t="str">
        <f>VLOOKUP(F66,'Message Mapping'!A:L,3,FALSE)</f>
        <v>Transit;NORMAL;ATUADO;Error</v>
      </c>
      <c r="H66" s="2" t="str">
        <f>VLOOKUP(F66,'Message Mapping'!A:L,4,FALSE)</f>
        <v>0;1;2;3</v>
      </c>
      <c r="I66" s="2"/>
      <c r="J66" s="3" t="str">
        <f>VLOOKUP(F66,'Message Mapping'!A:L,12,FALSE)</f>
        <v>Severidade 3</v>
      </c>
      <c r="K66" s="3"/>
      <c r="L66" s="3"/>
      <c r="M66" s="3"/>
      <c r="N66" s="3"/>
      <c r="O66" s="3"/>
      <c r="P66" s="3"/>
    </row>
    <row r="67" spans="1:16" ht="38.25" x14ac:dyDescent="0.25">
      <c r="A67" s="94" t="s">
        <v>4229</v>
      </c>
      <c r="B67" s="2" t="s">
        <v>134</v>
      </c>
      <c r="C67" s="2" t="s">
        <v>34</v>
      </c>
      <c r="D67" s="2" t="s">
        <v>35</v>
      </c>
      <c r="E67" s="2" t="s">
        <v>1160</v>
      </c>
      <c r="F67" s="2" t="s">
        <v>113</v>
      </c>
      <c r="G67" s="2" t="str">
        <f>VLOOKUP(F67,'Message Mapping'!A:L,3,FALSE)</f>
        <v>Transit;INCLUIDO;EXCLUIDO;Error</v>
      </c>
      <c r="H67" s="2" t="str">
        <f>VLOOKUP(F67,'Message Mapping'!A:L,4,FALSE)</f>
        <v>0;1;2;3</v>
      </c>
      <c r="I67" s="2"/>
      <c r="J67" s="3" t="str">
        <f>VLOOKUP(F67,'Message Mapping'!A:L,12,FALSE)</f>
        <v>Severidade 8</v>
      </c>
      <c r="K67" s="3" t="s">
        <v>1161</v>
      </c>
      <c r="L67" s="3"/>
      <c r="M67" s="3"/>
      <c r="N67" s="3"/>
      <c r="O67" s="3"/>
      <c r="P67" s="3"/>
    </row>
    <row r="68" spans="1:16" x14ac:dyDescent="0.25">
      <c r="A68" s="94" t="s">
        <v>4229</v>
      </c>
      <c r="B68" s="2" t="s">
        <v>134</v>
      </c>
      <c r="C68" s="2" t="s">
        <v>34</v>
      </c>
      <c r="D68" s="2" t="s">
        <v>35</v>
      </c>
      <c r="E68" s="2" t="s">
        <v>1159</v>
      </c>
      <c r="F68" s="2" t="s">
        <v>36</v>
      </c>
      <c r="G68" s="2" t="str">
        <f>VLOOKUP(F68,'Message Mapping'!A:L,3,FALSE)</f>
        <v>Transit;INCLUIDO;EXCLUIDO;Error</v>
      </c>
      <c r="H68" s="2" t="str">
        <f>VLOOKUP(F68,'Message Mapping'!A:L,4,FALSE)</f>
        <v>0;1;2;3</v>
      </c>
      <c r="I68" s="2"/>
      <c r="J68" s="3" t="str">
        <f>VLOOKUP(F68,'Message Mapping'!A:L,12,FALSE)</f>
        <v>Severidade 8</v>
      </c>
      <c r="K68" s="3" t="s">
        <v>1162</v>
      </c>
      <c r="L68" s="3"/>
      <c r="M68" s="3"/>
      <c r="N68" s="3"/>
      <c r="O68" s="3"/>
      <c r="P68" s="3"/>
    </row>
    <row r="69" spans="1:16" x14ac:dyDescent="0.25">
      <c r="A69" s="94" t="s">
        <v>135</v>
      </c>
      <c r="B69" s="2" t="s">
        <v>136</v>
      </c>
      <c r="C69" s="2" t="s">
        <v>39</v>
      </c>
      <c r="D69" s="2" t="s">
        <v>12</v>
      </c>
      <c r="E69" s="2" t="s">
        <v>1159</v>
      </c>
      <c r="F69" s="2" t="s">
        <v>40</v>
      </c>
      <c r="G69" s="2" t="str">
        <f>VLOOKUP(F69,'Message Mapping'!A:L,3,FALSE)</f>
        <v>Transit;NORMAL;ATUADO;Error</v>
      </c>
      <c r="H69" s="2" t="str">
        <f>VLOOKUP(F69,'Message Mapping'!A:L,4,FALSE)</f>
        <v>0;1;2;3</v>
      </c>
      <c r="I69" s="2"/>
      <c r="J69" s="3" t="str">
        <f>VLOOKUP(F69,'Message Mapping'!A:L,12,FALSE)</f>
        <v>Severidade 4</v>
      </c>
      <c r="K69" s="3"/>
      <c r="L69" s="3"/>
      <c r="M69" s="3"/>
      <c r="N69" s="3"/>
      <c r="O69" s="3"/>
      <c r="P69" s="3"/>
    </row>
    <row r="70" spans="1:16" x14ac:dyDescent="0.25">
      <c r="A70" s="94" t="s">
        <v>137</v>
      </c>
      <c r="B70" s="2" t="s">
        <v>138</v>
      </c>
      <c r="C70" s="2" t="s">
        <v>11</v>
      </c>
      <c r="D70" s="2" t="s">
        <v>12</v>
      </c>
      <c r="E70" s="2" t="s">
        <v>1159</v>
      </c>
      <c r="F70" s="2" t="s">
        <v>13</v>
      </c>
      <c r="G70" s="2" t="str">
        <f>VLOOKUP(F70,'Message Mapping'!A:L,3,FALSE)</f>
        <v>Transit;NORMAL;ATUADO;Error</v>
      </c>
      <c r="H70" s="2" t="str">
        <f>VLOOKUP(F70,'Message Mapping'!A:L,4,FALSE)</f>
        <v>0;1;2;3</v>
      </c>
      <c r="I70" s="2"/>
      <c r="J70" s="3" t="str">
        <f>VLOOKUP(F70,'Message Mapping'!A:L,12,FALSE)</f>
        <v>Severidade 4</v>
      </c>
      <c r="K70" s="3"/>
      <c r="L70" s="3"/>
      <c r="M70" s="3"/>
      <c r="N70" s="3"/>
      <c r="O70" s="3"/>
      <c r="P70" s="3"/>
    </row>
    <row r="71" spans="1:16" x14ac:dyDescent="0.25">
      <c r="A71" s="94" t="s">
        <v>4230</v>
      </c>
      <c r="B71" s="2" t="s">
        <v>139</v>
      </c>
      <c r="C71" s="2" t="s">
        <v>34</v>
      </c>
      <c r="D71" s="2" t="s">
        <v>35</v>
      </c>
      <c r="E71" s="2" t="s">
        <v>1160</v>
      </c>
      <c r="F71" s="2" t="s">
        <v>113</v>
      </c>
      <c r="G71" s="2" t="str">
        <f>VLOOKUP(F71,'Message Mapping'!A:L,3,FALSE)</f>
        <v>Transit;INCLUIDO;EXCLUIDO;Error</v>
      </c>
      <c r="H71" s="2" t="str">
        <f>VLOOKUP(F71,'Message Mapping'!A:L,4,FALSE)</f>
        <v>0;1;2;3</v>
      </c>
      <c r="I71" s="2"/>
      <c r="J71" s="3" t="str">
        <f>VLOOKUP(F71,'Message Mapping'!A:L,12,FALSE)</f>
        <v>Severidade 8</v>
      </c>
      <c r="K71" s="3"/>
      <c r="L71" s="3"/>
      <c r="M71" s="3"/>
      <c r="N71" s="3"/>
      <c r="O71" s="3"/>
      <c r="P71" s="3"/>
    </row>
    <row r="72" spans="1:16" x14ac:dyDescent="0.25">
      <c r="A72" s="94" t="s">
        <v>4230</v>
      </c>
      <c r="B72" s="2" t="s">
        <v>139</v>
      </c>
      <c r="C72" s="2" t="s">
        <v>34</v>
      </c>
      <c r="D72" s="2" t="s">
        <v>35</v>
      </c>
      <c r="E72" s="2" t="s">
        <v>1159</v>
      </c>
      <c r="F72" s="2" t="s">
        <v>36</v>
      </c>
      <c r="G72" s="2" t="str">
        <f>VLOOKUP(F72,'Message Mapping'!A:L,3,FALSE)</f>
        <v>Transit;INCLUIDO;EXCLUIDO;Error</v>
      </c>
      <c r="H72" s="2" t="str">
        <f>VLOOKUP(F72,'Message Mapping'!A:L,4,FALSE)</f>
        <v>0;1;2;3</v>
      </c>
      <c r="I72" s="2"/>
      <c r="J72" s="3" t="str">
        <f>VLOOKUP(F72,'Message Mapping'!A:L,12,FALSE)</f>
        <v>Severidade 8</v>
      </c>
      <c r="K72" s="3"/>
      <c r="L72" s="3"/>
      <c r="M72" s="3"/>
      <c r="N72" s="3"/>
      <c r="O72" s="3"/>
      <c r="P72" s="3"/>
    </row>
    <row r="73" spans="1:16" x14ac:dyDescent="0.25">
      <c r="A73" s="94" t="s">
        <v>141</v>
      </c>
      <c r="B73" s="2" t="s">
        <v>140</v>
      </c>
      <c r="C73" s="2" t="s">
        <v>11</v>
      </c>
      <c r="D73" s="2" t="s">
        <v>12</v>
      </c>
      <c r="E73" s="2" t="s">
        <v>1159</v>
      </c>
      <c r="F73" s="2" t="s">
        <v>13</v>
      </c>
      <c r="G73" s="2" t="str">
        <f>VLOOKUP(F73,'Message Mapping'!A:L,3,FALSE)</f>
        <v>Transit;NORMAL;ATUADO;Error</v>
      </c>
      <c r="H73" s="2" t="str">
        <f>VLOOKUP(F73,'Message Mapping'!A:L,4,FALSE)</f>
        <v>0;1;2;3</v>
      </c>
      <c r="I73" s="2"/>
      <c r="J73" s="3" t="str">
        <f>VLOOKUP(F73,'Message Mapping'!A:L,12,FALSE)</f>
        <v>Severidade 4</v>
      </c>
      <c r="K73" s="3"/>
      <c r="L73" s="3"/>
      <c r="M73" s="3"/>
      <c r="N73" s="3"/>
      <c r="O73" s="3"/>
      <c r="P73" s="3"/>
    </row>
    <row r="74" spans="1:16" x14ac:dyDescent="0.25">
      <c r="A74" s="94" t="s">
        <v>142</v>
      </c>
      <c r="B74" s="2" t="s">
        <v>4250</v>
      </c>
      <c r="C74" s="2" t="s">
        <v>11</v>
      </c>
      <c r="D74" s="2" t="s">
        <v>12</v>
      </c>
      <c r="E74" s="2" t="s">
        <v>1159</v>
      </c>
      <c r="F74" s="2" t="s">
        <v>13</v>
      </c>
      <c r="G74" s="2" t="str">
        <f>VLOOKUP(F74,'Message Mapping'!A:L,3,FALSE)</f>
        <v>Transit;NORMAL;ATUADO;Error</v>
      </c>
      <c r="H74" s="2" t="str">
        <f>VLOOKUP(F74,'Message Mapping'!A:L,4,FALSE)</f>
        <v>0;1;2;3</v>
      </c>
      <c r="I74" s="2"/>
      <c r="J74" s="3" t="str">
        <f>VLOOKUP(F74,'Message Mapping'!A:L,12,FALSE)</f>
        <v>Severidade 4</v>
      </c>
      <c r="K74" s="3"/>
      <c r="L74" s="3"/>
      <c r="M74" s="3"/>
      <c r="N74" s="3"/>
      <c r="O74" s="3"/>
      <c r="P74" s="3"/>
    </row>
    <row r="75" spans="1:16" x14ac:dyDescent="0.25">
      <c r="A75" s="96" t="s">
        <v>144</v>
      </c>
      <c r="B75" s="2" t="s">
        <v>143</v>
      </c>
      <c r="C75" s="2" t="s">
        <v>11</v>
      </c>
      <c r="D75" s="2" t="s">
        <v>12</v>
      </c>
      <c r="E75" s="2" t="s">
        <v>1159</v>
      </c>
      <c r="F75" s="2" t="s">
        <v>13</v>
      </c>
      <c r="G75" s="2" t="str">
        <f>VLOOKUP(F75,'Message Mapping'!A:L,3,FALSE)</f>
        <v>Transit;NORMAL;ATUADO;Error</v>
      </c>
      <c r="H75" s="2" t="str">
        <f>VLOOKUP(F75,'Message Mapping'!A:L,4,FALSE)</f>
        <v>0;1;2;3</v>
      </c>
      <c r="I75" s="2"/>
      <c r="J75" s="3" t="str">
        <f>VLOOKUP(F75,'Message Mapping'!A:L,12,FALSE)</f>
        <v>Severidade 4</v>
      </c>
      <c r="K75" s="3"/>
      <c r="L75" s="3"/>
      <c r="M75" s="3"/>
      <c r="N75" s="3"/>
      <c r="O75" s="3"/>
      <c r="P75" s="3"/>
    </row>
    <row r="76" spans="1:16" x14ac:dyDescent="0.25">
      <c r="A76" s="96" t="s">
        <v>146</v>
      </c>
      <c r="B76" s="2" t="s">
        <v>145</v>
      </c>
      <c r="C76" s="2" t="s">
        <v>11</v>
      </c>
      <c r="D76" s="2" t="s">
        <v>12</v>
      </c>
      <c r="E76" s="2" t="s">
        <v>1159</v>
      </c>
      <c r="F76" s="2" t="s">
        <v>13</v>
      </c>
      <c r="G76" s="2" t="str">
        <f>VLOOKUP(F76,'Message Mapping'!A:L,3,FALSE)</f>
        <v>Transit;NORMAL;ATUADO;Error</v>
      </c>
      <c r="H76" s="2" t="str">
        <f>VLOOKUP(F76,'Message Mapping'!A:L,4,FALSE)</f>
        <v>0;1;2;3</v>
      </c>
      <c r="I76" s="2"/>
      <c r="J76" s="3" t="str">
        <f>VLOOKUP(F76,'Message Mapping'!A:L,12,FALSE)</f>
        <v>Severidade 4</v>
      </c>
      <c r="K76" s="3"/>
      <c r="L76" s="3"/>
      <c r="M76" s="3"/>
      <c r="N76" s="3"/>
      <c r="O76" s="3"/>
      <c r="P76" s="3"/>
    </row>
    <row r="77" spans="1:16" x14ac:dyDescent="0.25">
      <c r="A77" s="94" t="s">
        <v>147</v>
      </c>
      <c r="B77" s="2" t="s">
        <v>148</v>
      </c>
      <c r="C77" s="2" t="s">
        <v>11</v>
      </c>
      <c r="D77" s="2" t="s">
        <v>12</v>
      </c>
      <c r="E77" s="2" t="s">
        <v>1159</v>
      </c>
      <c r="F77" s="2" t="s">
        <v>13</v>
      </c>
      <c r="G77" s="2" t="str">
        <f>VLOOKUP(F77,'Message Mapping'!A:L,3,FALSE)</f>
        <v>Transit;NORMAL;ATUADO;Error</v>
      </c>
      <c r="H77" s="2" t="str">
        <f>VLOOKUP(F77,'Message Mapping'!A:L,4,FALSE)</f>
        <v>0;1;2;3</v>
      </c>
      <c r="I77" s="2"/>
      <c r="J77" s="3" t="str">
        <f>VLOOKUP(F77,'Message Mapping'!A:L,12,FALSE)</f>
        <v>Severidade 4</v>
      </c>
      <c r="K77" s="3"/>
      <c r="L77" s="3"/>
      <c r="M77" s="3"/>
      <c r="N77" s="3"/>
      <c r="O77" s="3"/>
      <c r="P77" s="3"/>
    </row>
    <row r="78" spans="1:16" x14ac:dyDescent="0.25">
      <c r="A78" s="94" t="s">
        <v>149</v>
      </c>
      <c r="B78" s="2" t="s">
        <v>150</v>
      </c>
      <c r="C78" s="2" t="s">
        <v>11</v>
      </c>
      <c r="D78" s="2" t="s">
        <v>12</v>
      </c>
      <c r="E78" s="2" t="s">
        <v>1159</v>
      </c>
      <c r="F78" s="2" t="s">
        <v>13</v>
      </c>
      <c r="G78" s="2" t="str">
        <f>VLOOKUP(F78,'Message Mapping'!A:L,3,FALSE)</f>
        <v>Transit;NORMAL;ATUADO;Error</v>
      </c>
      <c r="H78" s="2" t="str">
        <f>VLOOKUP(F78,'Message Mapping'!A:L,4,FALSE)</f>
        <v>0;1;2;3</v>
      </c>
      <c r="I78" s="2"/>
      <c r="J78" s="3" t="str">
        <f>VLOOKUP(F78,'Message Mapping'!A:L,12,FALSE)</f>
        <v>Severidade 4</v>
      </c>
      <c r="K78" s="3"/>
      <c r="L78" s="3"/>
      <c r="M78" s="3"/>
      <c r="N78" s="3"/>
      <c r="O78" s="3"/>
      <c r="P78" s="3"/>
    </row>
    <row r="79" spans="1:16" x14ac:dyDescent="0.25">
      <c r="A79" s="94" t="s">
        <v>151</v>
      </c>
      <c r="B79" s="2" t="s">
        <v>152</v>
      </c>
      <c r="C79" s="2" t="s">
        <v>11</v>
      </c>
      <c r="D79" s="2" t="s">
        <v>12</v>
      </c>
      <c r="E79" s="2" t="s">
        <v>1159</v>
      </c>
      <c r="F79" s="2" t="s">
        <v>13</v>
      </c>
      <c r="G79" s="2" t="str">
        <f>VLOOKUP(F79,'Message Mapping'!A:L,3,FALSE)</f>
        <v>Transit;NORMAL;ATUADO;Error</v>
      </c>
      <c r="H79" s="2" t="str">
        <f>VLOOKUP(F79,'Message Mapping'!A:L,4,FALSE)</f>
        <v>0;1;2;3</v>
      </c>
      <c r="I79" s="2"/>
      <c r="J79" s="3" t="str">
        <f>VLOOKUP(F79,'Message Mapping'!A:L,12,FALSE)</f>
        <v>Severidade 4</v>
      </c>
      <c r="K79" s="3"/>
      <c r="L79" s="3"/>
      <c r="M79" s="3"/>
      <c r="N79" s="3"/>
      <c r="O79" s="3"/>
      <c r="P79" s="3"/>
    </row>
    <row r="80" spans="1:16" x14ac:dyDescent="0.25">
      <c r="A80" s="94" t="s">
        <v>154</v>
      </c>
      <c r="B80" s="2" t="s">
        <v>153</v>
      </c>
      <c r="C80" s="2" t="s">
        <v>11</v>
      </c>
      <c r="D80" s="2" t="s">
        <v>12</v>
      </c>
      <c r="E80" s="2" t="s">
        <v>1159</v>
      </c>
      <c r="F80" s="2" t="s">
        <v>13</v>
      </c>
      <c r="G80" s="2" t="str">
        <f>VLOOKUP(F80,'Message Mapping'!A:L,3,FALSE)</f>
        <v>Transit;NORMAL;ATUADO;Error</v>
      </c>
      <c r="H80" s="2" t="str">
        <f>VLOOKUP(F80,'Message Mapping'!A:L,4,FALSE)</f>
        <v>0;1;2;3</v>
      </c>
      <c r="I80" s="2"/>
      <c r="J80" s="3" t="str">
        <f>VLOOKUP(F80,'Message Mapping'!A:L,12,FALSE)</f>
        <v>Severidade 4</v>
      </c>
      <c r="K80" s="3"/>
      <c r="L80" s="3"/>
      <c r="M80" s="3"/>
      <c r="N80" s="3"/>
      <c r="O80" s="3"/>
      <c r="P80" s="3"/>
    </row>
    <row r="81" spans="1:16" x14ac:dyDescent="0.25">
      <c r="A81" s="94" t="s">
        <v>155</v>
      </c>
      <c r="B81" s="2" t="s">
        <v>156</v>
      </c>
      <c r="C81" s="2" t="s">
        <v>11</v>
      </c>
      <c r="D81" s="2" t="s">
        <v>12</v>
      </c>
      <c r="E81" s="2" t="s">
        <v>1159</v>
      </c>
      <c r="F81" s="2" t="s">
        <v>13</v>
      </c>
      <c r="G81" s="2" t="str">
        <f>VLOOKUP(F81,'Message Mapping'!A:L,3,FALSE)</f>
        <v>Transit;NORMAL;ATUADO;Error</v>
      </c>
      <c r="H81" s="2" t="str">
        <f>VLOOKUP(F81,'Message Mapping'!A:L,4,FALSE)</f>
        <v>0;1;2;3</v>
      </c>
      <c r="I81" s="2"/>
      <c r="J81" s="3" t="str">
        <f>VLOOKUP(F81,'Message Mapping'!A:L,12,FALSE)</f>
        <v>Severidade 4</v>
      </c>
      <c r="K81" s="3"/>
      <c r="L81" s="3"/>
      <c r="M81" s="3"/>
      <c r="N81" s="3"/>
      <c r="O81" s="3"/>
      <c r="P81" s="3"/>
    </row>
    <row r="82" spans="1:16" x14ac:dyDescent="0.25">
      <c r="A82" s="94" t="s">
        <v>157</v>
      </c>
      <c r="B82" s="2" t="s">
        <v>158</v>
      </c>
      <c r="C82" s="2" t="s">
        <v>11</v>
      </c>
      <c r="D82" s="2" t="s">
        <v>12</v>
      </c>
      <c r="E82" s="2" t="s">
        <v>1159</v>
      </c>
      <c r="F82" s="2" t="s">
        <v>13</v>
      </c>
      <c r="G82" s="2" t="str">
        <f>VLOOKUP(F82,'Message Mapping'!A:L,3,FALSE)</f>
        <v>Transit;NORMAL;ATUADO;Error</v>
      </c>
      <c r="H82" s="2" t="str">
        <f>VLOOKUP(F82,'Message Mapping'!A:L,4,FALSE)</f>
        <v>0;1;2;3</v>
      </c>
      <c r="I82" s="2"/>
      <c r="J82" s="3" t="str">
        <f>VLOOKUP(F82,'Message Mapping'!A:L,12,FALSE)</f>
        <v>Severidade 4</v>
      </c>
      <c r="K82" s="3"/>
      <c r="L82" s="3"/>
      <c r="M82" s="3"/>
      <c r="N82" s="3"/>
      <c r="O82" s="3"/>
      <c r="P82" s="3"/>
    </row>
    <row r="83" spans="1:16" x14ac:dyDescent="0.25">
      <c r="A83" s="94" t="s">
        <v>159</v>
      </c>
      <c r="B83" s="2" t="s">
        <v>160</v>
      </c>
      <c r="C83" s="2" t="s">
        <v>11</v>
      </c>
      <c r="D83" s="2" t="s">
        <v>12</v>
      </c>
      <c r="E83" s="2" t="s">
        <v>1159</v>
      </c>
      <c r="F83" s="2" t="s">
        <v>13</v>
      </c>
      <c r="G83" s="2" t="str">
        <f>VLOOKUP(F83,'Message Mapping'!A:L,3,FALSE)</f>
        <v>Transit;NORMAL;ATUADO;Error</v>
      </c>
      <c r="H83" s="2" t="str">
        <f>VLOOKUP(F83,'Message Mapping'!A:L,4,FALSE)</f>
        <v>0;1;2;3</v>
      </c>
      <c r="I83" s="2"/>
      <c r="J83" s="3" t="str">
        <f>VLOOKUP(F83,'Message Mapping'!A:L,12,FALSE)</f>
        <v>Severidade 4</v>
      </c>
      <c r="K83" s="3"/>
      <c r="L83" s="3"/>
      <c r="M83" s="3"/>
      <c r="N83" s="3"/>
      <c r="O83" s="3"/>
      <c r="P83" s="3"/>
    </row>
    <row r="84" spans="1:16" x14ac:dyDescent="0.25">
      <c r="A84" s="94" t="s">
        <v>161</v>
      </c>
      <c r="B84" s="2" t="s">
        <v>162</v>
      </c>
      <c r="C84" s="2" t="s">
        <v>11</v>
      </c>
      <c r="D84" s="2" t="s">
        <v>12</v>
      </c>
      <c r="E84" s="2" t="s">
        <v>1159</v>
      </c>
      <c r="F84" s="2" t="s">
        <v>13</v>
      </c>
      <c r="G84" s="2" t="str">
        <f>VLOOKUP(F84,'Message Mapping'!A:L,3,FALSE)</f>
        <v>Transit;NORMAL;ATUADO;Error</v>
      </c>
      <c r="H84" s="2" t="str">
        <f>VLOOKUP(F84,'Message Mapping'!A:L,4,FALSE)</f>
        <v>0;1;2;3</v>
      </c>
      <c r="I84" s="2"/>
      <c r="J84" s="3" t="str">
        <f>VLOOKUP(F84,'Message Mapping'!A:L,12,FALSE)</f>
        <v>Severidade 4</v>
      </c>
      <c r="K84" s="3"/>
      <c r="L84" s="3"/>
      <c r="M84" s="3"/>
      <c r="N84" s="3"/>
      <c r="O84" s="3"/>
      <c r="P84" s="3"/>
    </row>
    <row r="85" spans="1:16" x14ac:dyDescent="0.25">
      <c r="A85" s="94" t="s">
        <v>4231</v>
      </c>
      <c r="B85" s="2" t="s">
        <v>163</v>
      </c>
      <c r="C85" s="2" t="s">
        <v>11</v>
      </c>
      <c r="D85" s="2" t="s">
        <v>12</v>
      </c>
      <c r="E85" s="2" t="s">
        <v>1159</v>
      </c>
      <c r="F85" s="2" t="s">
        <v>13</v>
      </c>
      <c r="G85" s="2" t="str">
        <f>VLOOKUP(F85,'Message Mapping'!A:L,3,FALSE)</f>
        <v>Transit;NORMAL;ATUADO;Error</v>
      </c>
      <c r="H85" s="2" t="str">
        <f>VLOOKUP(F85,'Message Mapping'!A:L,4,FALSE)</f>
        <v>0;1;2;3</v>
      </c>
      <c r="I85" s="2"/>
      <c r="J85" s="3" t="str">
        <f>VLOOKUP(F85,'Message Mapping'!A:L,12,FALSE)</f>
        <v>Severidade 4</v>
      </c>
      <c r="K85" s="3"/>
      <c r="L85" s="3"/>
      <c r="M85" s="3"/>
      <c r="N85" s="3"/>
      <c r="O85" s="3"/>
      <c r="P85" s="3"/>
    </row>
    <row r="86" spans="1:16" x14ac:dyDescent="0.25">
      <c r="A86" s="94" t="s">
        <v>4232</v>
      </c>
      <c r="B86" s="2" t="s">
        <v>164</v>
      </c>
      <c r="C86" s="2" t="s">
        <v>39</v>
      </c>
      <c r="D86" s="2" t="s">
        <v>12</v>
      </c>
      <c r="E86" s="2" t="s">
        <v>1159</v>
      </c>
      <c r="F86" s="2" t="s">
        <v>40</v>
      </c>
      <c r="G86" s="2" t="str">
        <f>VLOOKUP(F86,'Message Mapping'!A:L,3,FALSE)</f>
        <v>Transit;NORMAL;ATUADO;Error</v>
      </c>
      <c r="H86" s="2" t="str">
        <f>VLOOKUP(F86,'Message Mapping'!A:L,4,FALSE)</f>
        <v>0;1;2;3</v>
      </c>
      <c r="I86" s="2"/>
      <c r="J86" s="3" t="str">
        <f>VLOOKUP(F86,'Message Mapping'!A:L,12,FALSE)</f>
        <v>Severidade 4</v>
      </c>
      <c r="K86" s="3"/>
      <c r="L86" s="3"/>
      <c r="M86" s="3"/>
      <c r="N86" s="3"/>
      <c r="O86" s="3"/>
      <c r="P86" s="3"/>
    </row>
    <row r="87" spans="1:16" x14ac:dyDescent="0.25">
      <c r="A87" s="94" t="s">
        <v>165</v>
      </c>
      <c r="B87" s="2" t="s">
        <v>166</v>
      </c>
      <c r="C87" s="2" t="s">
        <v>11</v>
      </c>
      <c r="D87" s="2" t="s">
        <v>35</v>
      </c>
      <c r="E87" s="2" t="s">
        <v>1159</v>
      </c>
      <c r="F87" s="2" t="s">
        <v>99</v>
      </c>
      <c r="G87" s="2" t="str">
        <f>VLOOKUP(F87,'Message Mapping'!A:L,3,FALSE)</f>
        <v>Transit;MANUAL;AUTOMATICO;Error</v>
      </c>
      <c r="H87" s="2" t="str">
        <f>VLOOKUP(F87,'Message Mapping'!A:L,4,FALSE)</f>
        <v>0;1;2;3</v>
      </c>
      <c r="I87" s="2"/>
      <c r="J87" s="3" t="str">
        <f>VLOOKUP(F87,'Message Mapping'!A:L,12,FALSE)</f>
        <v>Severidade 8</v>
      </c>
      <c r="K87" s="3"/>
      <c r="L87" s="3"/>
      <c r="M87" s="3"/>
      <c r="N87" s="3"/>
      <c r="O87" s="3"/>
      <c r="P87" s="3"/>
    </row>
    <row r="88" spans="1:16" x14ac:dyDescent="0.25">
      <c r="A88" s="94" t="s">
        <v>167</v>
      </c>
      <c r="B88" s="2" t="s">
        <v>168</v>
      </c>
      <c r="C88" s="2" t="s">
        <v>169</v>
      </c>
      <c r="D88" s="2" t="s">
        <v>35</v>
      </c>
      <c r="E88" s="2" t="s">
        <v>1159</v>
      </c>
      <c r="F88" s="2" t="s">
        <v>170</v>
      </c>
      <c r="G88" s="2" t="str">
        <f>VLOOKUP(F88,'Message Mapping'!A:L,3,FALSE)</f>
        <v>Transit;REMOTO;LOCAL;Error</v>
      </c>
      <c r="H88" s="2" t="str">
        <f>VLOOKUP(F88,'Message Mapping'!A:L,4,FALSE)</f>
        <v>0;1;2;3</v>
      </c>
      <c r="I88" s="2"/>
      <c r="J88" s="3" t="str">
        <f>VLOOKUP(F88,'Message Mapping'!A:L,12,FALSE)</f>
        <v>Severidade 8</v>
      </c>
      <c r="K88" s="3"/>
      <c r="L88" s="3"/>
      <c r="M88" s="3"/>
      <c r="N88" s="3"/>
      <c r="O88" s="3"/>
      <c r="P88" s="3"/>
    </row>
    <row r="89" spans="1:16" x14ac:dyDescent="0.25">
      <c r="A89" s="94" t="s">
        <v>183</v>
      </c>
      <c r="B89" s="2" t="s">
        <v>172</v>
      </c>
      <c r="C89" s="2" t="s">
        <v>11</v>
      </c>
      <c r="D89" s="2" t="s">
        <v>35</v>
      </c>
      <c r="E89" s="2" t="s">
        <v>1159</v>
      </c>
      <c r="F89" s="2" t="s">
        <v>115</v>
      </c>
      <c r="G89" s="2" t="str">
        <f>VLOOKUP(F89,'Message Mapping'!A:L,3,FALSE)</f>
        <v>Transit;REMOTO;LOCAL;Error</v>
      </c>
      <c r="H89" s="2" t="str">
        <f>VLOOKUP(F89,'Message Mapping'!A:L,4,FALSE)</f>
        <v>0;1;2;3</v>
      </c>
      <c r="I89" s="2"/>
      <c r="J89" s="3" t="str">
        <f>VLOOKUP(F89,'Message Mapping'!A:L,12,FALSE)</f>
        <v>Severidade 8</v>
      </c>
      <c r="K89" s="3"/>
      <c r="L89" s="3"/>
      <c r="M89" s="3"/>
      <c r="N89" s="3"/>
      <c r="O89" s="3"/>
      <c r="P89" s="3"/>
    </row>
    <row r="90" spans="1:16" x14ac:dyDescent="0.25">
      <c r="A90" s="94" t="s">
        <v>184</v>
      </c>
      <c r="B90" s="2" t="s">
        <v>1150</v>
      </c>
      <c r="C90" s="2" t="s">
        <v>11</v>
      </c>
      <c r="D90" s="2" t="s">
        <v>35</v>
      </c>
      <c r="E90" s="2" t="s">
        <v>1159</v>
      </c>
      <c r="F90" s="2" t="s">
        <v>115</v>
      </c>
      <c r="G90" s="2" t="str">
        <f>VLOOKUP(F90,'Message Mapping'!A:L,3,FALSE)</f>
        <v>Transit;REMOTO;LOCAL;Error</v>
      </c>
      <c r="H90" s="2" t="str">
        <f>VLOOKUP(F90,'Message Mapping'!A:L,4,FALSE)</f>
        <v>0;1;2;3</v>
      </c>
      <c r="I90" s="2"/>
      <c r="J90" s="3" t="str">
        <f>VLOOKUP(F90,'Message Mapping'!A:L,12,FALSE)</f>
        <v>Severidade 8</v>
      </c>
      <c r="K90" s="3"/>
      <c r="L90" s="3"/>
      <c r="M90" s="3"/>
      <c r="N90" s="3"/>
      <c r="O90" s="3"/>
      <c r="P90" s="3"/>
    </row>
    <row r="91" spans="1:16" x14ac:dyDescent="0.25">
      <c r="A91" s="94" t="s">
        <v>185</v>
      </c>
      <c r="B91" s="2" t="s">
        <v>1151</v>
      </c>
      <c r="C91" s="2" t="s">
        <v>11</v>
      </c>
      <c r="D91" s="2" t="s">
        <v>35</v>
      </c>
      <c r="E91" s="2" t="s">
        <v>1159</v>
      </c>
      <c r="F91" s="2" t="s">
        <v>115</v>
      </c>
      <c r="G91" s="2" t="str">
        <f>VLOOKUP(F91,'Message Mapping'!A:L,3,FALSE)</f>
        <v>Transit;REMOTO;LOCAL;Error</v>
      </c>
      <c r="H91" s="2" t="str">
        <f>VLOOKUP(F91,'Message Mapping'!A:L,4,FALSE)</f>
        <v>0;1;2;3</v>
      </c>
      <c r="I91" s="2"/>
      <c r="J91" s="3" t="str">
        <f>VLOOKUP(F91,'Message Mapping'!A:L,12,FALSE)</f>
        <v>Severidade 8</v>
      </c>
      <c r="K91" s="3"/>
      <c r="L91" s="3"/>
      <c r="M91" s="3"/>
      <c r="N91" s="3"/>
      <c r="O91" s="3"/>
      <c r="P91" s="3"/>
    </row>
    <row r="92" spans="1:16" x14ac:dyDescent="0.25">
      <c r="A92" s="94" t="s">
        <v>189</v>
      </c>
      <c r="B92" s="2" t="s">
        <v>1152</v>
      </c>
      <c r="C92" s="2" t="s">
        <v>11</v>
      </c>
      <c r="D92" s="2" t="s">
        <v>35</v>
      </c>
      <c r="E92" s="2" t="s">
        <v>1159</v>
      </c>
      <c r="F92" s="2" t="s">
        <v>115</v>
      </c>
      <c r="G92" s="2" t="str">
        <f>VLOOKUP(F92,'Message Mapping'!A:L,3,FALSE)</f>
        <v>Transit;REMOTO;LOCAL;Error</v>
      </c>
      <c r="H92" s="2" t="str">
        <f>VLOOKUP(F92,'Message Mapping'!A:L,4,FALSE)</f>
        <v>0;1;2;3</v>
      </c>
      <c r="I92" s="2"/>
      <c r="J92" s="3" t="str">
        <f>VLOOKUP(F92,'Message Mapping'!A:L,12,FALSE)</f>
        <v>Severidade 8</v>
      </c>
      <c r="K92" s="3"/>
      <c r="L92" s="3"/>
      <c r="M92" s="3"/>
      <c r="N92" s="3"/>
      <c r="O92" s="3"/>
      <c r="P92" s="3"/>
    </row>
    <row r="93" spans="1:16" x14ac:dyDescent="0.25">
      <c r="A93" s="94" t="s">
        <v>173</v>
      </c>
      <c r="B93" s="2" t="s">
        <v>174</v>
      </c>
      <c r="C93" s="2" t="s">
        <v>11</v>
      </c>
      <c r="D93" s="2" t="s">
        <v>35</v>
      </c>
      <c r="E93" s="2" t="s">
        <v>1159</v>
      </c>
      <c r="F93" s="2" t="s">
        <v>115</v>
      </c>
      <c r="G93" s="2" t="str">
        <f>VLOOKUP(F93,'Message Mapping'!A:L,3,FALSE)</f>
        <v>Transit;REMOTO;LOCAL;Error</v>
      </c>
      <c r="H93" s="2" t="str">
        <f>VLOOKUP(F93,'Message Mapping'!A:L,4,FALSE)</f>
        <v>0;1;2;3</v>
      </c>
      <c r="I93" s="2"/>
      <c r="J93" s="3" t="str">
        <f>VLOOKUP(F93,'Message Mapping'!A:L,12,FALSE)</f>
        <v>Severidade 8</v>
      </c>
      <c r="K93" s="3"/>
      <c r="L93" s="3"/>
      <c r="M93" s="3"/>
      <c r="N93" s="3"/>
      <c r="O93" s="3"/>
      <c r="P93" s="3"/>
    </row>
    <row r="94" spans="1:16" x14ac:dyDescent="0.25">
      <c r="A94" s="94" t="s">
        <v>175</v>
      </c>
      <c r="B94" s="2" t="s">
        <v>176</v>
      </c>
      <c r="C94" s="2" t="s">
        <v>11</v>
      </c>
      <c r="D94" s="2" t="s">
        <v>35</v>
      </c>
      <c r="E94" s="2" t="s">
        <v>1159</v>
      </c>
      <c r="F94" s="2" t="s">
        <v>115</v>
      </c>
      <c r="G94" s="2" t="str">
        <f>VLOOKUP(F94,'Message Mapping'!A:L,3,FALSE)</f>
        <v>Transit;REMOTO;LOCAL;Error</v>
      </c>
      <c r="H94" s="2" t="str">
        <f>VLOOKUP(F94,'Message Mapping'!A:L,4,FALSE)</f>
        <v>0;1;2;3</v>
      </c>
      <c r="I94" s="2"/>
      <c r="J94" s="3" t="str">
        <f>VLOOKUP(F94,'Message Mapping'!A:L,12,FALSE)</f>
        <v>Severidade 8</v>
      </c>
      <c r="K94" s="3"/>
      <c r="L94" s="3"/>
      <c r="M94" s="3"/>
      <c r="N94" s="3"/>
      <c r="O94" s="3"/>
      <c r="P94" s="3"/>
    </row>
    <row r="95" spans="1:16" x14ac:dyDescent="0.25">
      <c r="A95" s="94" t="s">
        <v>177</v>
      </c>
      <c r="B95" s="2" t="s">
        <v>178</v>
      </c>
      <c r="C95" s="2" t="s">
        <v>11</v>
      </c>
      <c r="D95" s="2" t="s">
        <v>35</v>
      </c>
      <c r="E95" s="2" t="s">
        <v>1159</v>
      </c>
      <c r="F95" s="2" t="s">
        <v>115</v>
      </c>
      <c r="G95" s="2" t="str">
        <f>VLOOKUP(F95,'Message Mapping'!A:L,3,FALSE)</f>
        <v>Transit;REMOTO;LOCAL;Error</v>
      </c>
      <c r="H95" s="2" t="str">
        <f>VLOOKUP(F95,'Message Mapping'!A:L,4,FALSE)</f>
        <v>0;1;2;3</v>
      </c>
      <c r="I95" s="2"/>
      <c r="J95" s="3" t="str">
        <f>VLOOKUP(F95,'Message Mapping'!A:L,12,FALSE)</f>
        <v>Severidade 8</v>
      </c>
      <c r="K95" s="3"/>
      <c r="L95" s="3"/>
      <c r="M95" s="3"/>
      <c r="N95" s="3"/>
      <c r="O95" s="3"/>
      <c r="P95" s="3"/>
    </row>
    <row r="96" spans="1:16" x14ac:dyDescent="0.25">
      <c r="A96" s="94" t="s">
        <v>179</v>
      </c>
      <c r="B96" s="2" t="s">
        <v>180</v>
      </c>
      <c r="C96" s="2" t="s">
        <v>169</v>
      </c>
      <c r="D96" s="2" t="s">
        <v>35</v>
      </c>
      <c r="E96" s="2" t="s">
        <v>1159</v>
      </c>
      <c r="F96" s="2" t="s">
        <v>181</v>
      </c>
      <c r="G96" s="2" t="str">
        <f>VLOOKUP(F96,'Message Mapping'!A:L,3,FALSE)</f>
        <v>Transit;INCLUIDO;EXCLUIDO;Error</v>
      </c>
      <c r="H96" s="2" t="str">
        <f>VLOOKUP(F96,'Message Mapping'!A:L,4,FALSE)</f>
        <v>0;1;2;3</v>
      </c>
      <c r="I96" s="2"/>
      <c r="J96" s="3" t="str">
        <f>VLOOKUP(F96,'Message Mapping'!A:L,12,FALSE)</f>
        <v>Severidade 8</v>
      </c>
      <c r="K96" s="3"/>
      <c r="L96" s="3"/>
      <c r="M96" s="3"/>
      <c r="N96" s="3"/>
      <c r="O96" s="3"/>
      <c r="P96" s="3"/>
    </row>
    <row r="97" spans="1:16" x14ac:dyDescent="0.25">
      <c r="A97" s="94" t="s">
        <v>186</v>
      </c>
      <c r="B97" s="2" t="s">
        <v>187</v>
      </c>
      <c r="C97" s="2" t="s">
        <v>11</v>
      </c>
      <c r="D97" s="2" t="s">
        <v>35</v>
      </c>
      <c r="E97" s="2" t="s">
        <v>1159</v>
      </c>
      <c r="F97" s="2" t="s">
        <v>1163</v>
      </c>
      <c r="G97" s="2" t="str">
        <f>VLOOKUP(F97,'Message Mapping'!A:L,3,FALSE)</f>
        <v>Transit;INCLUIDO;EXCLUIDO;Error</v>
      </c>
      <c r="H97" s="2" t="str">
        <f>VLOOKUP(F97,'Message Mapping'!A:L,4,FALSE)</f>
        <v>0;1;2;3</v>
      </c>
      <c r="I97" s="2"/>
      <c r="J97" s="3" t="str">
        <f>VLOOKUP(F97,'Message Mapping'!A:L,12,FALSE)</f>
        <v>Severidade 8</v>
      </c>
      <c r="K97" s="3"/>
      <c r="L97" s="3"/>
      <c r="M97" s="3"/>
      <c r="N97" s="3"/>
      <c r="O97" s="3"/>
      <c r="P97" s="3"/>
    </row>
    <row r="98" spans="1:16" x14ac:dyDescent="0.25">
      <c r="A98" s="94" t="s">
        <v>4233</v>
      </c>
      <c r="B98" s="2" t="s">
        <v>190</v>
      </c>
      <c r="C98" s="2" t="s">
        <v>39</v>
      </c>
      <c r="D98" s="2" t="s">
        <v>12</v>
      </c>
      <c r="E98" s="2" t="s">
        <v>1159</v>
      </c>
      <c r="F98" s="2" t="s">
        <v>40</v>
      </c>
      <c r="G98" s="2" t="str">
        <f>VLOOKUP(F98,'Message Mapping'!A:L,3,FALSE)</f>
        <v>Transit;NORMAL;ATUADO;Error</v>
      </c>
      <c r="H98" s="2" t="str">
        <f>VLOOKUP(F98,'Message Mapping'!A:L,4,FALSE)</f>
        <v>0;1;2;3</v>
      </c>
      <c r="I98" s="2"/>
      <c r="J98" s="3" t="str">
        <f>VLOOKUP(F98,'Message Mapping'!A:L,12,FALSE)</f>
        <v>Severidade 4</v>
      </c>
      <c r="K98" s="3"/>
      <c r="L98" s="3"/>
      <c r="M98" s="3"/>
      <c r="N98" s="3"/>
      <c r="O98" s="3"/>
      <c r="P98" s="3"/>
    </row>
    <row r="99" spans="1:16" x14ac:dyDescent="0.25">
      <c r="A99" s="96" t="s">
        <v>191</v>
      </c>
      <c r="B99" s="2" t="s">
        <v>192</v>
      </c>
      <c r="C99" s="2" t="s">
        <v>39</v>
      </c>
      <c r="D99" s="2" t="s">
        <v>12</v>
      </c>
      <c r="E99" s="2" t="s">
        <v>1159</v>
      </c>
      <c r="F99" s="2" t="s">
        <v>40</v>
      </c>
      <c r="G99" s="2" t="str">
        <f>VLOOKUP(F99,'Message Mapping'!A:L,3,FALSE)</f>
        <v>Transit;NORMAL;ATUADO;Error</v>
      </c>
      <c r="H99" s="2" t="str">
        <f>VLOOKUP(F99,'Message Mapping'!A:L,4,FALSE)</f>
        <v>0;1;2;3</v>
      </c>
      <c r="I99" s="2"/>
      <c r="J99" s="3" t="str">
        <f>VLOOKUP(F99,'Message Mapping'!A:L,12,FALSE)</f>
        <v>Severidade 4</v>
      </c>
      <c r="K99" s="3"/>
      <c r="L99" s="3"/>
      <c r="M99" s="3"/>
      <c r="N99" s="3"/>
      <c r="O99" s="3"/>
      <c r="P99" s="3"/>
    </row>
    <row r="100" spans="1:16" x14ac:dyDescent="0.25">
      <c r="A100" s="94" t="s">
        <v>193</v>
      </c>
      <c r="B100" s="2" t="s">
        <v>2833</v>
      </c>
      <c r="C100" s="2" t="s">
        <v>11</v>
      </c>
      <c r="D100" s="2" t="s">
        <v>12</v>
      </c>
      <c r="E100" s="2" t="s">
        <v>1159</v>
      </c>
      <c r="F100" s="2" t="s">
        <v>13</v>
      </c>
      <c r="G100" s="2" t="str">
        <f>VLOOKUP(F100,'Message Mapping'!A:L,3,FALSE)</f>
        <v>Transit;NORMAL;ATUADO;Error</v>
      </c>
      <c r="H100" s="2" t="str">
        <f>VLOOKUP(F100,'Message Mapping'!A:L,4,FALSE)</f>
        <v>0;1;2;3</v>
      </c>
      <c r="I100" s="2"/>
      <c r="J100" s="3" t="str">
        <f>VLOOKUP(F100,'Message Mapping'!A:L,12,FALSE)</f>
        <v>Severidade 4</v>
      </c>
      <c r="K100" s="3"/>
      <c r="L100" s="3"/>
      <c r="M100" s="3"/>
      <c r="N100" s="3"/>
      <c r="O100" s="3"/>
      <c r="P100" s="3"/>
    </row>
    <row r="101" spans="1:16" x14ac:dyDescent="0.25">
      <c r="A101" s="94" t="s">
        <v>194</v>
      </c>
      <c r="B101" s="2" t="s">
        <v>2834</v>
      </c>
      <c r="C101" s="2" t="s">
        <v>39</v>
      </c>
      <c r="D101" s="2" t="s">
        <v>12</v>
      </c>
      <c r="E101" s="2" t="s">
        <v>1159</v>
      </c>
      <c r="F101" s="2" t="s">
        <v>40</v>
      </c>
      <c r="G101" s="2" t="str">
        <f>VLOOKUP(F101,'Message Mapping'!A:L,3,FALSE)</f>
        <v>Transit;NORMAL;ATUADO;Error</v>
      </c>
      <c r="H101" s="2" t="str">
        <f>VLOOKUP(F101,'Message Mapping'!A:L,4,FALSE)</f>
        <v>0;1;2;3</v>
      </c>
      <c r="I101" s="2"/>
      <c r="J101" s="3" t="str">
        <f>VLOOKUP(F101,'Message Mapping'!A:L,12,FALSE)</f>
        <v>Severidade 4</v>
      </c>
      <c r="K101" s="3"/>
      <c r="L101" s="3"/>
      <c r="M101" s="3"/>
      <c r="N101" s="3"/>
      <c r="O101" s="3"/>
      <c r="P101" s="3"/>
    </row>
    <row r="102" spans="1:16" x14ac:dyDescent="0.25">
      <c r="A102" s="94" t="s">
        <v>195</v>
      </c>
      <c r="B102" s="2" t="s">
        <v>196</v>
      </c>
      <c r="C102" s="5" t="s">
        <v>39</v>
      </c>
      <c r="D102" s="2" t="s">
        <v>12</v>
      </c>
      <c r="E102" s="2" t="s">
        <v>1159</v>
      </c>
      <c r="F102" s="2" t="s">
        <v>40</v>
      </c>
      <c r="G102" s="2" t="str">
        <f>VLOOKUP(F102,'Message Mapping'!A:L,3,FALSE)</f>
        <v>Transit;NORMAL;ATUADO;Error</v>
      </c>
      <c r="H102" s="2" t="str">
        <f>VLOOKUP(F102,'Message Mapping'!A:L,4,FALSE)</f>
        <v>0;1;2;3</v>
      </c>
      <c r="I102" s="2"/>
      <c r="J102" s="3" t="str">
        <f>VLOOKUP(F102,'Message Mapping'!A:L,12,FALSE)</f>
        <v>Severidade 4</v>
      </c>
      <c r="K102" s="3"/>
      <c r="L102" s="3"/>
      <c r="M102" s="3"/>
      <c r="N102" s="3"/>
      <c r="O102" s="3"/>
      <c r="P102" s="3"/>
    </row>
    <row r="103" spans="1:16" x14ac:dyDescent="0.25">
      <c r="A103" s="94" t="s">
        <v>197</v>
      </c>
      <c r="B103" s="2" t="s">
        <v>2845</v>
      </c>
      <c r="C103" s="2" t="s">
        <v>39</v>
      </c>
      <c r="D103" s="2" t="s">
        <v>12</v>
      </c>
      <c r="E103" s="2" t="s">
        <v>1159</v>
      </c>
      <c r="F103" s="2" t="s">
        <v>40</v>
      </c>
      <c r="G103" s="2" t="str">
        <f>VLOOKUP(F103,'Message Mapping'!A:L,3,FALSE)</f>
        <v>Transit;NORMAL;ATUADO;Error</v>
      </c>
      <c r="H103" s="2" t="str">
        <f>VLOOKUP(F103,'Message Mapping'!A:L,4,FALSE)</f>
        <v>0;1;2;3</v>
      </c>
      <c r="I103" s="2"/>
      <c r="J103" s="3" t="str">
        <f>VLOOKUP(F103,'Message Mapping'!A:L,12,FALSE)</f>
        <v>Severidade 4</v>
      </c>
      <c r="K103" s="3"/>
      <c r="L103" s="3"/>
      <c r="M103" s="3"/>
      <c r="N103" s="3"/>
      <c r="O103" s="3"/>
      <c r="P103" s="3"/>
    </row>
    <row r="104" spans="1:16" x14ac:dyDescent="0.25">
      <c r="A104" s="94" t="s">
        <v>198</v>
      </c>
      <c r="B104" s="2" t="s">
        <v>2846</v>
      </c>
      <c r="C104" s="2" t="s">
        <v>39</v>
      </c>
      <c r="D104" s="2" t="s">
        <v>12</v>
      </c>
      <c r="E104" s="2" t="s">
        <v>1159</v>
      </c>
      <c r="F104" s="2" t="s">
        <v>40</v>
      </c>
      <c r="G104" s="2" t="str">
        <f>VLOOKUP(F104,'Message Mapping'!A:L,3,FALSE)</f>
        <v>Transit;NORMAL;ATUADO;Error</v>
      </c>
      <c r="H104" s="2" t="str">
        <f>VLOOKUP(F104,'Message Mapping'!A:L,4,FALSE)</f>
        <v>0;1;2;3</v>
      </c>
      <c r="I104" s="2"/>
      <c r="J104" s="3" t="str">
        <f>VLOOKUP(F104,'Message Mapping'!A:L,12,FALSE)</f>
        <v>Severidade 4</v>
      </c>
      <c r="K104" s="3"/>
      <c r="L104" s="3"/>
      <c r="M104" s="3"/>
      <c r="N104" s="3"/>
      <c r="O104" s="3"/>
      <c r="P104" s="3"/>
    </row>
    <row r="105" spans="1:16" x14ac:dyDescent="0.25">
      <c r="A105" s="94" t="s">
        <v>199</v>
      </c>
      <c r="B105" s="2" t="s">
        <v>2873</v>
      </c>
      <c r="C105" s="2" t="s">
        <v>39</v>
      </c>
      <c r="D105" s="2" t="s">
        <v>12</v>
      </c>
      <c r="E105" s="2" t="s">
        <v>1159</v>
      </c>
      <c r="F105" s="2" t="s">
        <v>40</v>
      </c>
      <c r="G105" s="2" t="str">
        <f>VLOOKUP(F105,'Message Mapping'!A:L,3,FALSE)</f>
        <v>Transit;NORMAL;ATUADO;Error</v>
      </c>
      <c r="H105" s="2" t="str">
        <f>VLOOKUP(F105,'Message Mapping'!A:L,4,FALSE)</f>
        <v>0;1;2;3</v>
      </c>
      <c r="I105" s="2"/>
      <c r="J105" s="3" t="str">
        <f>VLOOKUP(F105,'Message Mapping'!A:L,12,FALSE)</f>
        <v>Severidade 4</v>
      </c>
      <c r="K105" s="3"/>
      <c r="L105" s="3"/>
      <c r="M105" s="3"/>
      <c r="N105" s="3"/>
      <c r="O105" s="3"/>
      <c r="P105" s="3"/>
    </row>
    <row r="106" spans="1:16" x14ac:dyDescent="0.25">
      <c r="A106" s="94" t="s">
        <v>200</v>
      </c>
      <c r="B106" s="2" t="s">
        <v>2847</v>
      </c>
      <c r="C106" s="2" t="s">
        <v>39</v>
      </c>
      <c r="D106" s="2" t="s">
        <v>12</v>
      </c>
      <c r="E106" s="2" t="s">
        <v>1159</v>
      </c>
      <c r="F106" s="2" t="s">
        <v>40</v>
      </c>
      <c r="G106" s="2" t="str">
        <f>VLOOKUP(F106,'Message Mapping'!A:L,3,FALSE)</f>
        <v>Transit;NORMAL;ATUADO;Error</v>
      </c>
      <c r="H106" s="2" t="str">
        <f>VLOOKUP(F106,'Message Mapping'!A:L,4,FALSE)</f>
        <v>0;1;2;3</v>
      </c>
      <c r="I106" s="2"/>
      <c r="J106" s="3" t="str">
        <f>VLOOKUP(F106,'Message Mapping'!A:L,12,FALSE)</f>
        <v>Severidade 4</v>
      </c>
      <c r="K106" s="3"/>
      <c r="L106" s="3"/>
      <c r="M106" s="3"/>
      <c r="N106" s="3"/>
      <c r="O106" s="3"/>
      <c r="P106" s="3"/>
    </row>
    <row r="107" spans="1:16" x14ac:dyDescent="0.25">
      <c r="A107" s="94" t="s">
        <v>201</v>
      </c>
      <c r="B107" s="2" t="s">
        <v>2848</v>
      </c>
      <c r="C107" s="2" t="s">
        <v>39</v>
      </c>
      <c r="D107" s="2" t="s">
        <v>12</v>
      </c>
      <c r="E107" s="2" t="s">
        <v>1159</v>
      </c>
      <c r="F107" s="2" t="s">
        <v>40</v>
      </c>
      <c r="G107" s="2" t="str">
        <f>VLOOKUP(F107,'Message Mapping'!A:L,3,FALSE)</f>
        <v>Transit;NORMAL;ATUADO;Error</v>
      </c>
      <c r="H107" s="2" t="str">
        <f>VLOOKUP(F107,'Message Mapping'!A:L,4,FALSE)</f>
        <v>0;1;2;3</v>
      </c>
      <c r="I107" s="2"/>
      <c r="J107" s="3" t="str">
        <f>VLOOKUP(F107,'Message Mapping'!A:L,12,FALSE)</f>
        <v>Severidade 4</v>
      </c>
      <c r="K107" s="3"/>
      <c r="L107" s="3"/>
      <c r="M107" s="3"/>
      <c r="N107" s="3"/>
      <c r="O107" s="3"/>
      <c r="P107" s="3"/>
    </row>
    <row r="108" spans="1:16" x14ac:dyDescent="0.25">
      <c r="A108" s="94" t="s">
        <v>202</v>
      </c>
      <c r="B108" s="2" t="s">
        <v>2849</v>
      </c>
      <c r="C108" s="2" t="s">
        <v>39</v>
      </c>
      <c r="D108" s="2" t="s">
        <v>12</v>
      </c>
      <c r="E108" s="2" t="s">
        <v>1159</v>
      </c>
      <c r="F108" s="2" t="s">
        <v>40</v>
      </c>
      <c r="G108" s="2" t="str">
        <f>VLOOKUP(F108,'Message Mapping'!A:L,3,FALSE)</f>
        <v>Transit;NORMAL;ATUADO;Error</v>
      </c>
      <c r="H108" s="2" t="str">
        <f>VLOOKUP(F108,'Message Mapping'!A:L,4,FALSE)</f>
        <v>0;1;2;3</v>
      </c>
      <c r="I108" s="2"/>
      <c r="J108" s="3" t="str">
        <f>VLOOKUP(F108,'Message Mapping'!A:L,12,FALSE)</f>
        <v>Severidade 4</v>
      </c>
      <c r="K108" s="3"/>
      <c r="L108" s="3"/>
      <c r="M108" s="3"/>
      <c r="N108" s="3"/>
      <c r="O108" s="3"/>
      <c r="P108" s="3"/>
    </row>
    <row r="109" spans="1:16" x14ac:dyDescent="0.25">
      <c r="A109" s="94" t="s">
        <v>203</v>
      </c>
      <c r="B109" s="2" t="s">
        <v>2850</v>
      </c>
      <c r="C109" s="2" t="s">
        <v>39</v>
      </c>
      <c r="D109" s="2" t="s">
        <v>12</v>
      </c>
      <c r="E109" s="2" t="s">
        <v>1159</v>
      </c>
      <c r="F109" s="2" t="s">
        <v>40</v>
      </c>
      <c r="G109" s="2" t="str">
        <f>VLOOKUP(F109,'Message Mapping'!A:L,3,FALSE)</f>
        <v>Transit;NORMAL;ATUADO;Error</v>
      </c>
      <c r="H109" s="2" t="str">
        <f>VLOOKUP(F109,'Message Mapping'!A:L,4,FALSE)</f>
        <v>0;1;2;3</v>
      </c>
      <c r="I109" s="2"/>
      <c r="J109" s="3" t="str">
        <f>VLOOKUP(F109,'Message Mapping'!A:L,12,FALSE)</f>
        <v>Severidade 4</v>
      </c>
      <c r="K109" s="3"/>
      <c r="L109" s="3"/>
      <c r="M109" s="3"/>
      <c r="N109" s="3"/>
      <c r="O109" s="3"/>
      <c r="P109" s="3"/>
    </row>
    <row r="110" spans="1:16" x14ac:dyDescent="0.25">
      <c r="A110" s="94" t="s">
        <v>204</v>
      </c>
      <c r="B110" s="2" t="s">
        <v>2851</v>
      </c>
      <c r="C110" s="2" t="s">
        <v>39</v>
      </c>
      <c r="D110" s="2" t="s">
        <v>12</v>
      </c>
      <c r="E110" s="2" t="s">
        <v>1159</v>
      </c>
      <c r="F110" s="2" t="s">
        <v>40</v>
      </c>
      <c r="G110" s="2" t="str">
        <f>VLOOKUP(F110,'Message Mapping'!A:L,3,FALSE)</f>
        <v>Transit;NORMAL;ATUADO;Error</v>
      </c>
      <c r="H110" s="2" t="str">
        <f>VLOOKUP(F110,'Message Mapping'!A:L,4,FALSE)</f>
        <v>0;1;2;3</v>
      </c>
      <c r="I110" s="2"/>
      <c r="J110" s="3" t="str">
        <f>VLOOKUP(F110,'Message Mapping'!A:L,12,FALSE)</f>
        <v>Severidade 4</v>
      </c>
      <c r="K110" s="3"/>
      <c r="L110" s="3"/>
      <c r="M110" s="3"/>
      <c r="N110" s="3"/>
      <c r="O110" s="3"/>
      <c r="P110" s="3"/>
    </row>
    <row r="111" spans="1:16" x14ac:dyDescent="0.25">
      <c r="A111" s="94" t="s">
        <v>205</v>
      </c>
      <c r="B111" s="2" t="s">
        <v>2852</v>
      </c>
      <c r="C111" s="2" t="s">
        <v>39</v>
      </c>
      <c r="D111" s="2" t="s">
        <v>12</v>
      </c>
      <c r="E111" s="2" t="s">
        <v>1159</v>
      </c>
      <c r="F111" s="2" t="s">
        <v>40</v>
      </c>
      <c r="G111" s="2" t="str">
        <f>VLOOKUP(F111,'Message Mapping'!A:L,3,FALSE)</f>
        <v>Transit;NORMAL;ATUADO;Error</v>
      </c>
      <c r="H111" s="2" t="str">
        <f>VLOOKUP(F111,'Message Mapping'!A:L,4,FALSE)</f>
        <v>0;1;2;3</v>
      </c>
      <c r="I111" s="2"/>
      <c r="J111" s="3" t="str">
        <f>VLOOKUP(F111,'Message Mapping'!A:L,12,FALSE)</f>
        <v>Severidade 4</v>
      </c>
      <c r="K111" s="3"/>
      <c r="L111" s="3"/>
      <c r="M111" s="3"/>
      <c r="N111" s="3"/>
      <c r="O111" s="3"/>
      <c r="P111" s="3"/>
    </row>
    <row r="112" spans="1:16" x14ac:dyDescent="0.25">
      <c r="A112" s="94" t="s">
        <v>206</v>
      </c>
      <c r="B112" s="2" t="s">
        <v>2853</v>
      </c>
      <c r="C112" s="2" t="s">
        <v>39</v>
      </c>
      <c r="D112" s="2" t="s">
        <v>12</v>
      </c>
      <c r="E112" s="2" t="s">
        <v>1159</v>
      </c>
      <c r="F112" s="2" t="s">
        <v>40</v>
      </c>
      <c r="G112" s="2" t="str">
        <f>VLOOKUP(F112,'Message Mapping'!A:L,3,FALSE)</f>
        <v>Transit;NORMAL;ATUADO;Error</v>
      </c>
      <c r="H112" s="2" t="str">
        <f>VLOOKUP(F112,'Message Mapping'!A:L,4,FALSE)</f>
        <v>0;1;2;3</v>
      </c>
      <c r="I112" s="2"/>
      <c r="J112" s="3" t="str">
        <f>VLOOKUP(F112,'Message Mapping'!A:L,12,FALSE)</f>
        <v>Severidade 4</v>
      </c>
      <c r="K112" s="3"/>
      <c r="L112" s="3"/>
      <c r="M112" s="3"/>
      <c r="N112" s="3"/>
      <c r="O112" s="3"/>
      <c r="P112" s="3"/>
    </row>
    <row r="113" spans="1:16" x14ac:dyDescent="0.25">
      <c r="A113" s="94" t="s">
        <v>207</v>
      </c>
      <c r="B113" s="2" t="s">
        <v>2854</v>
      </c>
      <c r="C113" s="2" t="s">
        <v>39</v>
      </c>
      <c r="D113" s="2" t="s">
        <v>12</v>
      </c>
      <c r="E113" s="2" t="s">
        <v>1159</v>
      </c>
      <c r="F113" s="2" t="s">
        <v>40</v>
      </c>
      <c r="G113" s="2" t="str">
        <f>VLOOKUP(F113,'Message Mapping'!A:L,3,FALSE)</f>
        <v>Transit;NORMAL;ATUADO;Error</v>
      </c>
      <c r="H113" s="2" t="str">
        <f>VLOOKUP(F113,'Message Mapping'!A:L,4,FALSE)</f>
        <v>0;1;2;3</v>
      </c>
      <c r="I113" s="2"/>
      <c r="J113" s="3" t="str">
        <f>VLOOKUP(F113,'Message Mapping'!A:L,12,FALSE)</f>
        <v>Severidade 4</v>
      </c>
      <c r="K113" s="3"/>
      <c r="L113" s="3"/>
      <c r="M113" s="3"/>
      <c r="N113" s="3"/>
      <c r="O113" s="3"/>
      <c r="P113" s="3"/>
    </row>
    <row r="114" spans="1:16" x14ac:dyDescent="0.25">
      <c r="A114" s="94" t="s">
        <v>208</v>
      </c>
      <c r="B114" s="2" t="s">
        <v>2855</v>
      </c>
      <c r="C114" s="2" t="s">
        <v>39</v>
      </c>
      <c r="D114" s="2" t="s">
        <v>12</v>
      </c>
      <c r="E114" s="2" t="s">
        <v>1159</v>
      </c>
      <c r="F114" s="2" t="s">
        <v>40</v>
      </c>
      <c r="G114" s="2" t="str">
        <f>VLOOKUP(F114,'Message Mapping'!A:L,3,FALSE)</f>
        <v>Transit;NORMAL;ATUADO;Error</v>
      </c>
      <c r="H114" s="2" t="str">
        <f>VLOOKUP(F114,'Message Mapping'!A:L,4,FALSE)</f>
        <v>0;1;2;3</v>
      </c>
      <c r="I114" s="2"/>
      <c r="J114" s="3" t="str">
        <f>VLOOKUP(F114,'Message Mapping'!A:L,12,FALSE)</f>
        <v>Severidade 4</v>
      </c>
      <c r="K114" s="3"/>
      <c r="L114" s="3"/>
      <c r="M114" s="3"/>
      <c r="N114" s="3"/>
      <c r="O114" s="3"/>
      <c r="P114" s="3"/>
    </row>
    <row r="115" spans="1:16" x14ac:dyDescent="0.25">
      <c r="A115" s="94" t="s">
        <v>209</v>
      </c>
      <c r="B115" s="2" t="s">
        <v>2856</v>
      </c>
      <c r="C115" s="2" t="s">
        <v>39</v>
      </c>
      <c r="D115" s="2" t="s">
        <v>12</v>
      </c>
      <c r="E115" s="2" t="s">
        <v>1159</v>
      </c>
      <c r="F115" s="2" t="s">
        <v>40</v>
      </c>
      <c r="G115" s="2" t="str">
        <f>VLOOKUP(F115,'Message Mapping'!A:L,3,FALSE)</f>
        <v>Transit;NORMAL;ATUADO;Error</v>
      </c>
      <c r="H115" s="2" t="str">
        <f>VLOOKUP(F115,'Message Mapping'!A:L,4,FALSE)</f>
        <v>0;1;2;3</v>
      </c>
      <c r="I115" s="2"/>
      <c r="J115" s="3" t="str">
        <f>VLOOKUP(F115,'Message Mapping'!A:L,12,FALSE)</f>
        <v>Severidade 4</v>
      </c>
      <c r="K115" s="3"/>
      <c r="L115" s="3"/>
      <c r="M115" s="3"/>
      <c r="N115" s="3"/>
      <c r="O115" s="3"/>
      <c r="P115" s="3"/>
    </row>
    <row r="116" spans="1:16" x14ac:dyDescent="0.25">
      <c r="A116" s="94" t="s">
        <v>210</v>
      </c>
      <c r="B116" s="2" t="s">
        <v>2857</v>
      </c>
      <c r="C116" s="2" t="s">
        <v>39</v>
      </c>
      <c r="D116" s="2" t="s">
        <v>12</v>
      </c>
      <c r="E116" s="2" t="s">
        <v>1159</v>
      </c>
      <c r="F116" s="2" t="s">
        <v>40</v>
      </c>
      <c r="G116" s="2" t="str">
        <f>VLOOKUP(F116,'Message Mapping'!A:L,3,FALSE)</f>
        <v>Transit;NORMAL;ATUADO;Error</v>
      </c>
      <c r="H116" s="2" t="str">
        <f>VLOOKUP(F116,'Message Mapping'!A:L,4,FALSE)</f>
        <v>0;1;2;3</v>
      </c>
      <c r="I116" s="2"/>
      <c r="J116" s="3" t="str">
        <f>VLOOKUP(F116,'Message Mapping'!A:L,12,FALSE)</f>
        <v>Severidade 4</v>
      </c>
      <c r="K116" s="3"/>
      <c r="L116" s="3"/>
      <c r="M116" s="3"/>
      <c r="N116" s="3"/>
      <c r="O116" s="3"/>
      <c r="P116" s="3"/>
    </row>
    <row r="117" spans="1:16" x14ac:dyDescent="0.25">
      <c r="A117" s="94" t="s">
        <v>211</v>
      </c>
      <c r="B117" s="2" t="s">
        <v>2858</v>
      </c>
      <c r="C117" s="2" t="s">
        <v>39</v>
      </c>
      <c r="D117" s="2" t="s">
        <v>12</v>
      </c>
      <c r="E117" s="2" t="s">
        <v>1159</v>
      </c>
      <c r="F117" s="2" t="s">
        <v>40</v>
      </c>
      <c r="G117" s="2" t="str">
        <f>VLOOKUP(F117,'Message Mapping'!A:L,3,FALSE)</f>
        <v>Transit;NORMAL;ATUADO;Error</v>
      </c>
      <c r="H117" s="2" t="str">
        <f>VLOOKUP(F117,'Message Mapping'!A:L,4,FALSE)</f>
        <v>0;1;2;3</v>
      </c>
      <c r="I117" s="2"/>
      <c r="J117" s="3" t="str">
        <f>VLOOKUP(F117,'Message Mapping'!A:L,12,FALSE)</f>
        <v>Severidade 4</v>
      </c>
      <c r="K117" s="3"/>
      <c r="L117" s="3"/>
      <c r="M117" s="3"/>
      <c r="N117" s="3"/>
      <c r="O117" s="3"/>
      <c r="P117" s="3"/>
    </row>
    <row r="118" spans="1:16" x14ac:dyDescent="0.25">
      <c r="A118" s="94" t="s">
        <v>212</v>
      </c>
      <c r="B118" s="2" t="s">
        <v>2859</v>
      </c>
      <c r="C118" s="2" t="s">
        <v>39</v>
      </c>
      <c r="D118" s="2" t="s">
        <v>12</v>
      </c>
      <c r="E118" s="2" t="s">
        <v>1159</v>
      </c>
      <c r="F118" s="2" t="s">
        <v>40</v>
      </c>
      <c r="G118" s="2" t="str">
        <f>VLOOKUP(F118,'Message Mapping'!A:L,3,FALSE)</f>
        <v>Transit;NORMAL;ATUADO;Error</v>
      </c>
      <c r="H118" s="2" t="str">
        <f>VLOOKUP(F118,'Message Mapping'!A:L,4,FALSE)</f>
        <v>0;1;2;3</v>
      </c>
      <c r="I118" s="2"/>
      <c r="J118" s="3" t="str">
        <f>VLOOKUP(F118,'Message Mapping'!A:L,12,FALSE)</f>
        <v>Severidade 4</v>
      </c>
      <c r="K118" s="3"/>
      <c r="L118" s="3"/>
      <c r="M118" s="3"/>
      <c r="N118" s="3"/>
      <c r="O118" s="3"/>
      <c r="P118" s="3"/>
    </row>
    <row r="119" spans="1:16" x14ac:dyDescent="0.25">
      <c r="A119" s="94" t="s">
        <v>213</v>
      </c>
      <c r="B119" s="2" t="s">
        <v>2835</v>
      </c>
      <c r="C119" s="2" t="s">
        <v>39</v>
      </c>
      <c r="D119" s="2" t="s">
        <v>12</v>
      </c>
      <c r="E119" s="2" t="s">
        <v>1159</v>
      </c>
      <c r="F119" s="2" t="s">
        <v>40</v>
      </c>
      <c r="G119" s="2" t="str">
        <f>VLOOKUP(F119,'Message Mapping'!A:L,3,FALSE)</f>
        <v>Transit;NORMAL;ATUADO;Error</v>
      </c>
      <c r="H119" s="2" t="str">
        <f>VLOOKUP(F119,'Message Mapping'!A:L,4,FALSE)</f>
        <v>0;1;2;3</v>
      </c>
      <c r="I119" s="2"/>
      <c r="J119" s="3" t="str">
        <f>VLOOKUP(F119,'Message Mapping'!A:L,12,FALSE)</f>
        <v>Severidade 4</v>
      </c>
      <c r="K119" s="3"/>
      <c r="L119" s="3"/>
      <c r="M119" s="3"/>
      <c r="N119" s="3"/>
      <c r="O119" s="3"/>
      <c r="P119" s="3"/>
    </row>
    <row r="120" spans="1:16" x14ac:dyDescent="0.25">
      <c r="A120" s="94" t="s">
        <v>214</v>
      </c>
      <c r="B120" s="2" t="s">
        <v>2836</v>
      </c>
      <c r="C120" s="2" t="s">
        <v>39</v>
      </c>
      <c r="D120" s="2" t="s">
        <v>12</v>
      </c>
      <c r="E120" s="2" t="s">
        <v>1159</v>
      </c>
      <c r="F120" s="2" t="s">
        <v>40</v>
      </c>
      <c r="G120" s="2" t="str">
        <f>VLOOKUP(F120,'Message Mapping'!A:L,3,FALSE)</f>
        <v>Transit;NORMAL;ATUADO;Error</v>
      </c>
      <c r="H120" s="2" t="str">
        <f>VLOOKUP(F120,'Message Mapping'!A:L,4,FALSE)</f>
        <v>0;1;2;3</v>
      </c>
      <c r="I120" s="2"/>
      <c r="J120" s="3" t="str">
        <f>VLOOKUP(F120,'Message Mapping'!A:L,12,FALSE)</f>
        <v>Severidade 4</v>
      </c>
      <c r="K120" s="3"/>
      <c r="L120" s="3"/>
      <c r="M120" s="3"/>
      <c r="N120" s="3"/>
      <c r="O120" s="3"/>
      <c r="P120" s="3"/>
    </row>
    <row r="121" spans="1:16" x14ac:dyDescent="0.25">
      <c r="A121" s="94" t="s">
        <v>215</v>
      </c>
      <c r="B121" s="2" t="s">
        <v>2837</v>
      </c>
      <c r="C121" s="2" t="s">
        <v>39</v>
      </c>
      <c r="D121" s="2" t="s">
        <v>12</v>
      </c>
      <c r="E121" s="2" t="s">
        <v>1159</v>
      </c>
      <c r="F121" s="2" t="s">
        <v>40</v>
      </c>
      <c r="G121" s="2" t="str">
        <f>VLOOKUP(F121,'Message Mapping'!A:L,3,FALSE)</f>
        <v>Transit;NORMAL;ATUADO;Error</v>
      </c>
      <c r="H121" s="2" t="str">
        <f>VLOOKUP(F121,'Message Mapping'!A:L,4,FALSE)</f>
        <v>0;1;2;3</v>
      </c>
      <c r="I121" s="2"/>
      <c r="J121" s="3" t="str">
        <f>VLOOKUP(F121,'Message Mapping'!A:L,12,FALSE)</f>
        <v>Severidade 4</v>
      </c>
      <c r="K121" s="3"/>
      <c r="L121" s="3"/>
      <c r="M121" s="3"/>
      <c r="N121" s="3"/>
      <c r="O121" s="3"/>
      <c r="P121" s="3"/>
    </row>
    <row r="122" spans="1:16" x14ac:dyDescent="0.25">
      <c r="A122" s="94" t="s">
        <v>216</v>
      </c>
      <c r="B122" s="2" t="s">
        <v>2838</v>
      </c>
      <c r="C122" s="2" t="s">
        <v>39</v>
      </c>
      <c r="D122" s="2" t="s">
        <v>12</v>
      </c>
      <c r="E122" s="2" t="s">
        <v>1159</v>
      </c>
      <c r="F122" s="2" t="s">
        <v>40</v>
      </c>
      <c r="G122" s="2" t="str">
        <f>VLOOKUP(F122,'Message Mapping'!A:L,3,FALSE)</f>
        <v>Transit;NORMAL;ATUADO;Error</v>
      </c>
      <c r="H122" s="2" t="str">
        <f>VLOOKUP(F122,'Message Mapping'!A:L,4,FALSE)</f>
        <v>0;1;2;3</v>
      </c>
      <c r="I122" s="2"/>
      <c r="J122" s="3" t="str">
        <f>VLOOKUP(F122,'Message Mapping'!A:L,12,FALSE)</f>
        <v>Severidade 4</v>
      </c>
      <c r="K122" s="3"/>
      <c r="L122" s="3"/>
      <c r="M122" s="3"/>
      <c r="N122" s="3"/>
      <c r="O122" s="3"/>
      <c r="P122" s="3"/>
    </row>
    <row r="123" spans="1:16" x14ac:dyDescent="0.25">
      <c r="A123" s="94" t="s">
        <v>217</v>
      </c>
      <c r="B123" s="2" t="s">
        <v>2839</v>
      </c>
      <c r="C123" s="2" t="s">
        <v>39</v>
      </c>
      <c r="D123" s="2" t="s">
        <v>12</v>
      </c>
      <c r="E123" s="2" t="s">
        <v>1159</v>
      </c>
      <c r="F123" s="2" t="s">
        <v>40</v>
      </c>
      <c r="G123" s="2" t="str">
        <f>VLOOKUP(F123,'Message Mapping'!A:L,3,FALSE)</f>
        <v>Transit;NORMAL;ATUADO;Error</v>
      </c>
      <c r="H123" s="2" t="str">
        <f>VLOOKUP(F123,'Message Mapping'!A:L,4,FALSE)</f>
        <v>0;1;2;3</v>
      </c>
      <c r="I123" s="2"/>
      <c r="J123" s="3" t="str">
        <f>VLOOKUP(F123,'Message Mapping'!A:L,12,FALSE)</f>
        <v>Severidade 4</v>
      </c>
      <c r="K123" s="3"/>
      <c r="L123" s="3"/>
      <c r="M123" s="3"/>
      <c r="N123" s="3"/>
      <c r="O123" s="3"/>
      <c r="P123" s="3"/>
    </row>
    <row r="124" spans="1:16" x14ac:dyDescent="0.25">
      <c r="A124" s="94" t="s">
        <v>218</v>
      </c>
      <c r="B124" s="2" t="s">
        <v>2840</v>
      </c>
      <c r="C124" s="2" t="s">
        <v>39</v>
      </c>
      <c r="D124" s="2" t="s">
        <v>12</v>
      </c>
      <c r="E124" s="2" t="s">
        <v>1159</v>
      </c>
      <c r="F124" s="2" t="s">
        <v>40</v>
      </c>
      <c r="G124" s="2" t="str">
        <f>VLOOKUP(F124,'Message Mapping'!A:L,3,FALSE)</f>
        <v>Transit;NORMAL;ATUADO;Error</v>
      </c>
      <c r="H124" s="2" t="str">
        <f>VLOOKUP(F124,'Message Mapping'!A:L,4,FALSE)</f>
        <v>0;1;2;3</v>
      </c>
      <c r="I124" s="2"/>
      <c r="J124" s="3" t="str">
        <f>VLOOKUP(F124,'Message Mapping'!A:L,12,FALSE)</f>
        <v>Severidade 4</v>
      </c>
      <c r="K124" s="3"/>
      <c r="L124" s="3"/>
      <c r="M124" s="3"/>
      <c r="N124" s="3"/>
      <c r="O124" s="3"/>
      <c r="P124" s="3"/>
    </row>
    <row r="125" spans="1:16" x14ac:dyDescent="0.25">
      <c r="A125" s="94" t="s">
        <v>219</v>
      </c>
      <c r="B125" s="2" t="s">
        <v>2841</v>
      </c>
      <c r="C125" s="2" t="s">
        <v>39</v>
      </c>
      <c r="D125" s="2" t="s">
        <v>12</v>
      </c>
      <c r="E125" s="2" t="s">
        <v>1159</v>
      </c>
      <c r="F125" s="2" t="s">
        <v>40</v>
      </c>
      <c r="G125" s="2" t="str">
        <f>VLOOKUP(F125,'Message Mapping'!A:L,3,FALSE)</f>
        <v>Transit;NORMAL;ATUADO;Error</v>
      </c>
      <c r="H125" s="2" t="str">
        <f>VLOOKUP(F125,'Message Mapping'!A:L,4,FALSE)</f>
        <v>0;1;2;3</v>
      </c>
      <c r="I125" s="2"/>
      <c r="J125" s="3" t="str">
        <f>VLOOKUP(F125,'Message Mapping'!A:L,12,FALSE)</f>
        <v>Severidade 4</v>
      </c>
      <c r="K125" s="3"/>
      <c r="L125" s="3"/>
      <c r="M125" s="3"/>
      <c r="N125" s="3"/>
      <c r="O125" s="3"/>
      <c r="P125" s="3"/>
    </row>
    <row r="126" spans="1:16" x14ac:dyDescent="0.25">
      <c r="A126" s="94" t="s">
        <v>220</v>
      </c>
      <c r="B126" s="2" t="s">
        <v>2842</v>
      </c>
      <c r="C126" s="2" t="s">
        <v>39</v>
      </c>
      <c r="D126" s="2" t="s">
        <v>12</v>
      </c>
      <c r="E126" s="2" t="s">
        <v>1159</v>
      </c>
      <c r="F126" s="2" t="s">
        <v>40</v>
      </c>
      <c r="G126" s="2" t="str">
        <f>VLOOKUP(F126,'Message Mapping'!A:L,3,FALSE)</f>
        <v>Transit;NORMAL;ATUADO;Error</v>
      </c>
      <c r="H126" s="2" t="str">
        <f>VLOOKUP(F126,'Message Mapping'!A:L,4,FALSE)</f>
        <v>0;1;2;3</v>
      </c>
      <c r="I126" s="2"/>
      <c r="J126" s="3" t="str">
        <f>VLOOKUP(F126,'Message Mapping'!A:L,12,FALSE)</f>
        <v>Severidade 4</v>
      </c>
      <c r="K126" s="3"/>
      <c r="L126" s="3"/>
      <c r="M126" s="3"/>
      <c r="N126" s="3"/>
      <c r="O126" s="3"/>
      <c r="P126" s="3"/>
    </row>
    <row r="127" spans="1:16" x14ac:dyDescent="0.25">
      <c r="A127" s="94" t="s">
        <v>221</v>
      </c>
      <c r="B127" s="2" t="s">
        <v>2843</v>
      </c>
      <c r="C127" s="2" t="s">
        <v>39</v>
      </c>
      <c r="D127" s="2" t="s">
        <v>12</v>
      </c>
      <c r="E127" s="2" t="s">
        <v>1159</v>
      </c>
      <c r="F127" s="2" t="s">
        <v>40</v>
      </c>
      <c r="G127" s="2" t="str">
        <f>VLOOKUP(F127,'Message Mapping'!A:L,3,FALSE)</f>
        <v>Transit;NORMAL;ATUADO;Error</v>
      </c>
      <c r="H127" s="2" t="str">
        <f>VLOOKUP(F127,'Message Mapping'!A:L,4,FALSE)</f>
        <v>0;1;2;3</v>
      </c>
      <c r="I127" s="2"/>
      <c r="J127" s="3" t="str">
        <f>VLOOKUP(F127,'Message Mapping'!A:L,12,FALSE)</f>
        <v>Severidade 4</v>
      </c>
      <c r="K127" s="3"/>
      <c r="L127" s="3"/>
      <c r="M127" s="3"/>
      <c r="N127" s="3"/>
      <c r="O127" s="3"/>
      <c r="P127" s="3"/>
    </row>
    <row r="128" spans="1:16" x14ac:dyDescent="0.25">
      <c r="A128" s="94" t="s">
        <v>222</v>
      </c>
      <c r="B128" s="2" t="s">
        <v>2844</v>
      </c>
      <c r="C128" s="2" t="s">
        <v>39</v>
      </c>
      <c r="D128" s="2" t="s">
        <v>12</v>
      </c>
      <c r="E128" s="2" t="s">
        <v>1159</v>
      </c>
      <c r="F128" s="2" t="s">
        <v>40</v>
      </c>
      <c r="G128" s="2" t="str">
        <f>VLOOKUP(F128,'Message Mapping'!A:L,3,FALSE)</f>
        <v>Transit;NORMAL;ATUADO;Error</v>
      </c>
      <c r="H128" s="2" t="str">
        <f>VLOOKUP(F128,'Message Mapping'!A:L,4,FALSE)</f>
        <v>0;1;2;3</v>
      </c>
      <c r="I128" s="2"/>
      <c r="J128" s="3" t="str">
        <f>VLOOKUP(F128,'Message Mapping'!A:L,12,FALSE)</f>
        <v>Severidade 4</v>
      </c>
      <c r="K128" s="3"/>
      <c r="L128" s="3"/>
      <c r="M128" s="3"/>
      <c r="N128" s="3"/>
      <c r="O128" s="3"/>
      <c r="P128" s="3"/>
    </row>
    <row r="129" spans="1:16" x14ac:dyDescent="0.25">
      <c r="A129" s="94" t="s">
        <v>223</v>
      </c>
      <c r="B129" s="2" t="s">
        <v>224</v>
      </c>
      <c r="C129" s="2" t="s">
        <v>39</v>
      </c>
      <c r="D129" s="2" t="s">
        <v>12</v>
      </c>
      <c r="E129" s="2" t="s">
        <v>1159</v>
      </c>
      <c r="F129" s="2" t="s">
        <v>40</v>
      </c>
      <c r="G129" s="2" t="str">
        <f>VLOOKUP(F129,'Message Mapping'!A:L,3,FALSE)</f>
        <v>Transit;NORMAL;ATUADO;Error</v>
      </c>
      <c r="H129" s="2" t="str">
        <f>VLOOKUP(F129,'Message Mapping'!A:L,4,FALSE)</f>
        <v>0;1;2;3</v>
      </c>
      <c r="I129" s="2"/>
      <c r="J129" s="3" t="str">
        <f>VLOOKUP(F129,'Message Mapping'!A:L,12,FALSE)</f>
        <v>Severidade 4</v>
      </c>
      <c r="K129" s="3"/>
      <c r="L129" s="3"/>
      <c r="M129" s="3"/>
      <c r="N129" s="3"/>
      <c r="O129" s="3"/>
      <c r="P129" s="3"/>
    </row>
    <row r="130" spans="1:16" x14ac:dyDescent="0.25">
      <c r="A130" s="94" t="s">
        <v>225</v>
      </c>
      <c r="B130" s="2" t="s">
        <v>2860</v>
      </c>
      <c r="C130" s="2" t="s">
        <v>34</v>
      </c>
      <c r="D130" s="2" t="s">
        <v>35</v>
      </c>
      <c r="E130" s="2" t="s">
        <v>1160</v>
      </c>
      <c r="F130" s="2" t="s">
        <v>113</v>
      </c>
      <c r="G130" s="2" t="str">
        <f>VLOOKUP(F130,'Message Mapping'!A:L,3,FALSE)</f>
        <v>Transit;INCLUIDO;EXCLUIDO;Error</v>
      </c>
      <c r="H130" s="2" t="str">
        <f>VLOOKUP(F130,'Message Mapping'!A:L,4,FALSE)</f>
        <v>0;1;2;3</v>
      </c>
      <c r="I130" s="2"/>
      <c r="J130" s="3" t="str">
        <f>VLOOKUP(F130,'Message Mapping'!A:L,12,FALSE)</f>
        <v>Severidade 8</v>
      </c>
      <c r="K130" s="3"/>
      <c r="L130" s="3"/>
      <c r="M130" s="3"/>
      <c r="N130" s="3"/>
      <c r="O130" s="3"/>
      <c r="P130" s="3"/>
    </row>
    <row r="131" spans="1:16" x14ac:dyDescent="0.25">
      <c r="A131" s="94" t="s">
        <v>225</v>
      </c>
      <c r="B131" s="2" t="s">
        <v>2860</v>
      </c>
      <c r="C131" s="2" t="s">
        <v>34</v>
      </c>
      <c r="D131" s="2" t="s">
        <v>35</v>
      </c>
      <c r="E131" s="2" t="s">
        <v>1159</v>
      </c>
      <c r="F131" s="2" t="s">
        <v>36</v>
      </c>
      <c r="G131" s="2" t="str">
        <f>VLOOKUP(F131,'Message Mapping'!A:L,3,FALSE)</f>
        <v>Transit;INCLUIDO;EXCLUIDO;Error</v>
      </c>
      <c r="H131" s="2" t="str">
        <f>VLOOKUP(F131,'Message Mapping'!A:L,4,FALSE)</f>
        <v>0;1;2;3</v>
      </c>
      <c r="I131" s="2"/>
      <c r="J131" s="3" t="str">
        <f>VLOOKUP(F131,'Message Mapping'!A:L,12,FALSE)</f>
        <v>Severidade 8</v>
      </c>
      <c r="K131" s="3"/>
      <c r="L131" s="3"/>
      <c r="M131" s="3"/>
      <c r="N131" s="3"/>
      <c r="O131" s="3"/>
      <c r="P131" s="3"/>
    </row>
    <row r="132" spans="1:16" x14ac:dyDescent="0.25">
      <c r="A132" s="94" t="s">
        <v>226</v>
      </c>
      <c r="B132" s="2" t="s">
        <v>2861</v>
      </c>
      <c r="C132" s="2" t="s">
        <v>39</v>
      </c>
      <c r="D132" s="2" t="s">
        <v>12</v>
      </c>
      <c r="E132" s="2" t="s">
        <v>1159</v>
      </c>
      <c r="F132" s="2" t="s">
        <v>40</v>
      </c>
      <c r="G132" s="2" t="str">
        <f>VLOOKUP(F132,'Message Mapping'!A:L,3,FALSE)</f>
        <v>Transit;NORMAL;ATUADO;Error</v>
      </c>
      <c r="H132" s="2" t="str">
        <f>VLOOKUP(F132,'Message Mapping'!A:L,4,FALSE)</f>
        <v>0;1;2;3</v>
      </c>
      <c r="I132" s="2"/>
      <c r="J132" s="3" t="str">
        <f>VLOOKUP(F132,'Message Mapping'!A:L,12,FALSE)</f>
        <v>Severidade 4</v>
      </c>
      <c r="K132" s="3"/>
      <c r="L132" s="3"/>
      <c r="M132" s="3"/>
      <c r="N132" s="3"/>
      <c r="O132" s="3"/>
      <c r="P132" s="3"/>
    </row>
    <row r="133" spans="1:16" x14ac:dyDescent="0.25">
      <c r="A133" s="94" t="s">
        <v>227</v>
      </c>
      <c r="B133" s="2" t="s">
        <v>2862</v>
      </c>
      <c r="C133" s="2" t="s">
        <v>39</v>
      </c>
      <c r="D133" s="2" t="s">
        <v>12</v>
      </c>
      <c r="E133" s="2" t="s">
        <v>1159</v>
      </c>
      <c r="F133" s="2" t="s">
        <v>40</v>
      </c>
      <c r="G133" s="2" t="str">
        <f>VLOOKUP(F133,'Message Mapping'!A:L,3,FALSE)</f>
        <v>Transit;NORMAL;ATUADO;Error</v>
      </c>
      <c r="H133" s="2" t="str">
        <f>VLOOKUP(F133,'Message Mapping'!A:L,4,FALSE)</f>
        <v>0;1;2;3</v>
      </c>
      <c r="I133" s="2"/>
      <c r="J133" s="3" t="str">
        <f>VLOOKUP(F133,'Message Mapping'!A:L,12,FALSE)</f>
        <v>Severidade 4</v>
      </c>
      <c r="K133" s="3"/>
      <c r="L133" s="3"/>
      <c r="M133" s="3"/>
      <c r="N133" s="3"/>
      <c r="O133" s="3"/>
      <c r="P133" s="3"/>
    </row>
    <row r="134" spans="1:16" x14ac:dyDescent="0.25">
      <c r="A134" s="94" t="s">
        <v>228</v>
      </c>
      <c r="B134" s="2" t="s">
        <v>2863</v>
      </c>
      <c r="C134" s="2" t="s">
        <v>39</v>
      </c>
      <c r="D134" s="2" t="s">
        <v>12</v>
      </c>
      <c r="E134" s="2" t="s">
        <v>1159</v>
      </c>
      <c r="F134" s="2" t="s">
        <v>40</v>
      </c>
      <c r="G134" s="2" t="str">
        <f>VLOOKUP(F134,'Message Mapping'!A:L,3,FALSE)</f>
        <v>Transit;NORMAL;ATUADO;Error</v>
      </c>
      <c r="H134" s="2" t="str">
        <f>VLOOKUP(F134,'Message Mapping'!A:L,4,FALSE)</f>
        <v>0;1;2;3</v>
      </c>
      <c r="I134" s="2"/>
      <c r="J134" s="3" t="str">
        <f>VLOOKUP(F134,'Message Mapping'!A:L,12,FALSE)</f>
        <v>Severidade 4</v>
      </c>
      <c r="K134" s="3"/>
      <c r="L134" s="3"/>
      <c r="M134" s="3"/>
      <c r="N134" s="3"/>
      <c r="O134" s="3"/>
      <c r="P134" s="3"/>
    </row>
    <row r="135" spans="1:16" x14ac:dyDescent="0.25">
      <c r="A135" s="94" t="s">
        <v>229</v>
      </c>
      <c r="B135" s="2" t="s">
        <v>2864</v>
      </c>
      <c r="C135" s="2" t="s">
        <v>39</v>
      </c>
      <c r="D135" s="2" t="s">
        <v>12</v>
      </c>
      <c r="E135" s="2" t="s">
        <v>1159</v>
      </c>
      <c r="F135" s="2" t="s">
        <v>40</v>
      </c>
      <c r="G135" s="2" t="str">
        <f>VLOOKUP(F135,'Message Mapping'!A:L,3,FALSE)</f>
        <v>Transit;NORMAL;ATUADO;Error</v>
      </c>
      <c r="H135" s="2" t="str">
        <f>VLOOKUP(F135,'Message Mapping'!A:L,4,FALSE)</f>
        <v>0;1;2;3</v>
      </c>
      <c r="I135" s="2"/>
      <c r="J135" s="3" t="str">
        <f>VLOOKUP(F135,'Message Mapping'!A:L,12,FALSE)</f>
        <v>Severidade 4</v>
      </c>
      <c r="K135" s="3"/>
      <c r="L135" s="3"/>
      <c r="M135" s="3"/>
      <c r="N135" s="3"/>
      <c r="O135" s="3"/>
      <c r="P135" s="3"/>
    </row>
    <row r="136" spans="1:16" x14ac:dyDescent="0.25">
      <c r="A136" s="94" t="s">
        <v>230</v>
      </c>
      <c r="B136" s="2" t="s">
        <v>2865</v>
      </c>
      <c r="C136" s="2" t="s">
        <v>39</v>
      </c>
      <c r="D136" s="2" t="s">
        <v>12</v>
      </c>
      <c r="E136" s="2" t="s">
        <v>1159</v>
      </c>
      <c r="F136" s="2" t="s">
        <v>40</v>
      </c>
      <c r="G136" s="2" t="str">
        <f>VLOOKUP(F136,'Message Mapping'!A:L,3,FALSE)</f>
        <v>Transit;NORMAL;ATUADO;Error</v>
      </c>
      <c r="H136" s="2" t="str">
        <f>VLOOKUP(F136,'Message Mapping'!A:L,4,FALSE)</f>
        <v>0;1;2;3</v>
      </c>
      <c r="I136" s="2"/>
      <c r="J136" s="3" t="str">
        <f>VLOOKUP(F136,'Message Mapping'!A:L,12,FALSE)</f>
        <v>Severidade 4</v>
      </c>
      <c r="K136" s="3"/>
      <c r="L136" s="3"/>
      <c r="M136" s="3"/>
      <c r="N136" s="3"/>
      <c r="O136" s="3"/>
      <c r="P136" s="3"/>
    </row>
    <row r="137" spans="1:16" x14ac:dyDescent="0.25">
      <c r="A137" s="94" t="s">
        <v>231</v>
      </c>
      <c r="B137" s="2" t="s">
        <v>2866</v>
      </c>
      <c r="C137" s="2" t="s">
        <v>39</v>
      </c>
      <c r="D137" s="2" t="s">
        <v>12</v>
      </c>
      <c r="E137" s="2" t="s">
        <v>1159</v>
      </c>
      <c r="F137" s="2" t="s">
        <v>40</v>
      </c>
      <c r="G137" s="2" t="str">
        <f>VLOOKUP(F137,'Message Mapping'!A:L,3,FALSE)</f>
        <v>Transit;NORMAL;ATUADO;Error</v>
      </c>
      <c r="H137" s="2" t="str">
        <f>VLOOKUP(F137,'Message Mapping'!A:L,4,FALSE)</f>
        <v>0;1;2;3</v>
      </c>
      <c r="I137" s="2"/>
      <c r="J137" s="3" t="str">
        <f>VLOOKUP(F137,'Message Mapping'!A:L,12,FALSE)</f>
        <v>Severidade 4</v>
      </c>
      <c r="K137" s="3"/>
      <c r="L137" s="3"/>
      <c r="M137" s="3"/>
      <c r="N137" s="3"/>
      <c r="O137" s="3"/>
      <c r="P137" s="3"/>
    </row>
    <row r="138" spans="1:16" x14ac:dyDescent="0.25">
      <c r="A138" s="94" t="s">
        <v>232</v>
      </c>
      <c r="B138" s="2" t="s">
        <v>2867</v>
      </c>
      <c r="C138" s="2" t="s">
        <v>39</v>
      </c>
      <c r="D138" s="2" t="s">
        <v>12</v>
      </c>
      <c r="E138" s="2" t="s">
        <v>1159</v>
      </c>
      <c r="F138" s="2" t="s">
        <v>40</v>
      </c>
      <c r="G138" s="2" t="str">
        <f>VLOOKUP(F138,'Message Mapping'!A:L,3,FALSE)</f>
        <v>Transit;NORMAL;ATUADO;Error</v>
      </c>
      <c r="H138" s="2" t="str">
        <f>VLOOKUP(F138,'Message Mapping'!A:L,4,FALSE)</f>
        <v>0;1;2;3</v>
      </c>
      <c r="I138" s="2"/>
      <c r="J138" s="3" t="str">
        <f>VLOOKUP(F138,'Message Mapping'!A:L,12,FALSE)</f>
        <v>Severidade 4</v>
      </c>
      <c r="K138" s="3"/>
      <c r="L138" s="3"/>
      <c r="M138" s="3"/>
      <c r="N138" s="3"/>
      <c r="O138" s="3"/>
      <c r="P138" s="3"/>
    </row>
    <row r="139" spans="1:16" x14ac:dyDescent="0.25">
      <c r="A139" s="94" t="s">
        <v>233</v>
      </c>
      <c r="B139" s="2" t="s">
        <v>2868</v>
      </c>
      <c r="C139" s="2" t="s">
        <v>39</v>
      </c>
      <c r="D139" s="2" t="s">
        <v>12</v>
      </c>
      <c r="E139" s="2" t="s">
        <v>1159</v>
      </c>
      <c r="F139" s="2" t="s">
        <v>40</v>
      </c>
      <c r="G139" s="2" t="str">
        <f>VLOOKUP(F139,'Message Mapping'!A:L,3,FALSE)</f>
        <v>Transit;NORMAL;ATUADO;Error</v>
      </c>
      <c r="H139" s="2" t="str">
        <f>VLOOKUP(F139,'Message Mapping'!A:L,4,FALSE)</f>
        <v>0;1;2;3</v>
      </c>
      <c r="I139" s="2"/>
      <c r="J139" s="3" t="str">
        <f>VLOOKUP(F139,'Message Mapping'!A:L,12,FALSE)</f>
        <v>Severidade 4</v>
      </c>
      <c r="K139" s="3"/>
      <c r="L139" s="3"/>
      <c r="M139" s="3"/>
      <c r="N139" s="3"/>
      <c r="O139" s="3"/>
      <c r="P139" s="3"/>
    </row>
    <row r="140" spans="1:16" x14ac:dyDescent="0.25">
      <c r="A140" s="94" t="s">
        <v>234</v>
      </c>
      <c r="B140" s="2" t="s">
        <v>2869</v>
      </c>
      <c r="C140" s="2" t="s">
        <v>39</v>
      </c>
      <c r="D140" s="2" t="s">
        <v>12</v>
      </c>
      <c r="E140" s="2" t="s">
        <v>1159</v>
      </c>
      <c r="F140" s="2" t="s">
        <v>40</v>
      </c>
      <c r="G140" s="2" t="str">
        <f>VLOOKUP(F140,'Message Mapping'!A:L,3,FALSE)</f>
        <v>Transit;NORMAL;ATUADO;Error</v>
      </c>
      <c r="H140" s="2" t="str">
        <f>VLOOKUP(F140,'Message Mapping'!A:L,4,FALSE)</f>
        <v>0;1;2;3</v>
      </c>
      <c r="I140" s="2"/>
      <c r="J140" s="3" t="str">
        <f>VLOOKUP(F140,'Message Mapping'!A:L,12,FALSE)</f>
        <v>Severidade 4</v>
      </c>
      <c r="K140" s="3"/>
      <c r="L140" s="3"/>
      <c r="M140" s="3"/>
      <c r="N140" s="3"/>
      <c r="O140" s="3"/>
      <c r="P140" s="3"/>
    </row>
    <row r="141" spans="1:16" x14ac:dyDescent="0.25">
      <c r="A141" s="94" t="s">
        <v>235</v>
      </c>
      <c r="B141" s="2" t="s">
        <v>2870</v>
      </c>
      <c r="C141" s="2" t="s">
        <v>39</v>
      </c>
      <c r="D141" s="2" t="s">
        <v>12</v>
      </c>
      <c r="E141" s="2" t="s">
        <v>1159</v>
      </c>
      <c r="F141" s="2" t="s">
        <v>40</v>
      </c>
      <c r="G141" s="2" t="str">
        <f>VLOOKUP(F141,'Message Mapping'!A:L,3,FALSE)</f>
        <v>Transit;NORMAL;ATUADO;Error</v>
      </c>
      <c r="H141" s="2" t="str">
        <f>VLOOKUP(F141,'Message Mapping'!A:L,4,FALSE)</f>
        <v>0;1;2;3</v>
      </c>
      <c r="I141" s="2"/>
      <c r="J141" s="3" t="str">
        <f>VLOOKUP(F141,'Message Mapping'!A:L,12,FALSE)</f>
        <v>Severidade 4</v>
      </c>
      <c r="K141" s="3"/>
      <c r="L141" s="3"/>
      <c r="M141" s="3"/>
      <c r="N141" s="3"/>
      <c r="O141" s="3"/>
      <c r="P141" s="3"/>
    </row>
    <row r="142" spans="1:16" x14ac:dyDescent="0.25">
      <c r="A142" s="94" t="s">
        <v>236</v>
      </c>
      <c r="B142" s="2" t="s">
        <v>2871</v>
      </c>
      <c r="C142" s="2" t="s">
        <v>39</v>
      </c>
      <c r="D142" s="2" t="s">
        <v>12</v>
      </c>
      <c r="E142" s="2" t="s">
        <v>1159</v>
      </c>
      <c r="F142" s="2" t="s">
        <v>40</v>
      </c>
      <c r="G142" s="2" t="str">
        <f>VLOOKUP(F142,'Message Mapping'!A:L,3,FALSE)</f>
        <v>Transit;NORMAL;ATUADO;Error</v>
      </c>
      <c r="H142" s="2" t="str">
        <f>VLOOKUP(F142,'Message Mapping'!A:L,4,FALSE)</f>
        <v>0;1;2;3</v>
      </c>
      <c r="I142" s="2"/>
      <c r="J142" s="3" t="str">
        <f>VLOOKUP(F142,'Message Mapping'!A:L,12,FALSE)</f>
        <v>Severidade 4</v>
      </c>
      <c r="K142" s="3"/>
      <c r="L142" s="3"/>
      <c r="M142" s="3"/>
      <c r="N142" s="3"/>
      <c r="O142" s="3"/>
      <c r="P142" s="3"/>
    </row>
    <row r="143" spans="1:16" x14ac:dyDescent="0.25">
      <c r="A143" s="94" t="s">
        <v>237</v>
      </c>
      <c r="B143" s="2" t="s">
        <v>2872</v>
      </c>
      <c r="C143" s="2" t="s">
        <v>39</v>
      </c>
      <c r="D143" s="2" t="s">
        <v>12</v>
      </c>
      <c r="E143" s="2" t="s">
        <v>1159</v>
      </c>
      <c r="F143" s="2" t="s">
        <v>40</v>
      </c>
      <c r="G143" s="2" t="str">
        <f>VLOOKUP(F143,'Message Mapping'!A:L,3,FALSE)</f>
        <v>Transit;NORMAL;ATUADO;Error</v>
      </c>
      <c r="H143" s="2" t="str">
        <f>VLOOKUP(F143,'Message Mapping'!A:L,4,FALSE)</f>
        <v>0;1;2;3</v>
      </c>
      <c r="I143" s="2"/>
      <c r="J143" s="3" t="str">
        <f>VLOOKUP(F143,'Message Mapping'!A:L,12,FALSE)</f>
        <v>Severidade 4</v>
      </c>
      <c r="K143" s="3"/>
      <c r="L143" s="3"/>
      <c r="M143" s="3"/>
      <c r="N143" s="3"/>
      <c r="O143" s="3"/>
      <c r="P143" s="3"/>
    </row>
    <row r="144" spans="1:16" x14ac:dyDescent="0.25">
      <c r="A144" s="94" t="s">
        <v>4234</v>
      </c>
      <c r="B144" s="2" t="s">
        <v>238</v>
      </c>
      <c r="C144" s="2" t="s">
        <v>39</v>
      </c>
      <c r="D144" s="2" t="s">
        <v>12</v>
      </c>
      <c r="E144" s="2" t="s">
        <v>1159</v>
      </c>
      <c r="F144" s="2" t="s">
        <v>40</v>
      </c>
      <c r="G144" s="2" t="str">
        <f>VLOOKUP(F144,'Message Mapping'!A:L,3,FALSE)</f>
        <v>Transit;NORMAL;ATUADO;Error</v>
      </c>
      <c r="H144" s="2" t="str">
        <f>VLOOKUP(F144,'Message Mapping'!A:L,4,FALSE)</f>
        <v>0;1;2;3</v>
      </c>
      <c r="I144" s="2"/>
      <c r="J144" s="3" t="str">
        <f>VLOOKUP(F144,'Message Mapping'!A:L,12,FALSE)</f>
        <v>Severidade 4</v>
      </c>
      <c r="K144" s="3"/>
      <c r="L144" s="3"/>
      <c r="M144" s="3"/>
      <c r="N144" s="3"/>
      <c r="O144" s="3"/>
      <c r="P144" s="3"/>
    </row>
    <row r="145" spans="1:16" x14ac:dyDescent="0.25">
      <c r="A145" s="95" t="s">
        <v>4235</v>
      </c>
      <c r="B145" s="2" t="s">
        <v>239</v>
      </c>
      <c r="C145" s="2" t="s">
        <v>34</v>
      </c>
      <c r="D145" s="2" t="s">
        <v>35</v>
      </c>
      <c r="E145" s="2" t="s">
        <v>1160</v>
      </c>
      <c r="F145" s="2" t="s">
        <v>113</v>
      </c>
      <c r="G145" s="2" t="str">
        <f>VLOOKUP(F145,'Message Mapping'!A:L,3,FALSE)</f>
        <v>Transit;INCLUIDO;EXCLUIDO;Error</v>
      </c>
      <c r="H145" s="2" t="str">
        <f>VLOOKUP(F145,'Message Mapping'!A:L,4,FALSE)</f>
        <v>0;1;2;3</v>
      </c>
      <c r="I145" s="2"/>
      <c r="J145" s="3" t="str">
        <f>VLOOKUP(F145,'Message Mapping'!A:L,12,FALSE)</f>
        <v>Severidade 8</v>
      </c>
      <c r="K145" s="3"/>
      <c r="L145" s="3"/>
      <c r="M145" s="3"/>
      <c r="N145" s="3"/>
      <c r="O145" s="3"/>
      <c r="P145" s="3"/>
    </row>
    <row r="146" spans="1:16" x14ac:dyDescent="0.25">
      <c r="A146" s="95" t="s">
        <v>4235</v>
      </c>
      <c r="B146" s="2" t="s">
        <v>239</v>
      </c>
      <c r="C146" s="2" t="s">
        <v>34</v>
      </c>
      <c r="D146" s="2" t="s">
        <v>35</v>
      </c>
      <c r="E146" s="2" t="s">
        <v>1159</v>
      </c>
      <c r="F146" s="2" t="s">
        <v>36</v>
      </c>
      <c r="G146" s="2" t="str">
        <f>VLOOKUP(F146,'Message Mapping'!A:L,3,FALSE)</f>
        <v>Transit;INCLUIDO;EXCLUIDO;Error</v>
      </c>
      <c r="H146" s="2" t="str">
        <f>VLOOKUP(F146,'Message Mapping'!A:L,4,FALSE)</f>
        <v>0;1;2;3</v>
      </c>
      <c r="I146" s="2"/>
      <c r="J146" s="3" t="str">
        <f>VLOOKUP(F146,'Message Mapping'!A:L,12,FALSE)</f>
        <v>Severidade 8</v>
      </c>
      <c r="K146" s="3"/>
      <c r="L146" s="3"/>
      <c r="M146" s="3"/>
      <c r="N146" s="3"/>
      <c r="O146" s="3"/>
      <c r="P146" s="3"/>
    </row>
    <row r="147" spans="1:16" x14ac:dyDescent="0.25">
      <c r="A147" s="94" t="s">
        <v>240</v>
      </c>
      <c r="B147" s="2" t="s">
        <v>2832</v>
      </c>
      <c r="C147" s="2" t="s">
        <v>11</v>
      </c>
      <c r="D147" s="2" t="s">
        <v>12</v>
      </c>
      <c r="E147" s="2" t="s">
        <v>1159</v>
      </c>
      <c r="F147" s="2" t="s">
        <v>13</v>
      </c>
      <c r="G147" s="2" t="str">
        <f>VLOOKUP(F147,'Message Mapping'!A:L,3,FALSE)</f>
        <v>Transit;NORMAL;ATUADO;Error</v>
      </c>
      <c r="H147" s="2" t="str">
        <f>VLOOKUP(F147,'Message Mapping'!A:L,4,FALSE)</f>
        <v>0;1;2;3</v>
      </c>
      <c r="I147" s="2"/>
      <c r="J147" s="3" t="str">
        <f>VLOOKUP(F147,'Message Mapping'!A:L,12,FALSE)</f>
        <v>Severidade 4</v>
      </c>
      <c r="K147" s="3"/>
      <c r="L147" s="3"/>
      <c r="M147" s="3"/>
      <c r="N147" s="3"/>
      <c r="O147" s="3"/>
      <c r="P147" s="3"/>
    </row>
    <row r="148" spans="1:16" x14ac:dyDescent="0.25">
      <c r="A148" s="94" t="s">
        <v>241</v>
      </c>
      <c r="B148" s="2" t="s">
        <v>1267</v>
      </c>
      <c r="C148" s="2" t="s">
        <v>11</v>
      </c>
      <c r="D148" s="2" t="s">
        <v>12</v>
      </c>
      <c r="E148" s="2" t="s">
        <v>1159</v>
      </c>
      <c r="F148" s="2" t="s">
        <v>13</v>
      </c>
      <c r="G148" s="2" t="str">
        <f>VLOOKUP(F148,'Message Mapping'!A:L,3,FALSE)</f>
        <v>Transit;NORMAL;ATUADO;Error</v>
      </c>
      <c r="H148" s="2" t="str">
        <f>VLOOKUP(F148,'Message Mapping'!A:L,4,FALSE)</f>
        <v>0;1;2;3</v>
      </c>
      <c r="I148" s="2"/>
      <c r="J148" s="3" t="str">
        <f>VLOOKUP(F148,'Message Mapping'!A:L,12,FALSE)</f>
        <v>Severidade 4</v>
      </c>
      <c r="K148" s="3"/>
      <c r="L148" s="3"/>
      <c r="M148" s="3"/>
      <c r="N148" s="3"/>
      <c r="O148" s="3"/>
      <c r="P148" s="3"/>
    </row>
    <row r="149" spans="1:16" x14ac:dyDescent="0.25">
      <c r="A149" s="94" t="s">
        <v>243</v>
      </c>
      <c r="B149" s="2" t="s">
        <v>242</v>
      </c>
      <c r="C149" s="2" t="s">
        <v>39</v>
      </c>
      <c r="D149" s="2" t="s">
        <v>12</v>
      </c>
      <c r="E149" s="2" t="s">
        <v>1159</v>
      </c>
      <c r="F149" s="2" t="s">
        <v>40</v>
      </c>
      <c r="G149" s="2" t="str">
        <f>VLOOKUP(F149,'Message Mapping'!A:L,3,FALSE)</f>
        <v>Transit;NORMAL;ATUADO;Error</v>
      </c>
      <c r="H149" s="2" t="str">
        <f>VLOOKUP(F149,'Message Mapping'!A:L,4,FALSE)</f>
        <v>0;1;2;3</v>
      </c>
      <c r="I149" s="2"/>
      <c r="J149" s="3" t="str">
        <f>VLOOKUP(F149,'Message Mapping'!A:L,12,FALSE)</f>
        <v>Severidade 4</v>
      </c>
      <c r="K149" s="3"/>
      <c r="L149" s="3"/>
      <c r="M149" s="3"/>
      <c r="N149" s="3"/>
      <c r="O149" s="3"/>
      <c r="P149" s="3"/>
    </row>
    <row r="150" spans="1:16" x14ac:dyDescent="0.25">
      <c r="A150" s="94" t="s">
        <v>245</v>
      </c>
      <c r="B150" s="2" t="s">
        <v>244</v>
      </c>
      <c r="C150" s="2" t="s">
        <v>39</v>
      </c>
      <c r="D150" s="2" t="s">
        <v>12</v>
      </c>
      <c r="E150" s="2" t="s">
        <v>1159</v>
      </c>
      <c r="F150" s="2" t="s">
        <v>40</v>
      </c>
      <c r="G150" s="2" t="str">
        <f>VLOOKUP(F150,'Message Mapping'!A:L,3,FALSE)</f>
        <v>Transit;NORMAL;ATUADO;Error</v>
      </c>
      <c r="H150" s="2" t="str">
        <f>VLOOKUP(F150,'Message Mapping'!A:L,4,FALSE)</f>
        <v>0;1;2;3</v>
      </c>
      <c r="I150" s="2"/>
      <c r="J150" s="3" t="str">
        <f>VLOOKUP(F150,'Message Mapping'!A:L,12,FALSE)</f>
        <v>Severidade 4</v>
      </c>
      <c r="K150" s="3"/>
      <c r="L150" s="3"/>
      <c r="M150" s="3"/>
      <c r="N150" s="3"/>
      <c r="O150" s="3"/>
      <c r="P150" s="3"/>
    </row>
    <row r="151" spans="1:16" x14ac:dyDescent="0.25">
      <c r="A151" s="94" t="s">
        <v>246</v>
      </c>
      <c r="B151" s="2" t="s">
        <v>247</v>
      </c>
      <c r="C151" s="2" t="s">
        <v>39</v>
      </c>
      <c r="D151" s="2" t="s">
        <v>12</v>
      </c>
      <c r="E151" s="2" t="s">
        <v>1159</v>
      </c>
      <c r="F151" s="2" t="s">
        <v>40</v>
      </c>
      <c r="G151" s="2" t="str">
        <f>VLOOKUP(F151,'Message Mapping'!A:L,3,FALSE)</f>
        <v>Transit;NORMAL;ATUADO;Error</v>
      </c>
      <c r="H151" s="2" t="str">
        <f>VLOOKUP(F151,'Message Mapping'!A:L,4,FALSE)</f>
        <v>0;1;2;3</v>
      </c>
      <c r="I151" s="2"/>
      <c r="J151" s="3" t="str">
        <f>VLOOKUP(F151,'Message Mapping'!A:L,12,FALSE)</f>
        <v>Severidade 4</v>
      </c>
      <c r="K151" s="3"/>
      <c r="L151" s="3"/>
      <c r="M151" s="3"/>
      <c r="N151" s="3"/>
      <c r="O151" s="3"/>
      <c r="P151" s="3"/>
    </row>
    <row r="152" spans="1:16" x14ac:dyDescent="0.25">
      <c r="A152" s="94" t="s">
        <v>248</v>
      </c>
      <c r="B152" s="2" t="s">
        <v>249</v>
      </c>
      <c r="C152" s="2" t="s">
        <v>39</v>
      </c>
      <c r="D152" s="2" t="s">
        <v>12</v>
      </c>
      <c r="E152" s="2" t="s">
        <v>1159</v>
      </c>
      <c r="F152" s="2" t="s">
        <v>40</v>
      </c>
      <c r="G152" s="2" t="str">
        <f>VLOOKUP(F152,'Message Mapping'!A:L,3,FALSE)</f>
        <v>Transit;NORMAL;ATUADO;Error</v>
      </c>
      <c r="H152" s="2" t="str">
        <f>VLOOKUP(F152,'Message Mapping'!A:L,4,FALSE)</f>
        <v>0;1;2;3</v>
      </c>
      <c r="I152" s="2"/>
      <c r="J152" s="3" t="str">
        <f>VLOOKUP(F152,'Message Mapping'!A:L,12,FALSE)</f>
        <v>Severidade 4</v>
      </c>
      <c r="K152" s="3"/>
      <c r="L152" s="3"/>
      <c r="M152" s="3"/>
      <c r="N152" s="3"/>
      <c r="O152" s="3"/>
      <c r="P152" s="3"/>
    </row>
    <row r="153" spans="1:16" x14ac:dyDescent="0.25">
      <c r="A153" s="94" t="s">
        <v>250</v>
      </c>
      <c r="B153" s="2" t="s">
        <v>251</v>
      </c>
      <c r="C153" s="2" t="s">
        <v>39</v>
      </c>
      <c r="D153" s="2" t="s">
        <v>12</v>
      </c>
      <c r="E153" s="2" t="s">
        <v>1159</v>
      </c>
      <c r="F153" s="2" t="s">
        <v>40</v>
      </c>
      <c r="G153" s="2" t="str">
        <f>VLOOKUP(F153,'Message Mapping'!A:L,3,FALSE)</f>
        <v>Transit;NORMAL;ATUADO;Error</v>
      </c>
      <c r="H153" s="2" t="str">
        <f>VLOOKUP(F153,'Message Mapping'!A:L,4,FALSE)</f>
        <v>0;1;2;3</v>
      </c>
      <c r="I153" s="2"/>
      <c r="J153" s="3" t="str">
        <f>VLOOKUP(F153,'Message Mapping'!A:L,12,FALSE)</f>
        <v>Severidade 4</v>
      </c>
      <c r="K153" s="3"/>
      <c r="L153" s="3"/>
      <c r="M153" s="3"/>
      <c r="N153" s="3"/>
      <c r="O153" s="3"/>
      <c r="P153" s="3"/>
    </row>
    <row r="154" spans="1:16" x14ac:dyDescent="0.25">
      <c r="A154" s="94" t="s">
        <v>1143</v>
      </c>
      <c r="B154" s="2" t="s">
        <v>1144</v>
      </c>
      <c r="C154" s="2" t="s">
        <v>39</v>
      </c>
      <c r="D154" s="2" t="s">
        <v>12</v>
      </c>
      <c r="E154" s="2" t="s">
        <v>1159</v>
      </c>
      <c r="F154" s="2" t="s">
        <v>40</v>
      </c>
      <c r="G154" s="2" t="str">
        <f>VLOOKUP(F154,'Message Mapping'!A:L,3,FALSE)</f>
        <v>Transit;NORMAL;ATUADO;Error</v>
      </c>
      <c r="H154" s="2" t="str">
        <f>VLOOKUP(F154,'Message Mapping'!A:L,4,FALSE)</f>
        <v>0;1;2;3</v>
      </c>
      <c r="I154" s="2"/>
      <c r="J154" s="3" t="str">
        <f>VLOOKUP(F154,'Message Mapping'!A:L,12,FALSE)</f>
        <v>Severidade 4</v>
      </c>
      <c r="K154" s="3"/>
      <c r="L154" s="3"/>
      <c r="M154" s="3"/>
      <c r="N154" s="3"/>
      <c r="O154" s="3"/>
      <c r="P154" s="3"/>
    </row>
    <row r="155" spans="1:16" x14ac:dyDescent="0.25">
      <c r="A155" s="94" t="s">
        <v>252</v>
      </c>
      <c r="B155" s="2" t="s">
        <v>253</v>
      </c>
      <c r="C155" s="2" t="s">
        <v>39</v>
      </c>
      <c r="D155" s="2" t="s">
        <v>12</v>
      </c>
      <c r="E155" s="2" t="s">
        <v>1159</v>
      </c>
      <c r="F155" s="2" t="s">
        <v>40</v>
      </c>
      <c r="G155" s="2" t="str">
        <f>VLOOKUP(F155,'Message Mapping'!A:L,3,FALSE)</f>
        <v>Transit;NORMAL;ATUADO;Error</v>
      </c>
      <c r="H155" s="2" t="str">
        <f>VLOOKUP(F155,'Message Mapping'!A:L,4,FALSE)</f>
        <v>0;1;2;3</v>
      </c>
      <c r="I155" s="2"/>
      <c r="J155" s="3" t="str">
        <f>VLOOKUP(F155,'Message Mapping'!A:L,12,FALSE)</f>
        <v>Severidade 4</v>
      </c>
      <c r="K155" s="3"/>
      <c r="L155" s="3"/>
      <c r="M155" s="3"/>
      <c r="N155" s="3"/>
      <c r="O155" s="3"/>
      <c r="P155" s="3"/>
    </row>
    <row r="156" spans="1:16" x14ac:dyDescent="0.25">
      <c r="A156" s="94" t="s">
        <v>254</v>
      </c>
      <c r="B156" s="2" t="s">
        <v>255</v>
      </c>
      <c r="C156" s="2" t="s">
        <v>39</v>
      </c>
      <c r="D156" s="2" t="s">
        <v>12</v>
      </c>
      <c r="E156" s="2" t="s">
        <v>1159</v>
      </c>
      <c r="F156" s="2" t="s">
        <v>40</v>
      </c>
      <c r="G156" s="2" t="str">
        <f>VLOOKUP(F156,'Message Mapping'!A:L,3,FALSE)</f>
        <v>Transit;NORMAL;ATUADO;Error</v>
      </c>
      <c r="H156" s="2" t="str">
        <f>VLOOKUP(F156,'Message Mapping'!A:L,4,FALSE)</f>
        <v>0;1;2;3</v>
      </c>
      <c r="I156" s="2"/>
      <c r="J156" s="3" t="str">
        <f>VLOOKUP(F156,'Message Mapping'!A:L,12,FALSE)</f>
        <v>Severidade 4</v>
      </c>
      <c r="K156" s="3"/>
      <c r="L156" s="3"/>
      <c r="M156" s="3"/>
      <c r="N156" s="3"/>
      <c r="O156" s="3"/>
      <c r="P156" s="3"/>
    </row>
    <row r="157" spans="1:16" x14ac:dyDescent="0.25">
      <c r="A157" s="94" t="s">
        <v>4236</v>
      </c>
      <c r="B157" s="2" t="s">
        <v>256</v>
      </c>
      <c r="C157" s="2" t="s">
        <v>39</v>
      </c>
      <c r="D157" s="2" t="s">
        <v>12</v>
      </c>
      <c r="E157" s="2" t="s">
        <v>1159</v>
      </c>
      <c r="F157" s="2" t="s">
        <v>40</v>
      </c>
      <c r="G157" s="2" t="str">
        <f>VLOOKUP(F157,'Message Mapping'!A:L,3,FALSE)</f>
        <v>Transit;NORMAL;ATUADO;Error</v>
      </c>
      <c r="H157" s="2" t="str">
        <f>VLOOKUP(F157,'Message Mapping'!A:L,4,FALSE)</f>
        <v>0;1;2;3</v>
      </c>
      <c r="I157" s="2"/>
      <c r="J157" s="3" t="str">
        <f>VLOOKUP(F157,'Message Mapping'!A:L,12,FALSE)</f>
        <v>Severidade 4</v>
      </c>
      <c r="K157" s="3"/>
      <c r="L157" s="3"/>
      <c r="M157" s="3"/>
      <c r="N157" s="3"/>
      <c r="O157" s="3"/>
      <c r="P157" s="3"/>
    </row>
    <row r="158" spans="1:16" x14ac:dyDescent="0.25">
      <c r="A158" s="94" t="s">
        <v>257</v>
      </c>
      <c r="B158" s="2" t="s">
        <v>1253</v>
      </c>
      <c r="C158" s="2" t="s">
        <v>39</v>
      </c>
      <c r="D158" s="2" t="s">
        <v>12</v>
      </c>
      <c r="E158" s="2" t="s">
        <v>1159</v>
      </c>
      <c r="F158" s="2" t="s">
        <v>40</v>
      </c>
      <c r="G158" s="2" t="str">
        <f>VLOOKUP(F158,'Message Mapping'!A:L,3,FALSE)</f>
        <v>Transit;NORMAL;ATUADO;Error</v>
      </c>
      <c r="H158" s="2" t="str">
        <f>VLOOKUP(F158,'Message Mapping'!A:L,4,FALSE)</f>
        <v>0;1;2;3</v>
      </c>
      <c r="I158" s="2"/>
      <c r="J158" s="3" t="str">
        <f>VLOOKUP(F158,'Message Mapping'!A:L,12,FALSE)</f>
        <v>Severidade 4</v>
      </c>
      <c r="K158" s="3"/>
      <c r="L158" s="3"/>
      <c r="M158" s="3"/>
      <c r="N158" s="3"/>
      <c r="O158" s="3"/>
      <c r="P158" s="3"/>
    </row>
    <row r="159" spans="1:16" x14ac:dyDescent="0.25">
      <c r="A159" s="94" t="s">
        <v>258</v>
      </c>
      <c r="B159" s="2" t="s">
        <v>1254</v>
      </c>
      <c r="C159" s="2" t="s">
        <v>39</v>
      </c>
      <c r="D159" s="2" t="s">
        <v>12</v>
      </c>
      <c r="E159" s="2" t="s">
        <v>1159</v>
      </c>
      <c r="F159" s="2" t="s">
        <v>40</v>
      </c>
      <c r="G159" s="2" t="str">
        <f>VLOOKUP(F159,'Message Mapping'!A:L,3,FALSE)</f>
        <v>Transit;NORMAL;ATUADO;Error</v>
      </c>
      <c r="H159" s="2" t="str">
        <f>VLOOKUP(F159,'Message Mapping'!A:L,4,FALSE)</f>
        <v>0;1;2;3</v>
      </c>
      <c r="I159" s="2"/>
      <c r="J159" s="3" t="str">
        <f>VLOOKUP(F159,'Message Mapping'!A:L,12,FALSE)</f>
        <v>Severidade 4</v>
      </c>
      <c r="K159" s="3"/>
      <c r="L159" s="3"/>
      <c r="M159" s="3"/>
      <c r="N159" s="3"/>
      <c r="O159" s="3"/>
      <c r="P159" s="3"/>
    </row>
    <row r="160" spans="1:16" x14ac:dyDescent="0.25">
      <c r="A160" s="94" t="s">
        <v>259</v>
      </c>
      <c r="B160" s="2" t="s">
        <v>260</v>
      </c>
      <c r="C160" s="2" t="s">
        <v>39</v>
      </c>
      <c r="D160" s="2" t="s">
        <v>12</v>
      </c>
      <c r="E160" s="2" t="s">
        <v>1159</v>
      </c>
      <c r="F160" s="2" t="s">
        <v>40</v>
      </c>
      <c r="G160" s="2" t="str">
        <f>VLOOKUP(F160,'Message Mapping'!A:L,3,FALSE)</f>
        <v>Transit;NORMAL;ATUADO;Error</v>
      </c>
      <c r="H160" s="2" t="str">
        <f>VLOOKUP(F160,'Message Mapping'!A:L,4,FALSE)</f>
        <v>0;1;2;3</v>
      </c>
      <c r="I160" s="2"/>
      <c r="J160" s="3" t="str">
        <f>VLOOKUP(F160,'Message Mapping'!A:L,12,FALSE)</f>
        <v>Severidade 4</v>
      </c>
      <c r="K160" s="3"/>
      <c r="L160" s="3"/>
      <c r="M160" s="3"/>
      <c r="N160" s="3"/>
      <c r="O160" s="3"/>
      <c r="P160" s="3"/>
    </row>
    <row r="161" spans="1:16" x14ac:dyDescent="0.25">
      <c r="A161" s="94" t="s">
        <v>1145</v>
      </c>
      <c r="B161" s="2" t="s">
        <v>1146</v>
      </c>
      <c r="C161" s="2" t="s">
        <v>39</v>
      </c>
      <c r="D161" s="2" t="s">
        <v>12</v>
      </c>
      <c r="E161" s="2" t="s">
        <v>1159</v>
      </c>
      <c r="F161" s="2" t="s">
        <v>40</v>
      </c>
      <c r="G161" s="2" t="str">
        <f>VLOOKUP(F161,'Message Mapping'!A:L,3,FALSE)</f>
        <v>Transit;NORMAL;ATUADO;Error</v>
      </c>
      <c r="H161" s="2" t="str">
        <f>VLOOKUP(F161,'Message Mapping'!A:L,4,FALSE)</f>
        <v>0;1;2;3</v>
      </c>
      <c r="I161" s="2"/>
      <c r="J161" s="3" t="str">
        <f>VLOOKUP(F161,'Message Mapping'!A:L,12,FALSE)</f>
        <v>Severidade 4</v>
      </c>
      <c r="K161" s="3"/>
      <c r="L161" s="3"/>
      <c r="M161" s="3"/>
      <c r="N161" s="3"/>
      <c r="O161" s="3"/>
      <c r="P161" s="3"/>
    </row>
    <row r="162" spans="1:16" x14ac:dyDescent="0.25">
      <c r="A162" s="94" t="s">
        <v>1147</v>
      </c>
      <c r="B162" s="2" t="s">
        <v>1148</v>
      </c>
      <c r="C162" s="2" t="s">
        <v>39</v>
      </c>
      <c r="D162" s="2" t="s">
        <v>12</v>
      </c>
      <c r="E162" s="2" t="s">
        <v>1159</v>
      </c>
      <c r="F162" s="2" t="s">
        <v>40</v>
      </c>
      <c r="G162" s="2" t="str">
        <f>VLOOKUP(F162,'Message Mapping'!A:L,3,FALSE)</f>
        <v>Transit;NORMAL;ATUADO;Error</v>
      </c>
      <c r="H162" s="2" t="str">
        <f>VLOOKUP(F162,'Message Mapping'!A:L,4,FALSE)</f>
        <v>0;1;2;3</v>
      </c>
      <c r="I162" s="2"/>
      <c r="J162" s="3" t="str">
        <f>VLOOKUP(F162,'Message Mapping'!A:L,12,FALSE)</f>
        <v>Severidade 4</v>
      </c>
      <c r="K162" s="3"/>
      <c r="L162" s="3"/>
      <c r="M162" s="3"/>
      <c r="N162" s="3"/>
      <c r="O162" s="3"/>
      <c r="P162" s="3"/>
    </row>
    <row r="163" spans="1:16" x14ac:dyDescent="0.25">
      <c r="A163" s="94" t="s">
        <v>261</v>
      </c>
      <c r="B163" s="2" t="s">
        <v>262</v>
      </c>
      <c r="C163" s="2" t="s">
        <v>39</v>
      </c>
      <c r="D163" s="2" t="s">
        <v>12</v>
      </c>
      <c r="E163" s="2" t="s">
        <v>1159</v>
      </c>
      <c r="F163" s="2" t="s">
        <v>40</v>
      </c>
      <c r="G163" s="2" t="str">
        <f>VLOOKUP(F163,'Message Mapping'!A:L,3,FALSE)</f>
        <v>Transit;NORMAL;ATUADO;Error</v>
      </c>
      <c r="H163" s="2" t="str">
        <f>VLOOKUP(F163,'Message Mapping'!A:L,4,FALSE)</f>
        <v>0;1;2;3</v>
      </c>
      <c r="I163" s="2"/>
      <c r="J163" s="3" t="str">
        <f>VLOOKUP(F163,'Message Mapping'!A:L,12,FALSE)</f>
        <v>Severidade 4</v>
      </c>
      <c r="K163" s="3"/>
      <c r="L163" s="3"/>
      <c r="M163" s="3"/>
      <c r="N163" s="3"/>
      <c r="O163" s="3"/>
      <c r="P163" s="3"/>
    </row>
    <row r="164" spans="1:16" x14ac:dyDescent="0.25">
      <c r="A164" s="94" t="s">
        <v>263</v>
      </c>
      <c r="B164" s="2" t="s">
        <v>264</v>
      </c>
      <c r="C164" s="2" t="s">
        <v>39</v>
      </c>
      <c r="D164" s="2" t="s">
        <v>12</v>
      </c>
      <c r="E164" s="2" t="s">
        <v>1159</v>
      </c>
      <c r="F164" s="2" t="s">
        <v>40</v>
      </c>
      <c r="G164" s="2" t="str">
        <f>VLOOKUP(F164,'Message Mapping'!A:L,3,FALSE)</f>
        <v>Transit;NORMAL;ATUADO;Error</v>
      </c>
      <c r="H164" s="2" t="str">
        <f>VLOOKUP(F164,'Message Mapping'!A:L,4,FALSE)</f>
        <v>0;1;2;3</v>
      </c>
      <c r="I164" s="2"/>
      <c r="J164" s="3" t="str">
        <f>VLOOKUP(F164,'Message Mapping'!A:L,12,FALSE)</f>
        <v>Severidade 4</v>
      </c>
      <c r="K164" s="3"/>
      <c r="L164" s="3"/>
      <c r="M164" s="3"/>
      <c r="N164" s="3"/>
      <c r="O164" s="3"/>
      <c r="P164" s="3"/>
    </row>
    <row r="165" spans="1:16" x14ac:dyDescent="0.25">
      <c r="A165" s="94" t="s">
        <v>265</v>
      </c>
      <c r="B165" s="2" t="s">
        <v>266</v>
      </c>
      <c r="C165" s="2" t="s">
        <v>39</v>
      </c>
      <c r="D165" s="2" t="s">
        <v>12</v>
      </c>
      <c r="E165" s="2" t="s">
        <v>1159</v>
      </c>
      <c r="F165" s="2" t="s">
        <v>40</v>
      </c>
      <c r="G165" s="2" t="str">
        <f>VLOOKUP(F165,'Message Mapping'!A:L,3,FALSE)</f>
        <v>Transit;NORMAL;ATUADO;Error</v>
      </c>
      <c r="H165" s="2" t="str">
        <f>VLOOKUP(F165,'Message Mapping'!A:L,4,FALSE)</f>
        <v>0;1;2;3</v>
      </c>
      <c r="I165" s="2"/>
      <c r="J165" s="3" t="str">
        <f>VLOOKUP(F165,'Message Mapping'!A:L,12,FALSE)</f>
        <v>Severidade 4</v>
      </c>
      <c r="K165" s="3"/>
      <c r="L165" s="3"/>
      <c r="M165" s="3"/>
      <c r="N165" s="3"/>
      <c r="O165" s="3"/>
      <c r="P165" s="3"/>
    </row>
    <row r="166" spans="1:16" x14ac:dyDescent="0.25">
      <c r="A166" s="94" t="s">
        <v>267</v>
      </c>
      <c r="B166" s="2" t="s">
        <v>268</v>
      </c>
      <c r="C166" s="2" t="s">
        <v>39</v>
      </c>
      <c r="D166" s="2" t="s">
        <v>12</v>
      </c>
      <c r="E166" s="2" t="s">
        <v>1159</v>
      </c>
      <c r="F166" s="2" t="s">
        <v>40</v>
      </c>
      <c r="G166" s="2" t="str">
        <f>VLOOKUP(F166,'Message Mapping'!A:L,3,FALSE)</f>
        <v>Transit;NORMAL;ATUADO;Error</v>
      </c>
      <c r="H166" s="2" t="str">
        <f>VLOOKUP(F166,'Message Mapping'!A:L,4,FALSE)</f>
        <v>0;1;2;3</v>
      </c>
      <c r="I166" s="2"/>
      <c r="J166" s="3" t="str">
        <f>VLOOKUP(F166,'Message Mapping'!A:L,12,FALSE)</f>
        <v>Severidade 4</v>
      </c>
      <c r="K166" s="3"/>
      <c r="L166" s="3"/>
      <c r="M166" s="3"/>
      <c r="N166" s="3"/>
      <c r="O166" s="3"/>
      <c r="P166" s="3"/>
    </row>
    <row r="167" spans="1:16" x14ac:dyDescent="0.25">
      <c r="A167" s="94" t="s">
        <v>269</v>
      </c>
      <c r="B167" s="2" t="s">
        <v>270</v>
      </c>
      <c r="C167" s="2" t="s">
        <v>39</v>
      </c>
      <c r="D167" s="2" t="s">
        <v>12</v>
      </c>
      <c r="E167" s="2" t="s">
        <v>1159</v>
      </c>
      <c r="F167" s="2" t="s">
        <v>40</v>
      </c>
      <c r="G167" s="2" t="str">
        <f>VLOOKUP(F167,'Message Mapping'!A:L,3,FALSE)</f>
        <v>Transit;NORMAL;ATUADO;Error</v>
      </c>
      <c r="H167" s="2" t="str">
        <f>VLOOKUP(F167,'Message Mapping'!A:L,4,FALSE)</f>
        <v>0;1;2;3</v>
      </c>
      <c r="I167" s="2"/>
      <c r="J167" s="3" t="str">
        <f>VLOOKUP(F167,'Message Mapping'!A:L,12,FALSE)</f>
        <v>Severidade 4</v>
      </c>
      <c r="K167" s="3"/>
      <c r="L167" s="3"/>
      <c r="M167" s="3"/>
      <c r="N167" s="3"/>
      <c r="O167" s="3"/>
      <c r="P167" s="3"/>
    </row>
    <row r="168" spans="1:16" x14ac:dyDescent="0.25">
      <c r="A168" s="94" t="s">
        <v>271</v>
      </c>
      <c r="B168" s="2" t="s">
        <v>2879</v>
      </c>
      <c r="C168" s="2" t="s">
        <v>39</v>
      </c>
      <c r="D168" s="2" t="s">
        <v>12</v>
      </c>
      <c r="E168" s="2" t="s">
        <v>1159</v>
      </c>
      <c r="F168" s="2" t="s">
        <v>40</v>
      </c>
      <c r="G168" s="2" t="str">
        <f>VLOOKUP(F168,'Message Mapping'!A:L,3,FALSE)</f>
        <v>Transit;NORMAL;ATUADO;Error</v>
      </c>
      <c r="H168" s="2" t="str">
        <f>VLOOKUP(F168,'Message Mapping'!A:L,4,FALSE)</f>
        <v>0;1;2;3</v>
      </c>
      <c r="I168" s="2"/>
      <c r="J168" s="3" t="str">
        <f>VLOOKUP(F168,'Message Mapping'!A:L,12,FALSE)</f>
        <v>Severidade 4</v>
      </c>
      <c r="K168" s="3"/>
      <c r="L168" s="3"/>
      <c r="M168" s="3"/>
      <c r="N168" s="3"/>
      <c r="O168" s="3"/>
      <c r="P168" s="3"/>
    </row>
    <row r="169" spans="1:16" x14ac:dyDescent="0.25">
      <c r="A169" s="94" t="s">
        <v>272</v>
      </c>
      <c r="B169" s="2" t="s">
        <v>2824</v>
      </c>
      <c r="C169" s="2" t="s">
        <v>11</v>
      </c>
      <c r="D169" s="2" t="s">
        <v>12</v>
      </c>
      <c r="E169" s="2" t="s">
        <v>1159</v>
      </c>
      <c r="F169" s="2" t="s">
        <v>13</v>
      </c>
      <c r="G169" s="2" t="str">
        <f>VLOOKUP(F169,'Message Mapping'!A:L,3,FALSE)</f>
        <v>Transit;NORMAL;ATUADO;Error</v>
      </c>
      <c r="H169" s="2" t="str">
        <f>VLOOKUP(F169,'Message Mapping'!A:L,4,FALSE)</f>
        <v>0;1;2;3</v>
      </c>
      <c r="I169" s="2"/>
      <c r="J169" s="3" t="str">
        <f>VLOOKUP(F169,'Message Mapping'!A:L,12,FALSE)</f>
        <v>Severidade 4</v>
      </c>
      <c r="K169" s="3"/>
      <c r="L169" s="3"/>
      <c r="M169" s="3"/>
      <c r="N169" s="3"/>
      <c r="O169" s="3"/>
      <c r="P169" s="3"/>
    </row>
    <row r="170" spans="1:16" x14ac:dyDescent="0.25">
      <c r="A170" s="94" t="s">
        <v>273</v>
      </c>
      <c r="B170" s="2" t="s">
        <v>2825</v>
      </c>
      <c r="C170" s="2" t="s">
        <v>11</v>
      </c>
      <c r="D170" s="2" t="s">
        <v>12</v>
      </c>
      <c r="E170" s="2" t="s">
        <v>1159</v>
      </c>
      <c r="F170" s="2" t="s">
        <v>13</v>
      </c>
      <c r="G170" s="2" t="str">
        <f>VLOOKUP(F170,'Message Mapping'!A:L,3,FALSE)</f>
        <v>Transit;NORMAL;ATUADO;Error</v>
      </c>
      <c r="H170" s="2" t="str">
        <f>VLOOKUP(F170,'Message Mapping'!A:L,4,FALSE)</f>
        <v>0;1;2;3</v>
      </c>
      <c r="I170" s="2"/>
      <c r="J170" s="3" t="str">
        <f>VLOOKUP(F170,'Message Mapping'!A:L,12,FALSE)</f>
        <v>Severidade 4</v>
      </c>
      <c r="K170" s="3"/>
      <c r="L170" s="3"/>
      <c r="M170" s="3"/>
      <c r="N170" s="3"/>
      <c r="O170" s="3"/>
      <c r="P170" s="3"/>
    </row>
    <row r="171" spans="1:16" x14ac:dyDescent="0.25">
      <c r="A171" s="94" t="s">
        <v>274</v>
      </c>
      <c r="B171" s="2" t="s">
        <v>2826</v>
      </c>
      <c r="C171" s="2" t="s">
        <v>11</v>
      </c>
      <c r="D171" s="2" t="s">
        <v>12</v>
      </c>
      <c r="E171" s="2" t="s">
        <v>1159</v>
      </c>
      <c r="F171" s="2" t="s">
        <v>13</v>
      </c>
      <c r="G171" s="2" t="str">
        <f>VLOOKUP(F171,'Message Mapping'!A:L,3,FALSE)</f>
        <v>Transit;NORMAL;ATUADO;Error</v>
      </c>
      <c r="H171" s="2" t="str">
        <f>VLOOKUP(F171,'Message Mapping'!A:L,4,FALSE)</f>
        <v>0;1;2;3</v>
      </c>
      <c r="I171" s="2"/>
      <c r="J171" s="3" t="str">
        <f>VLOOKUP(F171,'Message Mapping'!A:L,12,FALSE)</f>
        <v>Severidade 4</v>
      </c>
      <c r="K171" s="3"/>
      <c r="L171" s="3"/>
      <c r="M171" s="3"/>
      <c r="N171" s="3"/>
      <c r="O171" s="3"/>
      <c r="P171" s="3"/>
    </row>
    <row r="172" spans="1:16" x14ac:dyDescent="0.25">
      <c r="A172" s="94" t="s">
        <v>275</v>
      </c>
      <c r="B172" s="2" t="s">
        <v>2827</v>
      </c>
      <c r="C172" s="2" t="s">
        <v>39</v>
      </c>
      <c r="D172" s="2" t="s">
        <v>12</v>
      </c>
      <c r="E172" s="2" t="s">
        <v>1159</v>
      </c>
      <c r="F172" s="2" t="s">
        <v>40</v>
      </c>
      <c r="G172" s="2" t="str">
        <f>VLOOKUP(F172,'Message Mapping'!A:L,3,FALSE)</f>
        <v>Transit;NORMAL;ATUADO;Error</v>
      </c>
      <c r="H172" s="2" t="str">
        <f>VLOOKUP(F172,'Message Mapping'!A:L,4,FALSE)</f>
        <v>0;1;2;3</v>
      </c>
      <c r="I172" s="2"/>
      <c r="J172" s="3" t="str">
        <f>VLOOKUP(F172,'Message Mapping'!A:L,12,FALSE)</f>
        <v>Severidade 4</v>
      </c>
      <c r="K172" s="3"/>
      <c r="L172" s="3"/>
      <c r="M172" s="3"/>
      <c r="N172" s="3"/>
      <c r="O172" s="3"/>
      <c r="P172" s="3"/>
    </row>
    <row r="173" spans="1:16" x14ac:dyDescent="0.25">
      <c r="A173" s="94" t="s">
        <v>2830</v>
      </c>
      <c r="B173" s="2" t="s">
        <v>277</v>
      </c>
      <c r="C173" s="2" t="s">
        <v>39</v>
      </c>
      <c r="D173" s="2" t="s">
        <v>12</v>
      </c>
      <c r="E173" s="2" t="s">
        <v>1159</v>
      </c>
      <c r="F173" s="2" t="s">
        <v>40</v>
      </c>
      <c r="G173" s="2" t="str">
        <f>VLOOKUP(F173,'Message Mapping'!A:L,3,FALSE)</f>
        <v>Transit;NORMAL;ATUADO;Error</v>
      </c>
      <c r="H173" s="2" t="str">
        <f>VLOOKUP(F173,'Message Mapping'!A:L,4,FALSE)</f>
        <v>0;1;2;3</v>
      </c>
      <c r="I173" s="2"/>
      <c r="J173" s="3" t="str">
        <f>VLOOKUP(F173,'Message Mapping'!A:L,12,FALSE)</f>
        <v>Severidade 4</v>
      </c>
      <c r="K173" s="3"/>
      <c r="L173" s="3"/>
      <c r="M173" s="3"/>
      <c r="N173" s="3"/>
      <c r="O173" s="3"/>
      <c r="P173" s="3"/>
    </row>
    <row r="174" spans="1:16" x14ac:dyDescent="0.25">
      <c r="A174" s="94" t="s">
        <v>276</v>
      </c>
      <c r="B174" s="2" t="s">
        <v>2828</v>
      </c>
      <c r="C174" s="2" t="s">
        <v>39</v>
      </c>
      <c r="D174" s="2" t="s">
        <v>12</v>
      </c>
      <c r="E174" s="2" t="s">
        <v>1159</v>
      </c>
      <c r="F174" s="2" t="s">
        <v>40</v>
      </c>
      <c r="G174" s="2" t="str">
        <f>VLOOKUP(F174,'Message Mapping'!A:L,3,FALSE)</f>
        <v>Transit;NORMAL;ATUADO;Error</v>
      </c>
      <c r="H174" s="2" t="str">
        <f>VLOOKUP(F174,'Message Mapping'!A:L,4,FALSE)</f>
        <v>0;1;2;3</v>
      </c>
      <c r="I174" s="2"/>
      <c r="J174" s="3" t="str">
        <f>VLOOKUP(F174,'Message Mapping'!A:L,12,FALSE)</f>
        <v>Severidade 4</v>
      </c>
      <c r="K174" s="3"/>
      <c r="L174" s="3"/>
      <c r="M174" s="3"/>
      <c r="N174" s="3"/>
      <c r="O174" s="3"/>
      <c r="P174" s="3"/>
    </row>
    <row r="175" spans="1:16" x14ac:dyDescent="0.25">
      <c r="A175" s="94" t="s">
        <v>2831</v>
      </c>
      <c r="B175" s="2" t="s">
        <v>279</v>
      </c>
      <c r="C175" s="2" t="s">
        <v>39</v>
      </c>
      <c r="D175" s="2" t="s">
        <v>12</v>
      </c>
      <c r="E175" s="2" t="s">
        <v>1159</v>
      </c>
      <c r="F175" s="2" t="s">
        <v>40</v>
      </c>
      <c r="G175" s="2" t="str">
        <f>VLOOKUP(F175,'Message Mapping'!A:L,3,FALSE)</f>
        <v>Transit;NORMAL;ATUADO;Error</v>
      </c>
      <c r="H175" s="2" t="str">
        <f>VLOOKUP(F175,'Message Mapping'!A:L,4,FALSE)</f>
        <v>0;1;2;3</v>
      </c>
      <c r="I175" s="2"/>
      <c r="J175" s="3" t="str">
        <f>VLOOKUP(F175,'Message Mapping'!A:L,12,FALSE)</f>
        <v>Severidade 4</v>
      </c>
      <c r="K175" s="3"/>
      <c r="L175" s="3"/>
      <c r="M175" s="3"/>
      <c r="N175" s="3"/>
      <c r="O175" s="3"/>
      <c r="P175" s="3"/>
    </row>
    <row r="176" spans="1:16" x14ac:dyDescent="0.25">
      <c r="A176" s="94" t="s">
        <v>278</v>
      </c>
      <c r="B176" s="2" t="s">
        <v>2829</v>
      </c>
      <c r="C176" s="2" t="s">
        <v>39</v>
      </c>
      <c r="D176" s="2" t="s">
        <v>12</v>
      </c>
      <c r="E176" s="2" t="s">
        <v>1159</v>
      </c>
      <c r="F176" s="2" t="s">
        <v>40</v>
      </c>
      <c r="G176" s="2" t="str">
        <f>VLOOKUP(F176,'Message Mapping'!A:L,3,FALSE)</f>
        <v>Transit;NORMAL;ATUADO;Error</v>
      </c>
      <c r="H176" s="2" t="str">
        <f>VLOOKUP(F176,'Message Mapping'!A:L,4,FALSE)</f>
        <v>0;1;2;3</v>
      </c>
      <c r="I176" s="2"/>
      <c r="J176" s="3" t="str">
        <f>VLOOKUP(F176,'Message Mapping'!A:L,12,FALSE)</f>
        <v>Severidade 4</v>
      </c>
      <c r="K176" s="3"/>
      <c r="L176" s="3"/>
      <c r="M176" s="3"/>
      <c r="N176" s="3"/>
      <c r="O176" s="3"/>
      <c r="P176" s="3"/>
    </row>
    <row r="177" spans="1:16" x14ac:dyDescent="0.25">
      <c r="A177" s="94" t="s">
        <v>280</v>
      </c>
      <c r="B177" s="2" t="s">
        <v>281</v>
      </c>
      <c r="C177" s="2" t="s">
        <v>39</v>
      </c>
      <c r="D177" s="2" t="s">
        <v>12</v>
      </c>
      <c r="E177" s="2" t="s">
        <v>1159</v>
      </c>
      <c r="F177" s="2" t="s">
        <v>40</v>
      </c>
      <c r="G177" s="2" t="str">
        <f>VLOOKUP(F177,'Message Mapping'!A:L,3,FALSE)</f>
        <v>Transit;NORMAL;ATUADO;Error</v>
      </c>
      <c r="H177" s="2" t="str">
        <f>VLOOKUP(F177,'Message Mapping'!A:L,4,FALSE)</f>
        <v>0;1;2;3</v>
      </c>
      <c r="I177" s="2"/>
      <c r="J177" s="3" t="str">
        <f>VLOOKUP(F177,'Message Mapping'!A:L,12,FALSE)</f>
        <v>Severidade 4</v>
      </c>
      <c r="K177" s="3"/>
      <c r="L177" s="3"/>
      <c r="M177" s="3"/>
      <c r="N177" s="3"/>
      <c r="O177" s="3"/>
      <c r="P177" s="3"/>
    </row>
    <row r="178" spans="1:16" x14ac:dyDescent="0.25">
      <c r="A178" s="94" t="s">
        <v>282</v>
      </c>
      <c r="B178" s="2" t="s">
        <v>283</v>
      </c>
      <c r="C178" s="2" t="s">
        <v>39</v>
      </c>
      <c r="D178" s="2" t="s">
        <v>12</v>
      </c>
      <c r="E178" s="2" t="s">
        <v>1159</v>
      </c>
      <c r="F178" s="2" t="s">
        <v>40</v>
      </c>
      <c r="G178" s="2" t="str">
        <f>VLOOKUP(F178,'Message Mapping'!A:L,3,FALSE)</f>
        <v>Transit;NORMAL;ATUADO;Error</v>
      </c>
      <c r="H178" s="2" t="str">
        <f>VLOOKUP(F178,'Message Mapping'!A:L,4,FALSE)</f>
        <v>0;1;2;3</v>
      </c>
      <c r="I178" s="2"/>
      <c r="J178" s="3" t="str">
        <f>VLOOKUP(F178,'Message Mapping'!A:L,12,FALSE)</f>
        <v>Severidade 4</v>
      </c>
      <c r="K178" s="3"/>
      <c r="L178" s="3"/>
      <c r="M178" s="3"/>
      <c r="N178" s="3"/>
      <c r="O178" s="3"/>
      <c r="P178" s="3"/>
    </row>
    <row r="179" spans="1:16" x14ac:dyDescent="0.25">
      <c r="A179" s="94" t="s">
        <v>284</v>
      </c>
      <c r="B179" s="2" t="s">
        <v>285</v>
      </c>
      <c r="C179" s="2" t="s">
        <v>39</v>
      </c>
      <c r="D179" s="2" t="s">
        <v>12</v>
      </c>
      <c r="E179" s="2" t="s">
        <v>1159</v>
      </c>
      <c r="F179" s="2" t="s">
        <v>40</v>
      </c>
      <c r="G179" s="2" t="str">
        <f>VLOOKUP(F179,'Message Mapping'!A:L,3,FALSE)</f>
        <v>Transit;NORMAL;ATUADO;Error</v>
      </c>
      <c r="H179" s="2" t="str">
        <f>VLOOKUP(F179,'Message Mapping'!A:L,4,FALSE)</f>
        <v>0;1;2;3</v>
      </c>
      <c r="I179" s="2"/>
      <c r="J179" s="3" t="str">
        <f>VLOOKUP(F179,'Message Mapping'!A:L,12,FALSE)</f>
        <v>Severidade 4</v>
      </c>
      <c r="K179" s="3"/>
      <c r="L179" s="3"/>
      <c r="M179" s="3"/>
      <c r="N179" s="3"/>
      <c r="O179" s="3"/>
      <c r="P179" s="3"/>
    </row>
    <row r="180" spans="1:16" x14ac:dyDescent="0.25">
      <c r="A180" s="94" t="s">
        <v>286</v>
      </c>
      <c r="B180" s="2" t="s">
        <v>287</v>
      </c>
      <c r="C180" s="2" t="s">
        <v>39</v>
      </c>
      <c r="D180" s="2" t="s">
        <v>12</v>
      </c>
      <c r="E180" s="2" t="s">
        <v>1159</v>
      </c>
      <c r="F180" s="2" t="s">
        <v>40</v>
      </c>
      <c r="G180" s="2" t="str">
        <f>VLOOKUP(F180,'Message Mapping'!A:L,3,FALSE)</f>
        <v>Transit;NORMAL;ATUADO;Error</v>
      </c>
      <c r="H180" s="2" t="str">
        <f>VLOOKUP(F180,'Message Mapping'!A:L,4,FALSE)</f>
        <v>0;1;2;3</v>
      </c>
      <c r="I180" s="2"/>
      <c r="J180" s="3" t="str">
        <f>VLOOKUP(F180,'Message Mapping'!A:L,12,FALSE)</f>
        <v>Severidade 4</v>
      </c>
      <c r="K180" s="3"/>
      <c r="L180" s="3"/>
      <c r="M180" s="3"/>
      <c r="N180" s="3"/>
      <c r="O180" s="3"/>
      <c r="P180" s="3"/>
    </row>
    <row r="181" spans="1:16" x14ac:dyDescent="0.25">
      <c r="A181" s="97" t="s">
        <v>288</v>
      </c>
      <c r="B181" s="2" t="s">
        <v>289</v>
      </c>
      <c r="C181" s="2" t="s">
        <v>39</v>
      </c>
      <c r="D181" s="2" t="s">
        <v>12</v>
      </c>
      <c r="E181" s="2" t="s">
        <v>1159</v>
      </c>
      <c r="F181" s="2" t="s">
        <v>40</v>
      </c>
      <c r="G181" s="2" t="str">
        <f>VLOOKUP(F181,'Message Mapping'!A:L,3,FALSE)</f>
        <v>Transit;NORMAL;ATUADO;Error</v>
      </c>
      <c r="H181" s="2" t="str">
        <f>VLOOKUP(F181,'Message Mapping'!A:L,4,FALSE)</f>
        <v>0;1;2;3</v>
      </c>
      <c r="I181" s="2"/>
      <c r="J181" s="3" t="str">
        <f>VLOOKUP(F181,'Message Mapping'!A:L,12,FALSE)</f>
        <v>Severidade 4</v>
      </c>
      <c r="K181" s="3"/>
      <c r="L181" s="3"/>
      <c r="M181" s="3"/>
      <c r="N181" s="3"/>
      <c r="O181" s="3"/>
      <c r="P181" s="3"/>
    </row>
    <row r="182" spans="1:16" x14ac:dyDescent="0.25">
      <c r="A182" s="94" t="s">
        <v>290</v>
      </c>
      <c r="B182" s="2" t="s">
        <v>291</v>
      </c>
      <c r="C182" s="2" t="s">
        <v>39</v>
      </c>
      <c r="D182" s="2" t="s">
        <v>12</v>
      </c>
      <c r="E182" s="2" t="s">
        <v>1159</v>
      </c>
      <c r="F182" s="2" t="s">
        <v>40</v>
      </c>
      <c r="G182" s="2" t="str">
        <f>VLOOKUP(F182,'Message Mapping'!A:L,3,FALSE)</f>
        <v>Transit;NORMAL;ATUADO;Error</v>
      </c>
      <c r="H182" s="2" t="str">
        <f>VLOOKUP(F182,'Message Mapping'!A:L,4,FALSE)</f>
        <v>0;1;2;3</v>
      </c>
      <c r="I182" s="2"/>
      <c r="J182" s="3" t="str">
        <f>VLOOKUP(F182,'Message Mapping'!A:L,12,FALSE)</f>
        <v>Severidade 4</v>
      </c>
      <c r="K182" s="3"/>
      <c r="L182" s="3"/>
      <c r="M182" s="3"/>
      <c r="N182" s="3"/>
      <c r="O182" s="3"/>
      <c r="P182" s="3"/>
    </row>
    <row r="183" spans="1:16" x14ac:dyDescent="0.25">
      <c r="A183" s="94" t="s">
        <v>292</v>
      </c>
      <c r="B183" s="2" t="s">
        <v>293</v>
      </c>
      <c r="C183" s="2" t="s">
        <v>39</v>
      </c>
      <c r="D183" s="2" t="s">
        <v>12</v>
      </c>
      <c r="E183" s="2" t="s">
        <v>1159</v>
      </c>
      <c r="F183" s="2" t="s">
        <v>40</v>
      </c>
      <c r="G183" s="2" t="str">
        <f>VLOOKUP(F183,'Message Mapping'!A:L,3,FALSE)</f>
        <v>Transit;NORMAL;ATUADO;Error</v>
      </c>
      <c r="H183" s="2" t="str">
        <f>VLOOKUP(F183,'Message Mapping'!A:L,4,FALSE)</f>
        <v>0;1;2;3</v>
      </c>
      <c r="I183" s="2"/>
      <c r="J183" s="3" t="str">
        <f>VLOOKUP(F183,'Message Mapping'!A:L,12,FALSE)</f>
        <v>Severidade 4</v>
      </c>
      <c r="K183" s="3"/>
      <c r="L183" s="3"/>
      <c r="M183" s="3"/>
      <c r="N183" s="3"/>
      <c r="O183" s="3"/>
      <c r="P183" s="3"/>
    </row>
    <row r="184" spans="1:16" x14ac:dyDescent="0.25">
      <c r="A184" s="94" t="s">
        <v>294</v>
      </c>
      <c r="B184" s="2" t="s">
        <v>295</v>
      </c>
      <c r="C184" s="2" t="s">
        <v>39</v>
      </c>
      <c r="D184" s="2" t="s">
        <v>12</v>
      </c>
      <c r="E184" s="2" t="s">
        <v>1159</v>
      </c>
      <c r="F184" s="2" t="s">
        <v>40</v>
      </c>
      <c r="G184" s="2" t="str">
        <f>VLOOKUP(F184,'Message Mapping'!A:L,3,FALSE)</f>
        <v>Transit;NORMAL;ATUADO;Error</v>
      </c>
      <c r="H184" s="2" t="str">
        <f>VLOOKUP(F184,'Message Mapping'!A:L,4,FALSE)</f>
        <v>0;1;2;3</v>
      </c>
      <c r="I184" s="2"/>
      <c r="J184" s="3" t="str">
        <f>VLOOKUP(F184,'Message Mapping'!A:L,12,FALSE)</f>
        <v>Severidade 4</v>
      </c>
      <c r="K184" s="3"/>
      <c r="L184" s="3"/>
      <c r="M184" s="3"/>
      <c r="N184" s="3"/>
      <c r="O184" s="3"/>
      <c r="P184" s="3"/>
    </row>
    <row r="185" spans="1:16" x14ac:dyDescent="0.25">
      <c r="A185" s="94" t="s">
        <v>296</v>
      </c>
      <c r="B185" s="2" t="s">
        <v>297</v>
      </c>
      <c r="C185" s="2" t="s">
        <v>39</v>
      </c>
      <c r="D185" s="2" t="s">
        <v>12</v>
      </c>
      <c r="E185" s="2" t="s">
        <v>1159</v>
      </c>
      <c r="F185" s="2" t="s">
        <v>40</v>
      </c>
      <c r="G185" s="2" t="str">
        <f>VLOOKUP(F185,'Message Mapping'!A:L,3,FALSE)</f>
        <v>Transit;NORMAL;ATUADO;Error</v>
      </c>
      <c r="H185" s="2" t="str">
        <f>VLOOKUP(F185,'Message Mapping'!A:L,4,FALSE)</f>
        <v>0;1;2;3</v>
      </c>
      <c r="I185" s="2"/>
      <c r="J185" s="3" t="str">
        <f>VLOOKUP(F185,'Message Mapping'!A:L,12,FALSE)</f>
        <v>Severidade 4</v>
      </c>
      <c r="K185" s="3"/>
      <c r="L185" s="3"/>
      <c r="M185" s="3"/>
      <c r="N185" s="3"/>
      <c r="O185" s="3"/>
      <c r="P185" s="3"/>
    </row>
    <row r="186" spans="1:16" x14ac:dyDescent="0.25">
      <c r="A186" s="94" t="s">
        <v>298</v>
      </c>
      <c r="B186" s="2" t="s">
        <v>299</v>
      </c>
      <c r="C186" s="2" t="s">
        <v>39</v>
      </c>
      <c r="D186" s="2" t="s">
        <v>12</v>
      </c>
      <c r="E186" s="2" t="s">
        <v>1159</v>
      </c>
      <c r="F186" s="2" t="s">
        <v>40</v>
      </c>
      <c r="G186" s="2" t="str">
        <f>VLOOKUP(F186,'Message Mapping'!A:L,3,FALSE)</f>
        <v>Transit;NORMAL;ATUADO;Error</v>
      </c>
      <c r="H186" s="2" t="str">
        <f>VLOOKUP(F186,'Message Mapping'!A:L,4,FALSE)</f>
        <v>0;1;2;3</v>
      </c>
      <c r="I186" s="2"/>
      <c r="J186" s="3" t="str">
        <f>VLOOKUP(F186,'Message Mapping'!A:L,12,FALSE)</f>
        <v>Severidade 4</v>
      </c>
      <c r="K186" s="3"/>
      <c r="L186" s="3"/>
      <c r="M186" s="3"/>
      <c r="N186" s="3"/>
      <c r="O186" s="3"/>
      <c r="P186" s="3"/>
    </row>
    <row r="187" spans="1:16" x14ac:dyDescent="0.25">
      <c r="A187" s="94" t="s">
        <v>300</v>
      </c>
      <c r="B187" s="2" t="s">
        <v>301</v>
      </c>
      <c r="C187" s="2" t="s">
        <v>39</v>
      </c>
      <c r="D187" s="2" t="s">
        <v>12</v>
      </c>
      <c r="E187" s="2" t="s">
        <v>1159</v>
      </c>
      <c r="F187" s="2" t="s">
        <v>40</v>
      </c>
      <c r="G187" s="2" t="str">
        <f>VLOOKUP(F187,'Message Mapping'!A:L,3,FALSE)</f>
        <v>Transit;NORMAL;ATUADO;Error</v>
      </c>
      <c r="H187" s="2" t="str">
        <f>VLOOKUP(F187,'Message Mapping'!A:L,4,FALSE)</f>
        <v>0;1;2;3</v>
      </c>
      <c r="I187" s="2"/>
      <c r="J187" s="3" t="str">
        <f>VLOOKUP(F187,'Message Mapping'!A:L,12,FALSE)</f>
        <v>Severidade 4</v>
      </c>
      <c r="K187" s="3"/>
      <c r="L187" s="3"/>
      <c r="M187" s="3"/>
      <c r="N187" s="3"/>
      <c r="O187" s="3"/>
      <c r="P187" s="3"/>
    </row>
    <row r="188" spans="1:16" x14ac:dyDescent="0.25">
      <c r="A188" s="94" t="s">
        <v>302</v>
      </c>
      <c r="B188" s="2" t="s">
        <v>303</v>
      </c>
      <c r="C188" s="2" t="s">
        <v>39</v>
      </c>
      <c r="D188" s="2" t="s">
        <v>12</v>
      </c>
      <c r="E188" s="2" t="s">
        <v>1159</v>
      </c>
      <c r="F188" s="2" t="s">
        <v>40</v>
      </c>
      <c r="G188" s="2" t="str">
        <f>VLOOKUP(F188,'Message Mapping'!A:L,3,FALSE)</f>
        <v>Transit;NORMAL;ATUADO;Error</v>
      </c>
      <c r="H188" s="2" t="str">
        <f>VLOOKUP(F188,'Message Mapping'!A:L,4,FALSE)</f>
        <v>0;1;2;3</v>
      </c>
      <c r="I188" s="2"/>
      <c r="J188" s="3" t="str">
        <f>VLOOKUP(F188,'Message Mapping'!A:L,12,FALSE)</f>
        <v>Severidade 4</v>
      </c>
      <c r="K188" s="3"/>
      <c r="L188" s="3"/>
      <c r="M188" s="3"/>
      <c r="N188" s="3"/>
      <c r="O188" s="3"/>
      <c r="P188" s="3"/>
    </row>
    <row r="189" spans="1:16" x14ac:dyDescent="0.25">
      <c r="A189" s="94" t="s">
        <v>304</v>
      </c>
      <c r="B189" s="2" t="s">
        <v>305</v>
      </c>
      <c r="C189" s="2" t="s">
        <v>39</v>
      </c>
      <c r="D189" s="2" t="s">
        <v>12</v>
      </c>
      <c r="E189" s="2" t="s">
        <v>1159</v>
      </c>
      <c r="F189" s="2" t="s">
        <v>40</v>
      </c>
      <c r="G189" s="2" t="str">
        <f>VLOOKUP(F189,'Message Mapping'!A:L,3,FALSE)</f>
        <v>Transit;NORMAL;ATUADO;Error</v>
      </c>
      <c r="H189" s="2" t="str">
        <f>VLOOKUP(F189,'Message Mapping'!A:L,4,FALSE)</f>
        <v>0;1;2;3</v>
      </c>
      <c r="I189" s="2"/>
      <c r="J189" s="3" t="str">
        <f>VLOOKUP(F189,'Message Mapping'!A:L,12,FALSE)</f>
        <v>Severidade 4</v>
      </c>
      <c r="K189" s="3"/>
      <c r="L189" s="3"/>
      <c r="M189" s="3"/>
      <c r="N189" s="3"/>
      <c r="O189" s="3"/>
      <c r="P189" s="3"/>
    </row>
    <row r="190" spans="1:16" x14ac:dyDescent="0.25">
      <c r="A190" s="94" t="s">
        <v>306</v>
      </c>
      <c r="B190" s="2" t="s">
        <v>307</v>
      </c>
      <c r="C190" s="2" t="s">
        <v>39</v>
      </c>
      <c r="D190" s="2" t="s">
        <v>12</v>
      </c>
      <c r="E190" s="2" t="s">
        <v>1159</v>
      </c>
      <c r="F190" s="2" t="s">
        <v>40</v>
      </c>
      <c r="G190" s="2" t="str">
        <f>VLOOKUP(F190,'Message Mapping'!A:L,3,FALSE)</f>
        <v>Transit;NORMAL;ATUADO;Error</v>
      </c>
      <c r="H190" s="2" t="str">
        <f>VLOOKUP(F190,'Message Mapping'!A:L,4,FALSE)</f>
        <v>0;1;2;3</v>
      </c>
      <c r="I190" s="2"/>
      <c r="J190" s="3" t="str">
        <f>VLOOKUP(F190,'Message Mapping'!A:L,12,FALSE)</f>
        <v>Severidade 4</v>
      </c>
      <c r="K190" s="3"/>
      <c r="L190" s="3"/>
      <c r="M190" s="3"/>
      <c r="N190" s="3"/>
      <c r="O190" s="3"/>
      <c r="P190" s="3"/>
    </row>
    <row r="191" spans="1:16" x14ac:dyDescent="0.25">
      <c r="A191" s="94" t="s">
        <v>308</v>
      </c>
      <c r="B191" s="2" t="s">
        <v>309</v>
      </c>
      <c r="C191" s="2" t="s">
        <v>39</v>
      </c>
      <c r="D191" s="2" t="s">
        <v>12</v>
      </c>
      <c r="E191" s="2" t="s">
        <v>1159</v>
      </c>
      <c r="F191" s="2" t="s">
        <v>40</v>
      </c>
      <c r="G191" s="2" t="str">
        <f>VLOOKUP(F191,'Message Mapping'!A:L,3,FALSE)</f>
        <v>Transit;NORMAL;ATUADO;Error</v>
      </c>
      <c r="H191" s="2" t="str">
        <f>VLOOKUP(F191,'Message Mapping'!A:L,4,FALSE)</f>
        <v>0;1;2;3</v>
      </c>
      <c r="I191" s="2"/>
      <c r="J191" s="3" t="str">
        <f>VLOOKUP(F191,'Message Mapping'!A:L,12,FALSE)</f>
        <v>Severidade 4</v>
      </c>
      <c r="K191" s="3"/>
      <c r="L191" s="3"/>
      <c r="M191" s="3"/>
      <c r="N191" s="3"/>
      <c r="O191" s="3"/>
      <c r="P191" s="3"/>
    </row>
    <row r="192" spans="1:16" x14ac:dyDescent="0.25">
      <c r="A192" s="94" t="s">
        <v>310</v>
      </c>
      <c r="B192" s="2" t="s">
        <v>1153</v>
      </c>
      <c r="C192" s="2" t="s">
        <v>39</v>
      </c>
      <c r="D192" s="2" t="s">
        <v>12</v>
      </c>
      <c r="E192" s="2" t="s">
        <v>1159</v>
      </c>
      <c r="F192" s="2" t="s">
        <v>40</v>
      </c>
      <c r="G192" s="2" t="str">
        <f>VLOOKUP(F192,'Message Mapping'!A:L,3,FALSE)</f>
        <v>Transit;NORMAL;ATUADO;Error</v>
      </c>
      <c r="H192" s="2" t="str">
        <f>VLOOKUP(F192,'Message Mapping'!A:L,4,FALSE)</f>
        <v>0;1;2;3</v>
      </c>
      <c r="I192" s="2"/>
      <c r="J192" s="3" t="str">
        <f>VLOOKUP(F192,'Message Mapping'!A:L,12,FALSE)</f>
        <v>Severidade 4</v>
      </c>
      <c r="K192" s="3"/>
      <c r="L192" s="3"/>
      <c r="M192" s="3"/>
      <c r="N192" s="3"/>
      <c r="O192" s="3"/>
      <c r="P192" s="3"/>
    </row>
    <row r="193" spans="1:16" x14ac:dyDescent="0.25">
      <c r="A193" s="94" t="s">
        <v>311</v>
      </c>
      <c r="B193" s="2" t="s">
        <v>312</v>
      </c>
      <c r="C193" s="2" t="s">
        <v>39</v>
      </c>
      <c r="D193" s="2" t="s">
        <v>12</v>
      </c>
      <c r="E193" s="2" t="s">
        <v>1159</v>
      </c>
      <c r="F193" s="2" t="s">
        <v>40</v>
      </c>
      <c r="G193" s="2" t="str">
        <f>VLOOKUP(F193,'Message Mapping'!A:L,3,FALSE)</f>
        <v>Transit;NORMAL;ATUADO;Error</v>
      </c>
      <c r="H193" s="2" t="str">
        <f>VLOOKUP(F193,'Message Mapping'!A:L,4,FALSE)</f>
        <v>0;1;2;3</v>
      </c>
      <c r="I193" s="2"/>
      <c r="J193" s="3" t="str">
        <f>VLOOKUP(F193,'Message Mapping'!A:L,12,FALSE)</f>
        <v>Severidade 4</v>
      </c>
      <c r="K193" s="3"/>
      <c r="L193" s="3"/>
      <c r="M193" s="3"/>
      <c r="N193" s="3"/>
      <c r="O193" s="3"/>
      <c r="P193" s="3"/>
    </row>
    <row r="194" spans="1:16" x14ac:dyDescent="0.25">
      <c r="A194" s="94" t="s">
        <v>313</v>
      </c>
      <c r="B194" s="2" t="s">
        <v>314</v>
      </c>
      <c r="C194" s="2" t="s">
        <v>39</v>
      </c>
      <c r="D194" s="2" t="s">
        <v>12</v>
      </c>
      <c r="E194" s="2" t="s">
        <v>1159</v>
      </c>
      <c r="F194" s="2" t="s">
        <v>40</v>
      </c>
      <c r="G194" s="2" t="str">
        <f>VLOOKUP(F194,'Message Mapping'!A:L,3,FALSE)</f>
        <v>Transit;NORMAL;ATUADO;Error</v>
      </c>
      <c r="H194" s="2" t="str">
        <f>VLOOKUP(F194,'Message Mapping'!A:L,4,FALSE)</f>
        <v>0;1;2;3</v>
      </c>
      <c r="I194" s="2"/>
      <c r="J194" s="3" t="str">
        <f>VLOOKUP(F194,'Message Mapping'!A:L,12,FALSE)</f>
        <v>Severidade 4</v>
      </c>
      <c r="K194" s="3"/>
      <c r="L194" s="3"/>
      <c r="M194" s="3"/>
      <c r="N194" s="3"/>
      <c r="O194" s="3"/>
      <c r="P194" s="3"/>
    </row>
    <row r="195" spans="1:16" x14ac:dyDescent="0.25">
      <c r="A195" s="94" t="s">
        <v>315</v>
      </c>
      <c r="B195" s="2" t="s">
        <v>316</v>
      </c>
      <c r="C195" s="2" t="s">
        <v>39</v>
      </c>
      <c r="D195" s="2" t="s">
        <v>12</v>
      </c>
      <c r="E195" s="2" t="s">
        <v>1159</v>
      </c>
      <c r="F195" s="2" t="s">
        <v>40</v>
      </c>
      <c r="G195" s="2" t="str">
        <f>VLOOKUP(F195,'Message Mapping'!A:L,3,FALSE)</f>
        <v>Transit;NORMAL;ATUADO;Error</v>
      </c>
      <c r="H195" s="2" t="str">
        <f>VLOOKUP(F195,'Message Mapping'!A:L,4,FALSE)</f>
        <v>0;1;2;3</v>
      </c>
      <c r="I195" s="2"/>
      <c r="J195" s="3" t="str">
        <f>VLOOKUP(F195,'Message Mapping'!A:L,12,FALSE)</f>
        <v>Severidade 4</v>
      </c>
      <c r="K195" s="3"/>
      <c r="L195" s="3"/>
      <c r="M195" s="3"/>
      <c r="N195" s="3"/>
      <c r="O195" s="3"/>
      <c r="P195" s="3"/>
    </row>
    <row r="196" spans="1:16" x14ac:dyDescent="0.25">
      <c r="A196" s="94" t="s">
        <v>317</v>
      </c>
      <c r="B196" s="2" t="s">
        <v>318</v>
      </c>
      <c r="C196" s="2" t="s">
        <v>39</v>
      </c>
      <c r="D196" s="2" t="s">
        <v>12</v>
      </c>
      <c r="E196" s="2" t="s">
        <v>1159</v>
      </c>
      <c r="F196" s="2" t="s">
        <v>40</v>
      </c>
      <c r="G196" s="2" t="str">
        <f>VLOOKUP(F196,'Message Mapping'!A:L,3,FALSE)</f>
        <v>Transit;NORMAL;ATUADO;Error</v>
      </c>
      <c r="H196" s="2" t="str">
        <f>VLOOKUP(F196,'Message Mapping'!A:L,4,FALSE)</f>
        <v>0;1;2;3</v>
      </c>
      <c r="I196" s="2"/>
      <c r="J196" s="3" t="str">
        <f>VLOOKUP(F196,'Message Mapping'!A:L,12,FALSE)</f>
        <v>Severidade 4</v>
      </c>
      <c r="K196" s="3"/>
      <c r="L196" s="3"/>
      <c r="M196" s="3"/>
      <c r="N196" s="3"/>
      <c r="O196" s="3"/>
      <c r="P196" s="3"/>
    </row>
    <row r="197" spans="1:16" x14ac:dyDescent="0.25">
      <c r="A197" s="94" t="s">
        <v>319</v>
      </c>
      <c r="B197" s="2" t="s">
        <v>320</v>
      </c>
      <c r="C197" s="2" t="s">
        <v>39</v>
      </c>
      <c r="D197" s="2" t="s">
        <v>12</v>
      </c>
      <c r="E197" s="2" t="s">
        <v>1159</v>
      </c>
      <c r="F197" s="2" t="s">
        <v>40</v>
      </c>
      <c r="G197" s="2" t="str">
        <f>VLOOKUP(F197,'Message Mapping'!A:L,3,FALSE)</f>
        <v>Transit;NORMAL;ATUADO;Error</v>
      </c>
      <c r="H197" s="2" t="str">
        <f>VLOOKUP(F197,'Message Mapping'!A:L,4,FALSE)</f>
        <v>0;1;2;3</v>
      </c>
      <c r="I197" s="2"/>
      <c r="J197" s="3" t="str">
        <f>VLOOKUP(F197,'Message Mapping'!A:L,12,FALSE)</f>
        <v>Severidade 4</v>
      </c>
      <c r="K197" s="3"/>
      <c r="L197" s="3"/>
      <c r="M197" s="3"/>
      <c r="N197" s="3"/>
      <c r="O197" s="3"/>
      <c r="P197" s="3"/>
    </row>
    <row r="198" spans="1:16" x14ac:dyDescent="0.25">
      <c r="A198" s="94" t="s">
        <v>4237</v>
      </c>
      <c r="B198" s="6" t="s">
        <v>321</v>
      </c>
      <c r="C198" s="2" t="s">
        <v>34</v>
      </c>
      <c r="D198" s="2" t="s">
        <v>35</v>
      </c>
      <c r="E198" s="2" t="s">
        <v>1160</v>
      </c>
      <c r="F198" s="2" t="s">
        <v>113</v>
      </c>
      <c r="G198" s="2" t="str">
        <f>VLOOKUP(F198,'Message Mapping'!A:L,3,FALSE)</f>
        <v>Transit;INCLUIDO;EXCLUIDO;Error</v>
      </c>
      <c r="H198" s="2" t="str">
        <f>VLOOKUP(F198,'Message Mapping'!A:L,4,FALSE)</f>
        <v>0;1;2;3</v>
      </c>
      <c r="I198" s="2"/>
      <c r="J198" s="3" t="str">
        <f>VLOOKUP(F198,'Message Mapping'!A:L,12,FALSE)</f>
        <v>Severidade 8</v>
      </c>
      <c r="K198" s="3"/>
      <c r="L198" s="3"/>
      <c r="M198" s="3"/>
      <c r="N198" s="3"/>
      <c r="O198" s="3"/>
      <c r="P198" s="3"/>
    </row>
    <row r="199" spans="1:16" x14ac:dyDescent="0.25">
      <c r="A199" s="94" t="s">
        <v>4237</v>
      </c>
      <c r="B199" s="2" t="s">
        <v>321</v>
      </c>
      <c r="C199" s="2" t="s">
        <v>34</v>
      </c>
      <c r="D199" s="2" t="s">
        <v>35</v>
      </c>
      <c r="E199" s="2" t="s">
        <v>1159</v>
      </c>
      <c r="F199" s="2" t="s">
        <v>36</v>
      </c>
      <c r="G199" s="2" t="str">
        <f>VLOOKUP(F199,'Message Mapping'!A:L,3,FALSE)</f>
        <v>Transit;INCLUIDO;EXCLUIDO;Error</v>
      </c>
      <c r="H199" s="2" t="str">
        <f>VLOOKUP(F199,'Message Mapping'!A:L,4,FALSE)</f>
        <v>0;1;2;3</v>
      </c>
      <c r="I199" s="2"/>
      <c r="J199" s="3" t="str">
        <f>VLOOKUP(F199,'Message Mapping'!A:L,12,FALSE)</f>
        <v>Severidade 8</v>
      </c>
      <c r="K199" s="3"/>
      <c r="L199" s="3"/>
      <c r="M199" s="3"/>
      <c r="N199" s="3"/>
      <c r="O199" s="3"/>
      <c r="P199" s="3"/>
    </row>
    <row r="200" spans="1:16" x14ac:dyDescent="0.25">
      <c r="A200" s="94" t="s">
        <v>322</v>
      </c>
      <c r="B200" s="2" t="s">
        <v>323</v>
      </c>
      <c r="C200" s="2" t="s">
        <v>34</v>
      </c>
      <c r="D200" s="2" t="s">
        <v>35</v>
      </c>
      <c r="E200" s="2" t="s">
        <v>1160</v>
      </c>
      <c r="F200" s="2" t="s">
        <v>113</v>
      </c>
      <c r="G200" s="2" t="str">
        <f>VLOOKUP(F200,'Message Mapping'!A:L,3,FALSE)</f>
        <v>Transit;INCLUIDO;EXCLUIDO;Error</v>
      </c>
      <c r="H200" s="2" t="str">
        <f>VLOOKUP(F200,'Message Mapping'!A:L,4,FALSE)</f>
        <v>0;1;2;3</v>
      </c>
      <c r="I200" s="2"/>
      <c r="J200" s="3" t="str">
        <f>VLOOKUP(F200,'Message Mapping'!A:L,12,FALSE)</f>
        <v>Severidade 8</v>
      </c>
      <c r="K200" s="3"/>
      <c r="L200" s="3"/>
      <c r="M200" s="3"/>
      <c r="N200" s="3"/>
      <c r="O200" s="3"/>
      <c r="P200" s="3"/>
    </row>
    <row r="201" spans="1:16" x14ac:dyDescent="0.25">
      <c r="A201" s="94" t="s">
        <v>322</v>
      </c>
      <c r="B201" s="2" t="s">
        <v>323</v>
      </c>
      <c r="C201" s="2" t="s">
        <v>34</v>
      </c>
      <c r="D201" s="2" t="s">
        <v>35</v>
      </c>
      <c r="E201" s="2" t="s">
        <v>1159</v>
      </c>
      <c r="F201" s="2" t="s">
        <v>36</v>
      </c>
      <c r="G201" s="2" t="str">
        <f>VLOOKUP(F201,'Message Mapping'!A:L,3,FALSE)</f>
        <v>Transit;INCLUIDO;EXCLUIDO;Error</v>
      </c>
      <c r="H201" s="2" t="str">
        <f>VLOOKUP(F201,'Message Mapping'!A:L,4,FALSE)</f>
        <v>0;1;2;3</v>
      </c>
      <c r="I201" s="2"/>
      <c r="J201" s="3" t="str">
        <f>VLOOKUP(F201,'Message Mapping'!A:L,12,FALSE)</f>
        <v>Severidade 8</v>
      </c>
      <c r="K201" s="3"/>
      <c r="L201" s="3"/>
      <c r="M201" s="3"/>
      <c r="N201" s="3"/>
      <c r="O201" s="3"/>
      <c r="P201" s="3"/>
    </row>
    <row r="202" spans="1:16" x14ac:dyDescent="0.25">
      <c r="A202" s="94" t="s">
        <v>324</v>
      </c>
      <c r="B202" s="2" t="s">
        <v>325</v>
      </c>
      <c r="C202" s="2" t="s">
        <v>39</v>
      </c>
      <c r="D202" s="2" t="s">
        <v>12</v>
      </c>
      <c r="E202" s="2" t="s">
        <v>1159</v>
      </c>
      <c r="F202" s="2" t="s">
        <v>40</v>
      </c>
      <c r="G202" s="2" t="str">
        <f>VLOOKUP(F202,'Message Mapping'!A:L,3,FALSE)</f>
        <v>Transit;NORMAL;ATUADO;Error</v>
      </c>
      <c r="H202" s="2" t="str">
        <f>VLOOKUP(F202,'Message Mapping'!A:L,4,FALSE)</f>
        <v>0;1;2;3</v>
      </c>
      <c r="I202" s="2"/>
      <c r="J202" s="3" t="str">
        <f>VLOOKUP(F202,'Message Mapping'!A:L,12,FALSE)</f>
        <v>Severidade 4</v>
      </c>
      <c r="K202" s="3"/>
      <c r="L202" s="3"/>
      <c r="M202" s="3"/>
      <c r="N202" s="3"/>
      <c r="O202" s="3"/>
      <c r="P202" s="3"/>
    </row>
    <row r="203" spans="1:16" x14ac:dyDescent="0.25">
      <c r="A203" s="94" t="s">
        <v>4397</v>
      </c>
      <c r="B203" s="2" t="s">
        <v>4398</v>
      </c>
      <c r="C203" s="2" t="s">
        <v>39</v>
      </c>
      <c r="D203" s="2" t="s">
        <v>12</v>
      </c>
      <c r="E203" s="2" t="s">
        <v>1159</v>
      </c>
      <c r="F203" s="2" t="s">
        <v>40</v>
      </c>
      <c r="G203" s="2" t="str">
        <f>VLOOKUP(F203,'Message Mapping'!A:L,3,FALSE)</f>
        <v>Transit;NORMAL;ATUADO;Error</v>
      </c>
      <c r="H203" s="2" t="str">
        <f>VLOOKUP(F203,'Message Mapping'!A:L,4,FALSE)</f>
        <v>0;1;2;3</v>
      </c>
      <c r="I203" s="2"/>
      <c r="J203" s="3" t="str">
        <f>VLOOKUP(F203,'Message Mapping'!A:L,12,FALSE)</f>
        <v>Severidade 4</v>
      </c>
      <c r="K203" s="3"/>
      <c r="L203" s="3"/>
      <c r="M203" s="3"/>
      <c r="N203" s="3"/>
      <c r="O203" s="3"/>
      <c r="P203" s="3"/>
    </row>
    <row r="204" spans="1:16" x14ac:dyDescent="0.25">
      <c r="A204" s="94" t="s">
        <v>4399</v>
      </c>
      <c r="B204" s="2" t="s">
        <v>4400</v>
      </c>
      <c r="C204" s="2" t="s">
        <v>39</v>
      </c>
      <c r="D204" s="2" t="s">
        <v>12</v>
      </c>
      <c r="E204" s="2" t="s">
        <v>1159</v>
      </c>
      <c r="F204" s="2" t="s">
        <v>40</v>
      </c>
      <c r="G204" s="2" t="str">
        <f>VLOOKUP(F204,'Message Mapping'!A:L,3,FALSE)</f>
        <v>Transit;NORMAL;ATUADO;Error</v>
      </c>
      <c r="H204" s="2" t="str">
        <f>VLOOKUP(F204,'Message Mapping'!A:L,4,FALSE)</f>
        <v>0;1;2;3</v>
      </c>
      <c r="I204" s="2"/>
      <c r="J204" s="3" t="str">
        <f>VLOOKUP(F204,'Message Mapping'!A:L,12,FALSE)</f>
        <v>Severidade 4</v>
      </c>
      <c r="K204" s="3"/>
      <c r="L204" s="3"/>
      <c r="M204" s="3"/>
      <c r="N204" s="3"/>
      <c r="O204" s="3"/>
      <c r="P204" s="3"/>
    </row>
    <row r="205" spans="1:16" x14ac:dyDescent="0.25">
      <c r="A205" s="94" t="s">
        <v>4401</v>
      </c>
      <c r="B205" s="2" t="s">
        <v>4402</v>
      </c>
      <c r="C205" s="2" t="s">
        <v>39</v>
      </c>
      <c r="D205" s="2" t="s">
        <v>12</v>
      </c>
      <c r="E205" s="2" t="s">
        <v>1159</v>
      </c>
      <c r="F205" s="2" t="s">
        <v>40</v>
      </c>
      <c r="G205" s="2" t="str">
        <f>VLOOKUP(F205,'Message Mapping'!A:L,3,FALSE)</f>
        <v>Transit;NORMAL;ATUADO;Error</v>
      </c>
      <c r="H205" s="2" t="str">
        <f>VLOOKUP(F205,'Message Mapping'!A:L,4,FALSE)</f>
        <v>0;1;2;3</v>
      </c>
      <c r="I205" s="2"/>
      <c r="J205" s="3" t="str">
        <f>VLOOKUP(F205,'Message Mapping'!A:L,12,FALSE)</f>
        <v>Severidade 4</v>
      </c>
      <c r="K205" s="3"/>
      <c r="L205" s="3"/>
      <c r="M205" s="3"/>
      <c r="N205" s="3"/>
      <c r="O205" s="3"/>
      <c r="P205" s="3"/>
    </row>
    <row r="206" spans="1:16" x14ac:dyDescent="0.25">
      <c r="A206" s="94" t="s">
        <v>4403</v>
      </c>
      <c r="B206" s="2" t="s">
        <v>4404</v>
      </c>
      <c r="C206" s="2" t="s">
        <v>39</v>
      </c>
      <c r="D206" s="2" t="s">
        <v>12</v>
      </c>
      <c r="E206" s="2" t="s">
        <v>1159</v>
      </c>
      <c r="F206" s="2" t="s">
        <v>40</v>
      </c>
      <c r="G206" s="2" t="str">
        <f>VLOOKUP(F206,'Message Mapping'!A:L,3,FALSE)</f>
        <v>Transit;NORMAL;ATUADO;Error</v>
      </c>
      <c r="H206" s="2" t="str">
        <f>VLOOKUP(F206,'Message Mapping'!A:L,4,FALSE)</f>
        <v>0;1;2;3</v>
      </c>
      <c r="I206" s="2"/>
      <c r="J206" s="3" t="str">
        <f>VLOOKUP(F206,'Message Mapping'!A:L,12,FALSE)</f>
        <v>Severidade 4</v>
      </c>
      <c r="K206" s="3"/>
      <c r="L206" s="3"/>
      <c r="M206" s="3"/>
      <c r="N206" s="3"/>
      <c r="O206" s="3"/>
      <c r="P206" s="3"/>
    </row>
    <row r="207" spans="1:16" x14ac:dyDescent="0.25">
      <c r="A207" s="94" t="s">
        <v>326</v>
      </c>
      <c r="B207" s="2" t="s">
        <v>327</v>
      </c>
      <c r="C207" s="2" t="s">
        <v>11</v>
      </c>
      <c r="D207" s="2" t="s">
        <v>12</v>
      </c>
      <c r="E207" s="2" t="s">
        <v>1159</v>
      </c>
      <c r="F207" s="2" t="s">
        <v>13</v>
      </c>
      <c r="G207" s="2" t="str">
        <f>VLOOKUP(F207,'Message Mapping'!A:L,3,FALSE)</f>
        <v>Transit;NORMAL;ATUADO;Error</v>
      </c>
      <c r="H207" s="2" t="str">
        <f>VLOOKUP(F207,'Message Mapping'!A:L,4,FALSE)</f>
        <v>0;1;2;3</v>
      </c>
      <c r="I207" s="2"/>
      <c r="J207" s="3" t="str">
        <f>VLOOKUP(F207,'Message Mapping'!A:L,12,FALSE)</f>
        <v>Severidade 4</v>
      </c>
      <c r="K207" s="3"/>
      <c r="L207" s="3"/>
      <c r="M207" s="3"/>
      <c r="N207" s="3"/>
      <c r="O207" s="3"/>
      <c r="P207" s="3"/>
    </row>
    <row r="208" spans="1:16" x14ac:dyDescent="0.25">
      <c r="A208" s="94" t="s">
        <v>328</v>
      </c>
      <c r="B208" s="2" t="s">
        <v>329</v>
      </c>
      <c r="C208" s="2" t="s">
        <v>11</v>
      </c>
      <c r="D208" s="2" t="s">
        <v>12</v>
      </c>
      <c r="E208" s="2" t="s">
        <v>1159</v>
      </c>
      <c r="F208" s="2" t="s">
        <v>13</v>
      </c>
      <c r="G208" s="2" t="str">
        <f>VLOOKUP(F208,'Message Mapping'!A:L,3,FALSE)</f>
        <v>Transit;NORMAL;ATUADO;Error</v>
      </c>
      <c r="H208" s="2" t="str">
        <f>VLOOKUP(F208,'Message Mapping'!A:L,4,FALSE)</f>
        <v>0;1;2;3</v>
      </c>
      <c r="I208" s="2"/>
      <c r="J208" s="3" t="str">
        <f>VLOOKUP(F208,'Message Mapping'!A:L,12,FALSE)</f>
        <v>Severidade 4</v>
      </c>
      <c r="K208" s="3"/>
      <c r="L208" s="3"/>
      <c r="M208" s="3"/>
      <c r="N208" s="3"/>
      <c r="O208" s="3"/>
      <c r="P208" s="3"/>
    </row>
    <row r="209" spans="1:16" x14ac:dyDescent="0.25">
      <c r="A209" s="94" t="s">
        <v>330</v>
      </c>
      <c r="B209" s="2" t="s">
        <v>331</v>
      </c>
      <c r="C209" s="2" t="s">
        <v>11</v>
      </c>
      <c r="D209" s="2" t="s">
        <v>12</v>
      </c>
      <c r="E209" s="2" t="s">
        <v>1159</v>
      </c>
      <c r="F209" s="2" t="s">
        <v>13</v>
      </c>
      <c r="G209" s="2" t="str">
        <f>VLOOKUP(F209,'Message Mapping'!A:L,3,FALSE)</f>
        <v>Transit;NORMAL;ATUADO;Error</v>
      </c>
      <c r="H209" s="2" t="str">
        <f>VLOOKUP(F209,'Message Mapping'!A:L,4,FALSE)</f>
        <v>0;1;2;3</v>
      </c>
      <c r="I209" s="2"/>
      <c r="J209" s="3" t="str">
        <f>VLOOKUP(F209,'Message Mapping'!A:L,12,FALSE)</f>
        <v>Severidade 4</v>
      </c>
      <c r="K209" s="3"/>
      <c r="L209" s="3"/>
      <c r="M209" s="3"/>
      <c r="N209" s="3"/>
      <c r="O209" s="3"/>
      <c r="P209" s="3"/>
    </row>
    <row r="210" spans="1:16" x14ac:dyDescent="0.25">
      <c r="A210" s="94" t="s">
        <v>332</v>
      </c>
      <c r="B210" s="2" t="s">
        <v>333</v>
      </c>
      <c r="C210" s="2" t="s">
        <v>11</v>
      </c>
      <c r="D210" s="2" t="s">
        <v>12</v>
      </c>
      <c r="E210" s="2" t="s">
        <v>1159</v>
      </c>
      <c r="F210" s="2" t="s">
        <v>13</v>
      </c>
      <c r="G210" s="2" t="str">
        <f>VLOOKUP(F210,'Message Mapping'!A:L,3,FALSE)</f>
        <v>Transit;NORMAL;ATUADO;Error</v>
      </c>
      <c r="H210" s="2" t="str">
        <f>VLOOKUP(F210,'Message Mapping'!A:L,4,FALSE)</f>
        <v>0;1;2;3</v>
      </c>
      <c r="I210" s="2"/>
      <c r="J210" s="3" t="str">
        <f>VLOOKUP(F210,'Message Mapping'!A:L,12,FALSE)</f>
        <v>Severidade 4</v>
      </c>
      <c r="K210" s="3"/>
      <c r="L210" s="3"/>
      <c r="M210" s="3"/>
      <c r="N210" s="3"/>
      <c r="O210" s="3"/>
      <c r="P210" s="3"/>
    </row>
    <row r="211" spans="1:16" x14ac:dyDescent="0.25">
      <c r="A211" s="94" t="s">
        <v>334</v>
      </c>
      <c r="B211" s="2" t="s">
        <v>335</v>
      </c>
      <c r="C211" s="2" t="s">
        <v>11</v>
      </c>
      <c r="D211" s="2" t="s">
        <v>12</v>
      </c>
      <c r="E211" s="2" t="s">
        <v>1159</v>
      </c>
      <c r="F211" s="2" t="s">
        <v>13</v>
      </c>
      <c r="G211" s="2" t="str">
        <f>VLOOKUP(F211,'Message Mapping'!A:L,3,FALSE)</f>
        <v>Transit;NORMAL;ATUADO;Error</v>
      </c>
      <c r="H211" s="2" t="str">
        <f>VLOOKUP(F211,'Message Mapping'!A:L,4,FALSE)</f>
        <v>0;1;2;3</v>
      </c>
      <c r="I211" s="2"/>
      <c r="J211" s="3" t="str">
        <f>VLOOKUP(F211,'Message Mapping'!A:L,12,FALSE)</f>
        <v>Severidade 4</v>
      </c>
      <c r="K211" s="3"/>
      <c r="L211" s="3"/>
      <c r="M211" s="3"/>
      <c r="N211" s="3"/>
      <c r="O211" s="3"/>
      <c r="P211" s="3"/>
    </row>
    <row r="212" spans="1:16" x14ac:dyDescent="0.25">
      <c r="A212" s="94" t="s">
        <v>336</v>
      </c>
      <c r="B212" s="2" t="s">
        <v>337</v>
      </c>
      <c r="C212" s="2" t="s">
        <v>11</v>
      </c>
      <c r="D212" s="2" t="s">
        <v>12</v>
      </c>
      <c r="E212" s="2" t="s">
        <v>1159</v>
      </c>
      <c r="F212" s="2" t="s">
        <v>13</v>
      </c>
      <c r="G212" s="2" t="str">
        <f>VLOOKUP(F212,'Message Mapping'!A:L,3,FALSE)</f>
        <v>Transit;NORMAL;ATUADO;Error</v>
      </c>
      <c r="H212" s="2" t="str">
        <f>VLOOKUP(F212,'Message Mapping'!A:L,4,FALSE)</f>
        <v>0;1;2;3</v>
      </c>
      <c r="I212" s="2"/>
      <c r="J212" s="3" t="str">
        <f>VLOOKUP(F212,'Message Mapping'!A:L,12,FALSE)</f>
        <v>Severidade 4</v>
      </c>
      <c r="K212" s="3"/>
      <c r="L212" s="3"/>
      <c r="M212" s="3"/>
      <c r="N212" s="3"/>
      <c r="O212" s="3"/>
      <c r="P212" s="3"/>
    </row>
    <row r="213" spans="1:16" x14ac:dyDescent="0.25">
      <c r="A213" s="94" t="s">
        <v>338</v>
      </c>
      <c r="B213" s="2" t="s">
        <v>339</v>
      </c>
      <c r="C213" s="2" t="s">
        <v>11</v>
      </c>
      <c r="D213" s="2" t="s">
        <v>12</v>
      </c>
      <c r="E213" s="2" t="s">
        <v>1159</v>
      </c>
      <c r="F213" s="2" t="s">
        <v>13</v>
      </c>
      <c r="G213" s="2" t="str">
        <f>VLOOKUP(F213,'Message Mapping'!A:L,3,FALSE)</f>
        <v>Transit;NORMAL;ATUADO;Error</v>
      </c>
      <c r="H213" s="2" t="str">
        <f>VLOOKUP(F213,'Message Mapping'!A:L,4,FALSE)</f>
        <v>0;1;2;3</v>
      </c>
      <c r="I213" s="2"/>
      <c r="J213" s="3" t="str">
        <f>VLOOKUP(F213,'Message Mapping'!A:L,12,FALSE)</f>
        <v>Severidade 4</v>
      </c>
      <c r="K213" s="3"/>
      <c r="L213" s="3"/>
      <c r="M213" s="3"/>
      <c r="N213" s="3"/>
      <c r="O213" s="3"/>
      <c r="P213" s="3"/>
    </row>
    <row r="214" spans="1:16" x14ac:dyDescent="0.25">
      <c r="A214" s="94" t="s">
        <v>340</v>
      </c>
      <c r="B214" s="2" t="s">
        <v>341</v>
      </c>
      <c r="C214" s="2" t="s">
        <v>11</v>
      </c>
      <c r="D214" s="2" t="s">
        <v>12</v>
      </c>
      <c r="E214" s="2" t="s">
        <v>1159</v>
      </c>
      <c r="F214" s="2" t="s">
        <v>13</v>
      </c>
      <c r="G214" s="2" t="str">
        <f>VLOOKUP(F214,'Message Mapping'!A:L,3,FALSE)</f>
        <v>Transit;NORMAL;ATUADO;Error</v>
      </c>
      <c r="H214" s="2" t="str">
        <f>VLOOKUP(F214,'Message Mapping'!A:L,4,FALSE)</f>
        <v>0;1;2;3</v>
      </c>
      <c r="I214" s="2"/>
      <c r="J214" s="3" t="str">
        <f>VLOOKUP(F214,'Message Mapping'!A:L,12,FALSE)</f>
        <v>Severidade 4</v>
      </c>
      <c r="K214" s="3"/>
      <c r="L214" s="3"/>
      <c r="M214" s="3"/>
      <c r="N214" s="3"/>
      <c r="O214" s="3"/>
      <c r="P214" s="3"/>
    </row>
    <row r="215" spans="1:16" x14ac:dyDescent="0.25">
      <c r="A215" s="94" t="s">
        <v>4238</v>
      </c>
      <c r="B215" s="2" t="s">
        <v>4335</v>
      </c>
      <c r="C215" s="2" t="s">
        <v>11</v>
      </c>
      <c r="D215" s="2" t="s">
        <v>12</v>
      </c>
      <c r="E215" s="2" t="s">
        <v>1159</v>
      </c>
      <c r="F215" s="2" t="s">
        <v>13</v>
      </c>
      <c r="G215" s="2" t="str">
        <f>VLOOKUP(F215,'Message Mapping'!A:L,3,FALSE)</f>
        <v>Transit;NORMAL;ATUADO;Error</v>
      </c>
      <c r="H215" s="2" t="str">
        <f>VLOOKUP(F215,'Message Mapping'!A:L,4,FALSE)</f>
        <v>0;1;2;3</v>
      </c>
      <c r="I215" s="2"/>
      <c r="J215" s="3" t="str">
        <f>VLOOKUP(F215,'Message Mapping'!A:L,12,FALSE)</f>
        <v>Severidade 4</v>
      </c>
      <c r="K215" s="3"/>
      <c r="L215" s="3"/>
      <c r="M215" s="3"/>
      <c r="N215" s="3"/>
      <c r="O215" s="3"/>
      <c r="P215" s="3"/>
    </row>
    <row r="216" spans="1:16" x14ac:dyDescent="0.25">
      <c r="A216" s="94" t="s">
        <v>342</v>
      </c>
      <c r="B216" s="2" t="s">
        <v>343</v>
      </c>
      <c r="C216" s="2" t="s">
        <v>11</v>
      </c>
      <c r="D216" s="2" t="s">
        <v>12</v>
      </c>
      <c r="E216" s="2" t="s">
        <v>1159</v>
      </c>
      <c r="F216" s="2" t="s">
        <v>13</v>
      </c>
      <c r="G216" s="2" t="str">
        <f>VLOOKUP(F216,'Message Mapping'!A:L,3,FALSE)</f>
        <v>Transit;NORMAL;ATUADO;Error</v>
      </c>
      <c r="H216" s="2" t="str">
        <f>VLOOKUP(F216,'Message Mapping'!A:L,4,FALSE)</f>
        <v>0;1;2;3</v>
      </c>
      <c r="I216" s="2"/>
      <c r="J216" s="3" t="str">
        <f>VLOOKUP(F216,'Message Mapping'!A:L,12,FALSE)</f>
        <v>Severidade 4</v>
      </c>
      <c r="K216" s="3"/>
      <c r="L216" s="3"/>
      <c r="M216" s="3"/>
      <c r="N216" s="3"/>
      <c r="O216" s="3"/>
      <c r="P216" s="3"/>
    </row>
    <row r="217" spans="1:16" x14ac:dyDescent="0.25">
      <c r="A217" s="94" t="s">
        <v>344</v>
      </c>
      <c r="B217" s="2" t="s">
        <v>345</v>
      </c>
      <c r="C217" s="2" t="s">
        <v>11</v>
      </c>
      <c r="D217" s="2" t="s">
        <v>12</v>
      </c>
      <c r="E217" s="2" t="s">
        <v>1159</v>
      </c>
      <c r="F217" s="2" t="s">
        <v>13</v>
      </c>
      <c r="G217" s="2" t="str">
        <f>VLOOKUP(F217,'Message Mapping'!A:L,3,FALSE)</f>
        <v>Transit;NORMAL;ATUADO;Error</v>
      </c>
      <c r="H217" s="2" t="str">
        <f>VLOOKUP(F217,'Message Mapping'!A:L,4,FALSE)</f>
        <v>0;1;2;3</v>
      </c>
      <c r="I217" s="2"/>
      <c r="J217" s="3" t="str">
        <f>VLOOKUP(F217,'Message Mapping'!A:L,12,FALSE)</f>
        <v>Severidade 4</v>
      </c>
      <c r="K217" s="3"/>
      <c r="L217" s="3"/>
      <c r="M217" s="3"/>
      <c r="N217" s="3"/>
      <c r="O217" s="3"/>
      <c r="P217" s="3"/>
    </row>
    <row r="218" spans="1:16" x14ac:dyDescent="0.25">
      <c r="A218" s="94" t="s">
        <v>346</v>
      </c>
      <c r="B218" s="2" t="s">
        <v>347</v>
      </c>
      <c r="C218" s="2" t="s">
        <v>11</v>
      </c>
      <c r="D218" s="2" t="s">
        <v>12</v>
      </c>
      <c r="E218" s="2" t="s">
        <v>1159</v>
      </c>
      <c r="F218" s="2" t="s">
        <v>13</v>
      </c>
      <c r="G218" s="2" t="str">
        <f>VLOOKUP(F218,'Message Mapping'!A:L,3,FALSE)</f>
        <v>Transit;NORMAL;ATUADO;Error</v>
      </c>
      <c r="H218" s="2" t="str">
        <f>VLOOKUP(F218,'Message Mapping'!A:L,4,FALSE)</f>
        <v>0;1;2;3</v>
      </c>
      <c r="I218" s="2"/>
      <c r="J218" s="3" t="str">
        <f>VLOOKUP(F218,'Message Mapping'!A:L,12,FALSE)</f>
        <v>Severidade 4</v>
      </c>
      <c r="K218" s="3"/>
      <c r="L218" s="3"/>
      <c r="M218" s="3"/>
      <c r="N218" s="3"/>
      <c r="O218" s="3"/>
      <c r="P218" s="3"/>
    </row>
    <row r="219" spans="1:16" x14ac:dyDescent="0.25">
      <c r="A219" s="94" t="s">
        <v>348</v>
      </c>
      <c r="B219" s="2" t="s">
        <v>349</v>
      </c>
      <c r="C219" s="2" t="s">
        <v>39</v>
      </c>
      <c r="D219" s="2" t="s">
        <v>12</v>
      </c>
      <c r="E219" s="2" t="s">
        <v>1159</v>
      </c>
      <c r="F219" s="2" t="s">
        <v>40</v>
      </c>
      <c r="G219" s="2" t="str">
        <f>VLOOKUP(F219,'Message Mapping'!A:L,3,FALSE)</f>
        <v>Transit;NORMAL;ATUADO;Error</v>
      </c>
      <c r="H219" s="2" t="str">
        <f>VLOOKUP(F219,'Message Mapping'!A:L,4,FALSE)</f>
        <v>0;1;2;3</v>
      </c>
      <c r="I219" s="2"/>
      <c r="J219" s="3" t="str">
        <f>VLOOKUP(F219,'Message Mapping'!A:L,12,FALSE)</f>
        <v>Severidade 4</v>
      </c>
      <c r="K219" s="3"/>
      <c r="L219" s="3"/>
      <c r="M219" s="3"/>
      <c r="N219" s="3"/>
      <c r="O219" s="3"/>
      <c r="P219" s="3"/>
    </row>
    <row r="220" spans="1:16" x14ac:dyDescent="0.25">
      <c r="A220" s="94" t="s">
        <v>350</v>
      </c>
      <c r="B220" s="2" t="s">
        <v>351</v>
      </c>
      <c r="C220" s="2" t="s">
        <v>39</v>
      </c>
      <c r="D220" s="2" t="s">
        <v>12</v>
      </c>
      <c r="E220" s="2" t="s">
        <v>1159</v>
      </c>
      <c r="F220" s="2" t="s">
        <v>40</v>
      </c>
      <c r="G220" s="2" t="str">
        <f>VLOOKUP(F220,'Message Mapping'!A:L,3,FALSE)</f>
        <v>Transit;NORMAL;ATUADO;Error</v>
      </c>
      <c r="H220" s="2" t="str">
        <f>VLOOKUP(F220,'Message Mapping'!A:L,4,FALSE)</f>
        <v>0;1;2;3</v>
      </c>
      <c r="I220" s="2"/>
      <c r="J220" s="3" t="str">
        <f>VLOOKUP(F220,'Message Mapping'!A:L,12,FALSE)</f>
        <v>Severidade 4</v>
      </c>
      <c r="K220" s="3"/>
      <c r="L220" s="3"/>
      <c r="M220" s="3"/>
      <c r="N220" s="3"/>
      <c r="O220" s="3"/>
      <c r="P220" s="3"/>
    </row>
    <row r="221" spans="1:16" x14ac:dyDescent="0.25">
      <c r="A221" s="94" t="s">
        <v>4239</v>
      </c>
      <c r="B221" s="2" t="s">
        <v>352</v>
      </c>
      <c r="C221" s="2" t="s">
        <v>353</v>
      </c>
      <c r="D221" s="2" t="s">
        <v>35</v>
      </c>
      <c r="E221" s="2" t="s">
        <v>1160</v>
      </c>
      <c r="F221" s="2" t="s">
        <v>113</v>
      </c>
      <c r="G221" s="2" t="str">
        <f>VLOOKUP(F221,'Message Mapping'!A:L,3,FALSE)</f>
        <v>Transit;INCLUIDO;EXCLUIDO;Error</v>
      </c>
      <c r="H221" s="2" t="str">
        <f>VLOOKUP(F221,'Message Mapping'!A:L,4,FALSE)</f>
        <v>0;1;2;3</v>
      </c>
      <c r="I221" s="2"/>
      <c r="J221" s="3" t="str">
        <f>VLOOKUP(F221,'Message Mapping'!A:L,12,FALSE)</f>
        <v>Severidade 8</v>
      </c>
      <c r="K221" s="3"/>
      <c r="L221" s="3"/>
      <c r="M221" s="3"/>
      <c r="N221" s="3"/>
      <c r="O221" s="3"/>
      <c r="P221" s="3"/>
    </row>
    <row r="222" spans="1:16" x14ac:dyDescent="0.25">
      <c r="A222" s="94" t="s">
        <v>4239</v>
      </c>
      <c r="B222" s="2" t="s">
        <v>352</v>
      </c>
      <c r="C222" s="2" t="s">
        <v>353</v>
      </c>
      <c r="D222" s="2" t="s">
        <v>35</v>
      </c>
      <c r="E222" s="2" t="s">
        <v>1159</v>
      </c>
      <c r="F222" s="2" t="s">
        <v>36</v>
      </c>
      <c r="G222" s="2" t="str">
        <f>VLOOKUP(F222,'Message Mapping'!A:L,3,FALSE)</f>
        <v>Transit;INCLUIDO;EXCLUIDO;Error</v>
      </c>
      <c r="H222" s="2" t="str">
        <f>VLOOKUP(F222,'Message Mapping'!A:L,4,FALSE)</f>
        <v>0;1;2;3</v>
      </c>
      <c r="I222" s="2"/>
      <c r="J222" s="3" t="str">
        <f>VLOOKUP(F222,'Message Mapping'!A:L,12,FALSE)</f>
        <v>Severidade 8</v>
      </c>
      <c r="K222" s="3"/>
      <c r="L222" s="3"/>
      <c r="M222" s="3"/>
      <c r="N222" s="3"/>
      <c r="O222" s="3"/>
      <c r="P222" s="3"/>
    </row>
    <row r="223" spans="1:16" x14ac:dyDescent="0.25">
      <c r="A223" s="94" t="s">
        <v>354</v>
      </c>
      <c r="B223" s="2" t="s">
        <v>355</v>
      </c>
      <c r="C223" s="2" t="s">
        <v>11</v>
      </c>
      <c r="D223" s="2" t="s">
        <v>12</v>
      </c>
      <c r="E223" s="2" t="s">
        <v>1159</v>
      </c>
      <c r="F223" s="2" t="s">
        <v>13</v>
      </c>
      <c r="G223" s="2" t="str">
        <f>VLOOKUP(F223,'Message Mapping'!A:L,3,FALSE)</f>
        <v>Transit;NORMAL;ATUADO;Error</v>
      </c>
      <c r="H223" s="2" t="str">
        <f>VLOOKUP(F223,'Message Mapping'!A:L,4,FALSE)</f>
        <v>0;1;2;3</v>
      </c>
      <c r="I223" s="2"/>
      <c r="J223" s="3" t="str">
        <f>VLOOKUP(F223,'Message Mapping'!A:L,12,FALSE)</f>
        <v>Severidade 4</v>
      </c>
      <c r="K223" s="3"/>
      <c r="L223" s="3"/>
      <c r="M223" s="3"/>
      <c r="N223" s="3"/>
      <c r="O223" s="3"/>
      <c r="P223" s="3"/>
    </row>
    <row r="224" spans="1:16" x14ac:dyDescent="0.25">
      <c r="A224" s="94" t="s">
        <v>356</v>
      </c>
      <c r="B224" s="2" t="s">
        <v>357</v>
      </c>
      <c r="C224" s="2" t="s">
        <v>358</v>
      </c>
      <c r="D224" s="2" t="s">
        <v>12</v>
      </c>
      <c r="E224" s="2" t="s">
        <v>1159</v>
      </c>
      <c r="F224" s="2" t="s">
        <v>1278</v>
      </c>
      <c r="G224" s="2" t="str">
        <f>VLOOKUP(F224,'Message Mapping'!A:L,3,FALSE)</f>
        <v>Transit;NORMAL;ATUADO;Error</v>
      </c>
      <c r="H224" s="2" t="str">
        <f>VLOOKUP(F224,'Message Mapping'!A:L,4,FALSE)</f>
        <v>0;1;2;3</v>
      </c>
      <c r="I224" s="2"/>
      <c r="J224" s="3" t="str">
        <f>VLOOKUP(F224,'Message Mapping'!A:L,12,FALSE)</f>
        <v>Severidade 4</v>
      </c>
      <c r="K224" s="3"/>
      <c r="L224" s="3"/>
      <c r="M224" s="3"/>
      <c r="N224" s="3"/>
      <c r="O224" s="3"/>
      <c r="P224" s="3"/>
    </row>
    <row r="225" spans="1:16" x14ac:dyDescent="0.25">
      <c r="A225" s="94" t="s">
        <v>360</v>
      </c>
      <c r="B225" s="2" t="s">
        <v>361</v>
      </c>
      <c r="C225" s="2" t="s">
        <v>11</v>
      </c>
      <c r="D225" s="2" t="s">
        <v>12</v>
      </c>
      <c r="E225" s="2" t="s">
        <v>1159</v>
      </c>
      <c r="F225" s="2" t="s">
        <v>13</v>
      </c>
      <c r="G225" s="2" t="str">
        <f>VLOOKUP(F225,'Message Mapping'!A:L,3,FALSE)</f>
        <v>Transit;NORMAL;ATUADO;Error</v>
      </c>
      <c r="H225" s="2" t="str">
        <f>VLOOKUP(F225,'Message Mapping'!A:L,4,FALSE)</f>
        <v>0;1;2;3</v>
      </c>
      <c r="I225" s="2"/>
      <c r="J225" s="3" t="str">
        <f>VLOOKUP(F225,'Message Mapping'!A:L,12,FALSE)</f>
        <v>Severidade 4</v>
      </c>
      <c r="K225" s="3"/>
      <c r="L225" s="3"/>
      <c r="M225" s="3"/>
      <c r="N225" s="3"/>
      <c r="O225" s="3"/>
      <c r="P225" s="3"/>
    </row>
    <row r="226" spans="1:16" x14ac:dyDescent="0.25">
      <c r="A226" s="94" t="s">
        <v>362</v>
      </c>
      <c r="B226" s="2" t="s">
        <v>2874</v>
      </c>
      <c r="C226" s="2" t="s">
        <v>11</v>
      </c>
      <c r="D226" s="2" t="s">
        <v>12</v>
      </c>
      <c r="E226" s="2" t="s">
        <v>1164</v>
      </c>
      <c r="F226" s="2" t="s">
        <v>1165</v>
      </c>
      <c r="G226" s="2" t="str">
        <f>VLOOKUP(F226,'Message Mapping'!A:L,3,FALSE)</f>
        <v>Transit;;;Error</v>
      </c>
      <c r="H226" s="2" t="str">
        <f>VLOOKUP(F226,'Message Mapping'!A:L,4,FALSE)</f>
        <v>0;2;1;3</v>
      </c>
      <c r="I226" s="2"/>
      <c r="J226" s="3" t="str">
        <f>VLOOKUP(F226,'Message Mapping'!A:L,12,FALSE)</f>
        <v>Severidade 8</v>
      </c>
      <c r="K226" s="3"/>
      <c r="L226" s="3"/>
      <c r="M226" s="3"/>
      <c r="N226" s="3"/>
      <c r="O226" s="3"/>
      <c r="P226" s="3"/>
    </row>
    <row r="227" spans="1:16" x14ac:dyDescent="0.25">
      <c r="A227" s="94" t="s">
        <v>363</v>
      </c>
      <c r="B227" s="2" t="s">
        <v>2875</v>
      </c>
      <c r="C227" s="2" t="s">
        <v>11</v>
      </c>
      <c r="D227" s="2" t="s">
        <v>12</v>
      </c>
      <c r="E227" s="2" t="s">
        <v>1164</v>
      </c>
      <c r="F227" s="2" t="s">
        <v>1166</v>
      </c>
      <c r="G227" s="2" t="str">
        <f>VLOOKUP(F227,'Message Mapping'!A:L,3,FALSE)</f>
        <v>Transit;;;Error</v>
      </c>
      <c r="H227" s="2" t="str">
        <f>VLOOKUP(F227,'Message Mapping'!A:L,4,FALSE)</f>
        <v>0;2;1;3</v>
      </c>
      <c r="I227" s="2"/>
      <c r="J227" s="3" t="str">
        <f>VLOOKUP(F227,'Message Mapping'!A:L,12,FALSE)</f>
        <v>Severidade 8</v>
      </c>
      <c r="K227" s="3"/>
      <c r="L227" s="3"/>
      <c r="M227" s="3"/>
      <c r="N227" s="3"/>
      <c r="O227" s="3"/>
      <c r="P227" s="3"/>
    </row>
    <row r="228" spans="1:16" x14ac:dyDescent="0.25">
      <c r="A228" s="94" t="s">
        <v>366</v>
      </c>
      <c r="B228" s="2" t="s">
        <v>367</v>
      </c>
      <c r="C228" s="2" t="s">
        <v>11</v>
      </c>
      <c r="D228" s="2" t="s">
        <v>12</v>
      </c>
      <c r="E228" s="2" t="s">
        <v>1159</v>
      </c>
      <c r="F228" s="2" t="s">
        <v>13</v>
      </c>
      <c r="G228" s="2" t="str">
        <f>VLOOKUP(F228,'Message Mapping'!A:L,3,FALSE)</f>
        <v>Transit;NORMAL;ATUADO;Error</v>
      </c>
      <c r="H228" s="2" t="str">
        <f>VLOOKUP(F228,'Message Mapping'!A:L,4,FALSE)</f>
        <v>0;1;2;3</v>
      </c>
      <c r="I228" s="2"/>
      <c r="J228" s="3" t="str">
        <f>VLOOKUP(F228,'Message Mapping'!A:L,12,FALSE)</f>
        <v>Severidade 4</v>
      </c>
      <c r="K228" s="3"/>
      <c r="L228" s="3"/>
      <c r="M228" s="3"/>
      <c r="N228" s="3"/>
      <c r="O228" s="3"/>
      <c r="P228" s="3"/>
    </row>
    <row r="229" spans="1:16" x14ac:dyDescent="0.25">
      <c r="A229" s="94" t="s">
        <v>368</v>
      </c>
      <c r="B229" s="2" t="s">
        <v>369</v>
      </c>
      <c r="C229" s="2" t="s">
        <v>11</v>
      </c>
      <c r="D229" s="2" t="s">
        <v>12</v>
      </c>
      <c r="E229" s="2" t="s">
        <v>1159</v>
      </c>
      <c r="F229" s="2" t="s">
        <v>13</v>
      </c>
      <c r="G229" s="2" t="str">
        <f>VLOOKUP(F229,'Message Mapping'!A:L,3,FALSE)</f>
        <v>Transit;NORMAL;ATUADO;Error</v>
      </c>
      <c r="H229" s="2" t="str">
        <f>VLOOKUP(F229,'Message Mapping'!A:L,4,FALSE)</f>
        <v>0;1;2;3</v>
      </c>
      <c r="I229" s="2"/>
      <c r="J229" s="3" t="str">
        <f>VLOOKUP(F229,'Message Mapping'!A:L,12,FALSE)</f>
        <v>Severidade 4</v>
      </c>
      <c r="K229" s="3"/>
      <c r="L229" s="3"/>
      <c r="M229" s="3"/>
      <c r="N229" s="3"/>
      <c r="O229" s="3"/>
      <c r="P229" s="3"/>
    </row>
    <row r="230" spans="1:16" x14ac:dyDescent="0.25">
      <c r="A230" s="94" t="s">
        <v>4240</v>
      </c>
      <c r="B230" s="2" t="s">
        <v>370</v>
      </c>
      <c r="C230" s="2" t="s">
        <v>34</v>
      </c>
      <c r="D230" s="2" t="s">
        <v>35</v>
      </c>
      <c r="E230" s="2" t="s">
        <v>1160</v>
      </c>
      <c r="F230" s="2" t="s">
        <v>113</v>
      </c>
      <c r="G230" s="2" t="str">
        <f>VLOOKUP(F230,'Message Mapping'!A:L,3,FALSE)</f>
        <v>Transit;INCLUIDO;EXCLUIDO;Error</v>
      </c>
      <c r="H230" s="2" t="str">
        <f>VLOOKUP(F230,'Message Mapping'!A:L,4,FALSE)</f>
        <v>0;1;2;3</v>
      </c>
      <c r="I230" s="2"/>
      <c r="J230" s="3" t="str">
        <f>VLOOKUP(F230,'Message Mapping'!A:L,12,FALSE)</f>
        <v>Severidade 8</v>
      </c>
      <c r="K230" s="3"/>
      <c r="L230" s="3"/>
      <c r="M230" s="3"/>
      <c r="N230" s="3"/>
      <c r="O230" s="3"/>
      <c r="P230" s="3"/>
    </row>
    <row r="231" spans="1:16" x14ac:dyDescent="0.25">
      <c r="A231" s="94" t="s">
        <v>4240</v>
      </c>
      <c r="B231" s="2" t="s">
        <v>370</v>
      </c>
      <c r="C231" s="2" t="s">
        <v>34</v>
      </c>
      <c r="D231" s="2" t="s">
        <v>35</v>
      </c>
      <c r="E231" s="2" t="s">
        <v>1159</v>
      </c>
      <c r="F231" s="2" t="s">
        <v>36</v>
      </c>
      <c r="G231" s="2" t="str">
        <f>VLOOKUP(F231,'Message Mapping'!A:L,3,FALSE)</f>
        <v>Transit;INCLUIDO;EXCLUIDO;Error</v>
      </c>
      <c r="H231" s="2" t="str">
        <f>VLOOKUP(F231,'Message Mapping'!A:L,4,FALSE)</f>
        <v>0;1;2;3</v>
      </c>
      <c r="I231" s="2"/>
      <c r="J231" s="3" t="str">
        <f>VLOOKUP(F231,'Message Mapping'!A:L,12,FALSE)</f>
        <v>Severidade 8</v>
      </c>
      <c r="K231" s="3"/>
      <c r="L231" s="3"/>
      <c r="M231" s="3"/>
      <c r="N231" s="3"/>
      <c r="O231" s="3"/>
      <c r="P231" s="3"/>
    </row>
    <row r="232" spans="1:16" x14ac:dyDescent="0.25">
      <c r="A232" s="94" t="s">
        <v>373</v>
      </c>
      <c r="B232" s="2" t="s">
        <v>372</v>
      </c>
      <c r="C232" s="2" t="s">
        <v>39</v>
      </c>
      <c r="D232" s="2" t="s">
        <v>12</v>
      </c>
      <c r="E232" s="2" t="s">
        <v>1159</v>
      </c>
      <c r="F232" s="2" t="s">
        <v>13</v>
      </c>
      <c r="G232" s="2" t="str">
        <f>VLOOKUP(F232,'Message Mapping'!A:L,3,FALSE)</f>
        <v>Transit;NORMAL;ATUADO;Error</v>
      </c>
      <c r="H232" s="2" t="str">
        <f>VLOOKUP(F232,'Message Mapping'!A:L,4,FALSE)</f>
        <v>0;1;2;3</v>
      </c>
      <c r="I232" s="2"/>
      <c r="J232" s="3" t="str">
        <f>VLOOKUP(F232,'Message Mapping'!A:L,12,FALSE)</f>
        <v>Severidade 4</v>
      </c>
      <c r="K232" s="3"/>
      <c r="L232" s="3"/>
      <c r="M232" s="3"/>
      <c r="N232" s="3"/>
      <c r="O232" s="3"/>
      <c r="P232" s="3"/>
    </row>
    <row r="233" spans="1:16" x14ac:dyDescent="0.25">
      <c r="A233" s="94" t="s">
        <v>371</v>
      </c>
      <c r="B233" s="2" t="s">
        <v>1255</v>
      </c>
      <c r="C233" s="2" t="s">
        <v>39</v>
      </c>
      <c r="D233" s="2" t="s">
        <v>12</v>
      </c>
      <c r="E233" s="2" t="s">
        <v>1159</v>
      </c>
      <c r="F233" s="2" t="s">
        <v>13</v>
      </c>
      <c r="G233" s="2" t="str">
        <f>VLOOKUP(F233,'Message Mapping'!A:L,3,FALSE)</f>
        <v>Transit;NORMAL;ATUADO;Error</v>
      </c>
      <c r="H233" s="2" t="str">
        <f>VLOOKUP(F233,'Message Mapping'!A:L,4,FALSE)</f>
        <v>0;1;2;3</v>
      </c>
      <c r="I233" s="2"/>
      <c r="J233" s="3" t="str">
        <f>VLOOKUP(F233,'Message Mapping'!A:L,12,FALSE)</f>
        <v>Severidade 4</v>
      </c>
      <c r="K233" s="3"/>
      <c r="L233" s="3"/>
      <c r="M233" s="3"/>
      <c r="N233" s="3"/>
      <c r="O233" s="3"/>
      <c r="P233" s="3"/>
    </row>
    <row r="234" spans="1:16" x14ac:dyDescent="0.25">
      <c r="A234" s="94" t="s">
        <v>374</v>
      </c>
      <c r="B234" s="2" t="s">
        <v>1256</v>
      </c>
      <c r="C234" s="2" t="s">
        <v>39</v>
      </c>
      <c r="D234" s="2" t="s">
        <v>12</v>
      </c>
      <c r="E234" s="2" t="s">
        <v>1159</v>
      </c>
      <c r="F234" s="2" t="s">
        <v>13</v>
      </c>
      <c r="G234" s="2" t="str">
        <f>VLOOKUP(F234,'Message Mapping'!A:L,3,FALSE)</f>
        <v>Transit;NORMAL;ATUADO;Error</v>
      </c>
      <c r="H234" s="2" t="str">
        <f>VLOOKUP(F234,'Message Mapping'!A:L,4,FALSE)</f>
        <v>0;1;2;3</v>
      </c>
      <c r="I234" s="2"/>
      <c r="J234" s="3" t="str">
        <f>VLOOKUP(F234,'Message Mapping'!A:L,12,FALSE)</f>
        <v>Severidade 4</v>
      </c>
      <c r="K234" s="3"/>
      <c r="L234" s="3"/>
      <c r="M234" s="3"/>
      <c r="N234" s="3"/>
      <c r="O234" s="3"/>
      <c r="P234" s="3"/>
    </row>
    <row r="235" spans="1:16" x14ac:dyDescent="0.25">
      <c r="A235" s="94" t="s">
        <v>375</v>
      </c>
      <c r="B235" s="2" t="s">
        <v>376</v>
      </c>
      <c r="C235" s="2" t="s">
        <v>39</v>
      </c>
      <c r="D235" s="2" t="s">
        <v>12</v>
      </c>
      <c r="E235" s="2" t="s">
        <v>1159</v>
      </c>
      <c r="F235" s="2" t="s">
        <v>13</v>
      </c>
      <c r="G235" s="2" t="str">
        <f>VLOOKUP(F235,'Message Mapping'!A:L,3,FALSE)</f>
        <v>Transit;NORMAL;ATUADO;Error</v>
      </c>
      <c r="H235" s="2" t="str">
        <f>VLOOKUP(F235,'Message Mapping'!A:L,4,FALSE)</f>
        <v>0;1;2;3</v>
      </c>
      <c r="I235" s="2"/>
      <c r="J235" s="3" t="str">
        <f>VLOOKUP(F235,'Message Mapping'!A:L,12,FALSE)</f>
        <v>Severidade 4</v>
      </c>
      <c r="K235" s="3"/>
      <c r="L235" s="3"/>
      <c r="M235" s="3"/>
      <c r="N235" s="3"/>
      <c r="O235" s="3"/>
      <c r="P235" s="3"/>
    </row>
    <row r="236" spans="1:16" x14ac:dyDescent="0.25">
      <c r="A236" s="94" t="s">
        <v>377</v>
      </c>
      <c r="B236" s="2" t="s">
        <v>378</v>
      </c>
      <c r="C236" s="2" t="s">
        <v>39</v>
      </c>
      <c r="D236" s="2" t="s">
        <v>12</v>
      </c>
      <c r="E236" s="2" t="s">
        <v>1159</v>
      </c>
      <c r="F236" s="2" t="s">
        <v>13</v>
      </c>
      <c r="G236" s="2" t="str">
        <f>VLOOKUP(F236,'Message Mapping'!A:L,3,FALSE)</f>
        <v>Transit;NORMAL;ATUADO;Error</v>
      </c>
      <c r="H236" s="2" t="str">
        <f>VLOOKUP(F236,'Message Mapping'!A:L,4,FALSE)</f>
        <v>0;1;2;3</v>
      </c>
      <c r="I236" s="2"/>
      <c r="J236" s="3" t="str">
        <f>VLOOKUP(F236,'Message Mapping'!A:L,12,FALSE)</f>
        <v>Severidade 4</v>
      </c>
      <c r="K236" s="3"/>
      <c r="L236" s="3"/>
      <c r="M236" s="3"/>
      <c r="N236" s="3"/>
      <c r="O236" s="3"/>
      <c r="P236" s="3"/>
    </row>
    <row r="237" spans="1:16" x14ac:dyDescent="0.25">
      <c r="A237" s="94" t="s">
        <v>379</v>
      </c>
      <c r="B237" s="5" t="s">
        <v>380</v>
      </c>
      <c r="C237" s="2" t="s">
        <v>39</v>
      </c>
      <c r="D237" s="2" t="s">
        <v>12</v>
      </c>
      <c r="E237" s="2" t="s">
        <v>1159</v>
      </c>
      <c r="F237" s="2" t="s">
        <v>13</v>
      </c>
      <c r="G237" s="2" t="str">
        <f>VLOOKUP(F237,'Message Mapping'!A:L,3,FALSE)</f>
        <v>Transit;NORMAL;ATUADO;Error</v>
      </c>
      <c r="H237" s="2" t="str">
        <f>VLOOKUP(F237,'Message Mapping'!A:L,4,FALSE)</f>
        <v>0;1;2;3</v>
      </c>
      <c r="I237" s="2"/>
      <c r="J237" s="3" t="str">
        <f>VLOOKUP(F237,'Message Mapping'!A:L,12,FALSE)</f>
        <v>Severidade 4</v>
      </c>
      <c r="K237" s="3"/>
      <c r="L237" s="3"/>
      <c r="M237" s="3"/>
      <c r="N237" s="3"/>
      <c r="O237" s="3"/>
      <c r="P237" s="3"/>
    </row>
    <row r="238" spans="1:16" x14ac:dyDescent="0.25">
      <c r="A238" s="94" t="s">
        <v>381</v>
      </c>
      <c r="B238" s="5" t="s">
        <v>382</v>
      </c>
      <c r="C238" s="2" t="s">
        <v>39</v>
      </c>
      <c r="D238" s="2" t="s">
        <v>12</v>
      </c>
      <c r="E238" s="2" t="s">
        <v>1159</v>
      </c>
      <c r="F238" s="2" t="s">
        <v>13</v>
      </c>
      <c r="G238" s="2" t="str">
        <f>VLOOKUP(F238,'Message Mapping'!A:L,3,FALSE)</f>
        <v>Transit;NORMAL;ATUADO;Error</v>
      </c>
      <c r="H238" s="2" t="str">
        <f>VLOOKUP(F238,'Message Mapping'!A:L,4,FALSE)</f>
        <v>0;1;2;3</v>
      </c>
      <c r="I238" s="2"/>
      <c r="J238" s="3" t="str">
        <f>VLOOKUP(F238,'Message Mapping'!A:L,12,FALSE)</f>
        <v>Severidade 4</v>
      </c>
      <c r="K238" s="3"/>
      <c r="L238" s="3"/>
      <c r="M238" s="3"/>
      <c r="N238" s="3"/>
      <c r="O238" s="3"/>
      <c r="P238" s="3"/>
    </row>
    <row r="239" spans="1:16" x14ac:dyDescent="0.25">
      <c r="A239" s="94" t="s">
        <v>383</v>
      </c>
      <c r="B239" s="2" t="s">
        <v>380</v>
      </c>
      <c r="C239" s="2" t="s">
        <v>39</v>
      </c>
      <c r="D239" s="2" t="s">
        <v>12</v>
      </c>
      <c r="E239" s="2" t="s">
        <v>1159</v>
      </c>
      <c r="F239" s="2" t="s">
        <v>13</v>
      </c>
      <c r="G239" s="2" t="str">
        <f>VLOOKUP(F239,'Message Mapping'!A:L,3,FALSE)</f>
        <v>Transit;NORMAL;ATUADO;Error</v>
      </c>
      <c r="H239" s="2" t="str">
        <f>VLOOKUP(F239,'Message Mapping'!A:L,4,FALSE)</f>
        <v>0;1;2;3</v>
      </c>
      <c r="I239" s="2"/>
      <c r="J239" s="3" t="str">
        <f>VLOOKUP(F239,'Message Mapping'!A:L,12,FALSE)</f>
        <v>Severidade 4</v>
      </c>
      <c r="K239" s="3"/>
      <c r="L239" s="3"/>
      <c r="M239" s="3"/>
      <c r="N239" s="3"/>
      <c r="O239" s="3"/>
      <c r="P239" s="3"/>
    </row>
    <row r="240" spans="1:16" x14ac:dyDescent="0.25">
      <c r="A240" s="94" t="s">
        <v>384</v>
      </c>
      <c r="B240" s="2" t="s">
        <v>382</v>
      </c>
      <c r="C240" s="2" t="s">
        <v>39</v>
      </c>
      <c r="D240" s="2" t="s">
        <v>12</v>
      </c>
      <c r="E240" s="2" t="s">
        <v>1159</v>
      </c>
      <c r="F240" s="2" t="s">
        <v>13</v>
      </c>
      <c r="G240" s="2" t="str">
        <f>VLOOKUP(F240,'Message Mapping'!A:L,3,FALSE)</f>
        <v>Transit;NORMAL;ATUADO;Error</v>
      </c>
      <c r="H240" s="2" t="str">
        <f>VLOOKUP(F240,'Message Mapping'!A:L,4,FALSE)</f>
        <v>0;1;2;3</v>
      </c>
      <c r="I240" s="2"/>
      <c r="J240" s="3" t="str">
        <f>VLOOKUP(F240,'Message Mapping'!A:L,12,FALSE)</f>
        <v>Severidade 4</v>
      </c>
      <c r="K240" s="3"/>
      <c r="L240" s="3"/>
      <c r="M240" s="3"/>
      <c r="N240" s="3"/>
      <c r="O240" s="3"/>
      <c r="P240" s="3"/>
    </row>
    <row r="241" spans="1:16" x14ac:dyDescent="0.25">
      <c r="A241" s="94" t="s">
        <v>385</v>
      </c>
      <c r="B241" s="2" t="s">
        <v>1257</v>
      </c>
      <c r="C241" s="2" t="s">
        <v>39</v>
      </c>
      <c r="D241" s="2" t="s">
        <v>12</v>
      </c>
      <c r="E241" s="2" t="s">
        <v>1159</v>
      </c>
      <c r="F241" s="2" t="s">
        <v>13</v>
      </c>
      <c r="G241" s="2" t="str">
        <f>VLOOKUP(F241,'Message Mapping'!A:L,3,FALSE)</f>
        <v>Transit;NORMAL;ATUADO;Error</v>
      </c>
      <c r="H241" s="2" t="str">
        <f>VLOOKUP(F241,'Message Mapping'!A:L,4,FALSE)</f>
        <v>0;1;2;3</v>
      </c>
      <c r="I241" s="2"/>
      <c r="J241" s="3" t="str">
        <f>VLOOKUP(F241,'Message Mapping'!A:L,12,FALSE)</f>
        <v>Severidade 4</v>
      </c>
      <c r="K241" s="3"/>
      <c r="L241" s="3"/>
      <c r="M241" s="3"/>
      <c r="N241" s="3"/>
      <c r="O241" s="3"/>
      <c r="P241" s="3"/>
    </row>
    <row r="242" spans="1:16" x14ac:dyDescent="0.25">
      <c r="A242" s="94" t="s">
        <v>386</v>
      </c>
      <c r="B242" s="2" t="s">
        <v>1258</v>
      </c>
      <c r="C242" s="2" t="s">
        <v>39</v>
      </c>
      <c r="D242" s="2" t="s">
        <v>12</v>
      </c>
      <c r="E242" s="2" t="s">
        <v>1159</v>
      </c>
      <c r="F242" s="2" t="s">
        <v>13</v>
      </c>
      <c r="G242" s="2" t="str">
        <f>VLOOKUP(F242,'Message Mapping'!A:L,3,FALSE)</f>
        <v>Transit;NORMAL;ATUADO;Error</v>
      </c>
      <c r="H242" s="2" t="str">
        <f>VLOOKUP(F242,'Message Mapping'!A:L,4,FALSE)</f>
        <v>0;1;2;3</v>
      </c>
      <c r="I242" s="2"/>
      <c r="J242" s="3" t="str">
        <f>VLOOKUP(F242,'Message Mapping'!A:L,12,FALSE)</f>
        <v>Severidade 4</v>
      </c>
      <c r="K242" s="3"/>
      <c r="L242" s="3"/>
      <c r="M242" s="3"/>
      <c r="N242" s="3"/>
      <c r="O242" s="3"/>
      <c r="P242" s="3"/>
    </row>
    <row r="243" spans="1:16" x14ac:dyDescent="0.25">
      <c r="A243" s="94" t="s">
        <v>4406</v>
      </c>
      <c r="B243" s="2" t="s">
        <v>4407</v>
      </c>
      <c r="C243" s="2" t="s">
        <v>39</v>
      </c>
      <c r="D243" s="2" t="s">
        <v>12</v>
      </c>
      <c r="E243" s="2" t="s">
        <v>1159</v>
      </c>
      <c r="F243" s="2" t="s">
        <v>13</v>
      </c>
      <c r="G243" s="2" t="str">
        <f>VLOOKUP(F243,'Message Mapping'!A:L,3,FALSE)</f>
        <v>Transit;NORMAL;ATUADO;Error</v>
      </c>
      <c r="H243" s="2" t="str">
        <f>VLOOKUP(F243,'Message Mapping'!A:L,4,FALSE)</f>
        <v>0;1;2;3</v>
      </c>
      <c r="I243" s="2"/>
      <c r="J243" s="3" t="str">
        <f>VLOOKUP(F243,'Message Mapping'!A:L,12,FALSE)</f>
        <v>Severidade 4</v>
      </c>
      <c r="K243" s="3"/>
      <c r="L243" s="3"/>
      <c r="M243" s="3"/>
      <c r="N243" s="3"/>
      <c r="O243" s="3"/>
      <c r="P243" s="3"/>
    </row>
    <row r="244" spans="1:16" x14ac:dyDescent="0.25">
      <c r="A244" s="94" t="s">
        <v>186</v>
      </c>
      <c r="B244" s="2" t="s">
        <v>187</v>
      </c>
      <c r="C244" s="2" t="s">
        <v>11</v>
      </c>
      <c r="D244" s="2" t="s">
        <v>35</v>
      </c>
      <c r="E244" s="2" t="s">
        <v>1160</v>
      </c>
      <c r="F244" s="2" t="s">
        <v>188</v>
      </c>
      <c r="G244" s="2" t="str">
        <f>VLOOKUP(F244,'Message Mapping'!A:L,3,FALSE)</f>
        <v>Transit;INCLUIDO;EXCLUIDO;Error</v>
      </c>
      <c r="H244" s="2" t="str">
        <f>VLOOKUP(F244,'Message Mapping'!A:L,4,FALSE)</f>
        <v>0;1;2;3</v>
      </c>
      <c r="I244" s="2"/>
      <c r="J244" s="3" t="str">
        <f>VLOOKUP(F244,'Message Mapping'!A:L,12,FALSE)</f>
        <v>Severidade 8</v>
      </c>
      <c r="K244" s="3"/>
      <c r="L244" s="3"/>
      <c r="M244" s="3"/>
      <c r="N244" s="3"/>
      <c r="O244" s="3"/>
      <c r="P244" s="3"/>
    </row>
    <row r="245" spans="1:16" x14ac:dyDescent="0.25">
      <c r="A245" s="94" t="s">
        <v>4242</v>
      </c>
      <c r="B245" s="2" t="s">
        <v>388</v>
      </c>
      <c r="C245" s="2" t="s">
        <v>11</v>
      </c>
      <c r="D245" s="2" t="s">
        <v>12</v>
      </c>
      <c r="E245" s="2" t="s">
        <v>1159</v>
      </c>
      <c r="F245" s="2" t="s">
        <v>1252</v>
      </c>
      <c r="G245" s="2" t="str">
        <f>VLOOKUP(F245,'Message Mapping'!A:L,3,FALSE)</f>
        <v>Transit;NORMAL;ATUADO;Error</v>
      </c>
      <c r="H245" s="2" t="str">
        <f>VLOOKUP(F245,'Message Mapping'!A:L,4,FALSE)</f>
        <v>0;1;2;3</v>
      </c>
      <c r="I245" s="2"/>
      <c r="J245" s="3" t="str">
        <f>VLOOKUP(F245,'Message Mapping'!A:L,12,FALSE)</f>
        <v>Severidade 4</v>
      </c>
      <c r="K245" s="3" t="s">
        <v>1250</v>
      </c>
      <c r="L245" s="3"/>
      <c r="M245" s="3"/>
      <c r="N245" s="3"/>
      <c r="O245" s="3"/>
      <c r="P245" s="3"/>
    </row>
    <row r="246" spans="1:16" x14ac:dyDescent="0.25">
      <c r="A246" s="94" t="s">
        <v>4242</v>
      </c>
      <c r="B246" s="2" t="s">
        <v>388</v>
      </c>
      <c r="C246" s="2" t="s">
        <v>11</v>
      </c>
      <c r="D246" s="2" t="s">
        <v>12</v>
      </c>
      <c r="E246" s="2" t="s">
        <v>1160</v>
      </c>
      <c r="F246" s="2" t="s">
        <v>389</v>
      </c>
      <c r="G246" s="2" t="str">
        <f>VLOOKUP(F246,'Message Mapping'!A:L,3,FALSE)</f>
        <v>Transit;NORMAL;ATUADO;Error</v>
      </c>
      <c r="H246" s="2" t="str">
        <f>VLOOKUP(F246,'Message Mapping'!A:L,4,FALSE)</f>
        <v>0;1;2;3</v>
      </c>
      <c r="I246" s="2"/>
      <c r="J246" s="3" t="str">
        <f>VLOOKUP(F246,'Message Mapping'!A:L,12,FALSE)</f>
        <v>Severidade 4</v>
      </c>
      <c r="K246" s="3" t="s">
        <v>1250</v>
      </c>
      <c r="L246" s="3"/>
      <c r="M246" s="3"/>
      <c r="N246" s="3"/>
      <c r="O246" s="3"/>
      <c r="P246" s="3"/>
    </row>
    <row r="247" spans="1:16" x14ac:dyDescent="0.25">
      <c r="A247" s="94" t="s">
        <v>390</v>
      </c>
      <c r="B247" s="2" t="s">
        <v>1249</v>
      </c>
      <c r="C247" s="2" t="s">
        <v>11</v>
      </c>
      <c r="D247" s="2" t="s">
        <v>12</v>
      </c>
      <c r="E247" s="2" t="s">
        <v>1159</v>
      </c>
      <c r="F247" s="2" t="s">
        <v>1252</v>
      </c>
      <c r="G247" s="2" t="str">
        <f>VLOOKUP(F247,'Message Mapping'!A:L,3,FALSE)</f>
        <v>Transit;NORMAL;ATUADO;Error</v>
      </c>
      <c r="H247" s="2" t="str">
        <f>VLOOKUP(F247,'Message Mapping'!A:L,4,FALSE)</f>
        <v>0;1;2;3</v>
      </c>
      <c r="I247" s="2"/>
      <c r="J247" s="3" t="str">
        <f>VLOOKUP(F247,'Message Mapping'!A:L,12,FALSE)</f>
        <v>Severidade 4</v>
      </c>
      <c r="K247" s="3" t="s">
        <v>1251</v>
      </c>
      <c r="L247" s="3"/>
      <c r="M247" s="3"/>
      <c r="N247" s="3"/>
      <c r="O247" s="3"/>
      <c r="P247" s="3"/>
    </row>
    <row r="248" spans="1:16" x14ac:dyDescent="0.25">
      <c r="A248" s="94" t="s">
        <v>390</v>
      </c>
      <c r="B248" s="2" t="s">
        <v>1249</v>
      </c>
      <c r="C248" s="2" t="s">
        <v>11</v>
      </c>
      <c r="D248" s="2" t="s">
        <v>12</v>
      </c>
      <c r="E248" s="2" t="s">
        <v>1160</v>
      </c>
      <c r="F248" s="2" t="s">
        <v>389</v>
      </c>
      <c r="G248" s="2" t="str">
        <f>VLOOKUP(F248,'Message Mapping'!A:L,3,FALSE)</f>
        <v>Transit;NORMAL;ATUADO;Error</v>
      </c>
      <c r="H248" s="2" t="str">
        <f>VLOOKUP(F248,'Message Mapping'!A:L,4,FALSE)</f>
        <v>0;1;2;3</v>
      </c>
      <c r="I248" s="2"/>
      <c r="J248" s="3" t="str">
        <f>VLOOKUP(F248,'Message Mapping'!A:L,12,FALSE)</f>
        <v>Severidade 4</v>
      </c>
      <c r="K248" s="3" t="s">
        <v>1251</v>
      </c>
      <c r="L248" s="3"/>
      <c r="M248" s="3"/>
      <c r="N248" s="3"/>
      <c r="O248" s="3"/>
      <c r="P248" s="3"/>
    </row>
    <row r="249" spans="1:16" x14ac:dyDescent="0.25">
      <c r="A249" s="94" t="s">
        <v>391</v>
      </c>
      <c r="B249" s="2" t="s">
        <v>392</v>
      </c>
      <c r="C249" s="2" t="s">
        <v>11</v>
      </c>
      <c r="D249" s="2" t="s">
        <v>12</v>
      </c>
      <c r="E249" s="2" t="s">
        <v>1159</v>
      </c>
      <c r="F249" s="2" t="s">
        <v>13</v>
      </c>
      <c r="G249" s="2" t="str">
        <f>VLOOKUP(F249,'Message Mapping'!A:L,3,FALSE)</f>
        <v>Transit;NORMAL;ATUADO;Error</v>
      </c>
      <c r="H249" s="2" t="str">
        <f>VLOOKUP(F249,'Message Mapping'!A:L,4,FALSE)</f>
        <v>0;1;2;3</v>
      </c>
      <c r="I249" s="2"/>
      <c r="J249" s="3" t="str">
        <f>VLOOKUP(F249,'Message Mapping'!A:L,12,FALSE)</f>
        <v>Severidade 4</v>
      </c>
      <c r="K249" s="3"/>
      <c r="L249" s="3"/>
      <c r="M249" s="3"/>
      <c r="N249" s="3"/>
      <c r="O249" s="3"/>
      <c r="P249" s="3"/>
    </row>
    <row r="250" spans="1:16" x14ac:dyDescent="0.25">
      <c r="A250" s="94" t="s">
        <v>393</v>
      </c>
      <c r="B250" s="2" t="s">
        <v>394</v>
      </c>
      <c r="C250" s="2" t="s">
        <v>11</v>
      </c>
      <c r="D250" s="2" t="s">
        <v>1234</v>
      </c>
      <c r="E250" s="2" t="s">
        <v>1159</v>
      </c>
      <c r="F250" s="2" t="s">
        <v>107</v>
      </c>
      <c r="G250" s="2" t="str">
        <f>VLOOKUP(F250,'Message Mapping'!A:L,3,FALSE)</f>
        <v>Transit;NORMAL;FALHA;Error</v>
      </c>
      <c r="H250" s="2" t="str">
        <f>VLOOKUP(F250,'Message Mapping'!A:L,4,FALSE)</f>
        <v>0;1;2;3</v>
      </c>
      <c r="I250" s="2"/>
      <c r="J250" s="3" t="str">
        <f>VLOOKUP(F250,'Message Mapping'!A:L,12,FALSE)</f>
        <v>Severidade 7</v>
      </c>
      <c r="K250" s="3"/>
      <c r="L250" s="3"/>
      <c r="M250" s="3"/>
      <c r="N250" s="3"/>
      <c r="O250" s="3"/>
      <c r="P250" s="3"/>
    </row>
    <row r="251" spans="1:16" x14ac:dyDescent="0.25">
      <c r="A251" s="94" t="s">
        <v>395</v>
      </c>
      <c r="B251" s="2" t="s">
        <v>396</v>
      </c>
      <c r="C251" s="2" t="s">
        <v>39</v>
      </c>
      <c r="D251" s="2" t="s">
        <v>12</v>
      </c>
      <c r="E251" s="2" t="s">
        <v>1159</v>
      </c>
      <c r="F251" s="2" t="s">
        <v>40</v>
      </c>
      <c r="G251" s="2" t="str">
        <f>VLOOKUP(F251,'Message Mapping'!A:L,3,FALSE)</f>
        <v>Transit;NORMAL;ATUADO;Error</v>
      </c>
      <c r="H251" s="2" t="str">
        <f>VLOOKUP(F251,'Message Mapping'!A:L,4,FALSE)</f>
        <v>0;1;2;3</v>
      </c>
      <c r="I251" s="2"/>
      <c r="J251" s="3" t="str">
        <f>VLOOKUP(F251,'Message Mapping'!A:L,12,FALSE)</f>
        <v>Severidade 4</v>
      </c>
      <c r="K251" s="3"/>
      <c r="L251" s="3"/>
      <c r="M251" s="3"/>
      <c r="N251" s="3"/>
      <c r="O251" s="3"/>
      <c r="P251" s="3"/>
    </row>
    <row r="252" spans="1:16" x14ac:dyDescent="0.25">
      <c r="A252" s="94" t="s">
        <v>397</v>
      </c>
      <c r="B252" s="2" t="s">
        <v>398</v>
      </c>
      <c r="C252" s="2" t="s">
        <v>39</v>
      </c>
      <c r="D252" s="2" t="s">
        <v>12</v>
      </c>
      <c r="E252" s="2" t="s">
        <v>1159</v>
      </c>
      <c r="F252" s="2" t="s">
        <v>40</v>
      </c>
      <c r="G252" s="2" t="str">
        <f>VLOOKUP(F252,'Message Mapping'!A:L,3,FALSE)</f>
        <v>Transit;NORMAL;ATUADO;Error</v>
      </c>
      <c r="H252" s="2" t="str">
        <f>VLOOKUP(F252,'Message Mapping'!A:L,4,FALSE)</f>
        <v>0;1;2;3</v>
      </c>
      <c r="I252" s="2"/>
      <c r="J252" s="3" t="str">
        <f>VLOOKUP(F252,'Message Mapping'!A:L,12,FALSE)</f>
        <v>Severidade 4</v>
      </c>
      <c r="K252" s="3"/>
      <c r="L252" s="3"/>
      <c r="M252" s="3"/>
      <c r="N252" s="3"/>
      <c r="O252" s="3"/>
      <c r="P252" s="3"/>
    </row>
    <row r="253" spans="1:16" x14ac:dyDescent="0.25">
      <c r="A253" s="94" t="s">
        <v>399</v>
      </c>
      <c r="B253" s="2" t="s">
        <v>400</v>
      </c>
      <c r="C253" s="2" t="s">
        <v>39</v>
      </c>
      <c r="D253" s="2" t="s">
        <v>12</v>
      </c>
      <c r="E253" s="2" t="s">
        <v>1159</v>
      </c>
      <c r="F253" s="2" t="s">
        <v>40</v>
      </c>
      <c r="G253" s="2" t="str">
        <f>VLOOKUP(F253,'Message Mapping'!A:L,3,FALSE)</f>
        <v>Transit;NORMAL;ATUADO;Error</v>
      </c>
      <c r="H253" s="2" t="str">
        <f>VLOOKUP(F253,'Message Mapping'!A:L,4,FALSE)</f>
        <v>0;1;2;3</v>
      </c>
      <c r="I253" s="2"/>
      <c r="J253" s="3" t="str">
        <f>VLOOKUP(F253,'Message Mapping'!A:L,12,FALSE)</f>
        <v>Severidade 4</v>
      </c>
      <c r="K253" s="3"/>
      <c r="L253" s="3"/>
      <c r="M253" s="3"/>
      <c r="N253" s="3"/>
      <c r="O253" s="3"/>
      <c r="P253" s="3"/>
    </row>
    <row r="254" spans="1:16" x14ac:dyDescent="0.25">
      <c r="A254" s="94" t="s">
        <v>401</v>
      </c>
      <c r="B254" s="2" t="s">
        <v>402</v>
      </c>
      <c r="C254" s="2" t="s">
        <v>39</v>
      </c>
      <c r="D254" s="2" t="s">
        <v>12</v>
      </c>
      <c r="E254" s="2" t="s">
        <v>1159</v>
      </c>
      <c r="F254" s="2" t="s">
        <v>40</v>
      </c>
      <c r="G254" s="2" t="str">
        <f>VLOOKUP(F254,'Message Mapping'!A:L,3,FALSE)</f>
        <v>Transit;NORMAL;ATUADO;Error</v>
      </c>
      <c r="H254" s="2" t="str">
        <f>VLOOKUP(F254,'Message Mapping'!A:L,4,FALSE)</f>
        <v>0;1;2;3</v>
      </c>
      <c r="I254" s="2"/>
      <c r="J254" s="3" t="str">
        <f>VLOOKUP(F254,'Message Mapping'!A:L,12,FALSE)</f>
        <v>Severidade 4</v>
      </c>
      <c r="K254" s="3"/>
      <c r="L254" s="3"/>
      <c r="M254" s="3"/>
      <c r="N254" s="3"/>
      <c r="O254" s="3"/>
      <c r="P254" s="3"/>
    </row>
    <row r="255" spans="1:16" x14ac:dyDescent="0.25">
      <c r="A255" s="94" t="s">
        <v>403</v>
      </c>
      <c r="B255" s="2" t="s">
        <v>404</v>
      </c>
      <c r="C255" s="2" t="s">
        <v>39</v>
      </c>
      <c r="D255" s="2" t="s">
        <v>12</v>
      </c>
      <c r="E255" s="2" t="s">
        <v>1159</v>
      </c>
      <c r="F255" s="2" t="s">
        <v>40</v>
      </c>
      <c r="G255" s="2" t="str">
        <f>VLOOKUP(F255,'Message Mapping'!A:L,3,FALSE)</f>
        <v>Transit;NORMAL;ATUADO;Error</v>
      </c>
      <c r="H255" s="2" t="str">
        <f>VLOOKUP(F255,'Message Mapping'!A:L,4,FALSE)</f>
        <v>0;1;2;3</v>
      </c>
      <c r="I255" s="2"/>
      <c r="J255" s="3" t="str">
        <f>VLOOKUP(F255,'Message Mapping'!A:L,12,FALSE)</f>
        <v>Severidade 4</v>
      </c>
      <c r="K255" s="3"/>
      <c r="L255" s="3"/>
      <c r="M255" s="3"/>
      <c r="N255" s="3"/>
      <c r="O255" s="3"/>
      <c r="P255" s="3"/>
    </row>
    <row r="256" spans="1:16" x14ac:dyDescent="0.25">
      <c r="A256" s="94" t="s">
        <v>405</v>
      </c>
      <c r="B256" s="2" t="s">
        <v>406</v>
      </c>
      <c r="C256" s="2" t="s">
        <v>39</v>
      </c>
      <c r="D256" s="2" t="s">
        <v>12</v>
      </c>
      <c r="E256" s="2" t="s">
        <v>1159</v>
      </c>
      <c r="F256" s="2" t="s">
        <v>40</v>
      </c>
      <c r="G256" s="2" t="str">
        <f>VLOOKUP(F256,'Message Mapping'!A:L,3,FALSE)</f>
        <v>Transit;NORMAL;ATUADO;Error</v>
      </c>
      <c r="H256" s="2" t="str">
        <f>VLOOKUP(F256,'Message Mapping'!A:L,4,FALSE)</f>
        <v>0;1;2;3</v>
      </c>
      <c r="I256" s="2"/>
      <c r="J256" s="3" t="str">
        <f>VLOOKUP(F256,'Message Mapping'!A:L,12,FALSE)</f>
        <v>Severidade 4</v>
      </c>
      <c r="K256" s="3"/>
      <c r="L256" s="3"/>
      <c r="M256" s="3"/>
      <c r="N256" s="3"/>
      <c r="O256" s="3"/>
      <c r="P256" s="3"/>
    </row>
    <row r="257" spans="1:16" x14ac:dyDescent="0.25">
      <c r="A257" s="94" t="s">
        <v>407</v>
      </c>
      <c r="B257" s="2" t="s">
        <v>408</v>
      </c>
      <c r="C257" s="2" t="s">
        <v>39</v>
      </c>
      <c r="D257" s="2" t="s">
        <v>12</v>
      </c>
      <c r="E257" s="2" t="s">
        <v>1159</v>
      </c>
      <c r="F257" s="2" t="s">
        <v>40</v>
      </c>
      <c r="G257" s="2" t="str">
        <f>VLOOKUP(F257,'Message Mapping'!A:L,3,FALSE)</f>
        <v>Transit;NORMAL;ATUADO;Error</v>
      </c>
      <c r="H257" s="2" t="str">
        <f>VLOOKUP(F257,'Message Mapping'!A:L,4,FALSE)</f>
        <v>0;1;2;3</v>
      </c>
      <c r="I257" s="2"/>
      <c r="J257" s="3" t="str">
        <f>VLOOKUP(F257,'Message Mapping'!A:L,12,FALSE)</f>
        <v>Severidade 4</v>
      </c>
      <c r="K257" s="3"/>
      <c r="L257" s="3"/>
      <c r="M257" s="3"/>
      <c r="N257" s="3"/>
      <c r="O257" s="3"/>
      <c r="P257" s="3"/>
    </row>
    <row r="258" spans="1:16" x14ac:dyDescent="0.25">
      <c r="A258" s="94" t="s">
        <v>409</v>
      </c>
      <c r="B258" s="2" t="s">
        <v>410</v>
      </c>
      <c r="C258" s="2" t="s">
        <v>39</v>
      </c>
      <c r="D258" s="2" t="s">
        <v>12</v>
      </c>
      <c r="E258" s="2" t="s">
        <v>1159</v>
      </c>
      <c r="F258" s="2" t="s">
        <v>40</v>
      </c>
      <c r="G258" s="2" t="str">
        <f>VLOOKUP(F258,'Message Mapping'!A:L,3,FALSE)</f>
        <v>Transit;NORMAL;ATUADO;Error</v>
      </c>
      <c r="H258" s="2" t="str">
        <f>VLOOKUP(F258,'Message Mapping'!A:L,4,FALSE)</f>
        <v>0;1;2;3</v>
      </c>
      <c r="I258" s="2"/>
      <c r="J258" s="3" t="str">
        <f>VLOOKUP(F258,'Message Mapping'!A:L,12,FALSE)</f>
        <v>Severidade 4</v>
      </c>
      <c r="K258" s="3"/>
      <c r="L258" s="3"/>
      <c r="M258" s="3"/>
      <c r="N258" s="3"/>
      <c r="O258" s="3"/>
      <c r="P258" s="3"/>
    </row>
    <row r="259" spans="1:16" x14ac:dyDescent="0.25">
      <c r="A259" s="94" t="s">
        <v>411</v>
      </c>
      <c r="B259" s="2" t="s">
        <v>412</v>
      </c>
      <c r="C259" s="2" t="s">
        <v>39</v>
      </c>
      <c r="D259" s="2" t="s">
        <v>12</v>
      </c>
      <c r="E259" s="2" t="s">
        <v>1159</v>
      </c>
      <c r="F259" s="2" t="s">
        <v>40</v>
      </c>
      <c r="G259" s="2" t="str">
        <f>VLOOKUP(F259,'Message Mapping'!A:L,3,FALSE)</f>
        <v>Transit;NORMAL;ATUADO;Error</v>
      </c>
      <c r="H259" s="2" t="str">
        <f>VLOOKUP(F259,'Message Mapping'!A:L,4,FALSE)</f>
        <v>0;1;2;3</v>
      </c>
      <c r="I259" s="2"/>
      <c r="J259" s="3" t="str">
        <f>VLOOKUP(F259,'Message Mapping'!A:L,12,FALSE)</f>
        <v>Severidade 4</v>
      </c>
      <c r="K259" s="3"/>
      <c r="L259" s="3"/>
      <c r="M259" s="3"/>
      <c r="N259" s="3"/>
      <c r="O259" s="3"/>
      <c r="P259" s="3"/>
    </row>
    <row r="260" spans="1:16" x14ac:dyDescent="0.25">
      <c r="A260" s="94" t="s">
        <v>413</v>
      </c>
      <c r="B260" s="2" t="s">
        <v>414</v>
      </c>
      <c r="C260" s="2" t="s">
        <v>39</v>
      </c>
      <c r="D260" s="2" t="s">
        <v>12</v>
      </c>
      <c r="E260" s="2" t="s">
        <v>1159</v>
      </c>
      <c r="F260" s="2" t="s">
        <v>40</v>
      </c>
      <c r="G260" s="2" t="str">
        <f>VLOOKUP(F260,'Message Mapping'!A:L,3,FALSE)</f>
        <v>Transit;NORMAL;ATUADO;Error</v>
      </c>
      <c r="H260" s="2" t="str">
        <f>VLOOKUP(F260,'Message Mapping'!A:L,4,FALSE)</f>
        <v>0;1;2;3</v>
      </c>
      <c r="I260" s="2"/>
      <c r="J260" s="3" t="str">
        <f>VLOOKUP(F260,'Message Mapping'!A:L,12,FALSE)</f>
        <v>Severidade 4</v>
      </c>
      <c r="K260" s="3"/>
      <c r="L260" s="3"/>
      <c r="M260" s="3"/>
      <c r="N260" s="3"/>
      <c r="O260" s="3"/>
      <c r="P260" s="3"/>
    </row>
    <row r="261" spans="1:16" x14ac:dyDescent="0.25">
      <c r="A261" s="94" t="s">
        <v>415</v>
      </c>
      <c r="B261" s="2" t="s">
        <v>416</v>
      </c>
      <c r="C261" s="2" t="s">
        <v>39</v>
      </c>
      <c r="D261" s="2" t="s">
        <v>12</v>
      </c>
      <c r="E261" s="2" t="s">
        <v>1159</v>
      </c>
      <c r="F261" s="2" t="s">
        <v>40</v>
      </c>
      <c r="G261" s="2" t="str">
        <f>VLOOKUP(F261,'Message Mapping'!A:L,3,FALSE)</f>
        <v>Transit;NORMAL;ATUADO;Error</v>
      </c>
      <c r="H261" s="2" t="str">
        <f>VLOOKUP(F261,'Message Mapping'!A:L,4,FALSE)</f>
        <v>0;1;2;3</v>
      </c>
      <c r="I261" s="2"/>
      <c r="J261" s="3" t="str">
        <f>VLOOKUP(F261,'Message Mapping'!A:L,12,FALSE)</f>
        <v>Severidade 4</v>
      </c>
      <c r="K261" s="3"/>
      <c r="L261" s="3"/>
      <c r="M261" s="3"/>
      <c r="N261" s="3"/>
      <c r="O261" s="3"/>
      <c r="P261" s="3"/>
    </row>
    <row r="262" spans="1:16" x14ac:dyDescent="0.25">
      <c r="A262" s="94" t="s">
        <v>417</v>
      </c>
      <c r="B262" s="2" t="s">
        <v>418</v>
      </c>
      <c r="C262" s="2" t="s">
        <v>39</v>
      </c>
      <c r="D262" s="2" t="s">
        <v>12</v>
      </c>
      <c r="E262" s="2" t="s">
        <v>1159</v>
      </c>
      <c r="F262" s="2" t="s">
        <v>40</v>
      </c>
      <c r="G262" s="2" t="str">
        <f>VLOOKUP(F262,'Message Mapping'!A:L,3,FALSE)</f>
        <v>Transit;NORMAL;ATUADO;Error</v>
      </c>
      <c r="H262" s="2" t="str">
        <f>VLOOKUP(F262,'Message Mapping'!A:L,4,FALSE)</f>
        <v>0;1;2;3</v>
      </c>
      <c r="I262" s="2"/>
      <c r="J262" s="3" t="str">
        <f>VLOOKUP(F262,'Message Mapping'!A:L,12,FALSE)</f>
        <v>Severidade 4</v>
      </c>
      <c r="K262" s="3" t="s">
        <v>2814</v>
      </c>
      <c r="L262" s="3"/>
      <c r="M262" s="3"/>
      <c r="N262" s="3"/>
      <c r="O262" s="3"/>
      <c r="P262" s="3"/>
    </row>
    <row r="263" spans="1:16" x14ac:dyDescent="0.25">
      <c r="A263" s="94" t="s">
        <v>419</v>
      </c>
      <c r="B263" s="2" t="s">
        <v>420</v>
      </c>
      <c r="C263" s="2" t="s">
        <v>39</v>
      </c>
      <c r="D263" s="2" t="s">
        <v>12</v>
      </c>
      <c r="E263" s="2" t="s">
        <v>1159</v>
      </c>
      <c r="F263" s="2" t="s">
        <v>40</v>
      </c>
      <c r="G263" s="2" t="str">
        <f>VLOOKUP(F263,'Message Mapping'!A:L,3,FALSE)</f>
        <v>Transit;NORMAL;ATUADO;Error</v>
      </c>
      <c r="H263" s="2" t="str">
        <f>VLOOKUP(F263,'Message Mapping'!A:L,4,FALSE)</f>
        <v>0;1;2;3</v>
      </c>
      <c r="I263" s="2"/>
      <c r="J263" s="3" t="str">
        <f>VLOOKUP(F263,'Message Mapping'!A:L,12,FALSE)</f>
        <v>Severidade 4</v>
      </c>
      <c r="K263" s="3"/>
      <c r="L263" s="3"/>
      <c r="M263" s="3"/>
      <c r="N263" s="3"/>
      <c r="O263" s="3"/>
      <c r="P263" s="3"/>
    </row>
    <row r="264" spans="1:16" x14ac:dyDescent="0.25">
      <c r="A264" s="94" t="s">
        <v>421</v>
      </c>
      <c r="B264" s="2" t="s">
        <v>422</v>
      </c>
      <c r="C264" s="2" t="s">
        <v>39</v>
      </c>
      <c r="D264" s="2" t="s">
        <v>12</v>
      </c>
      <c r="E264" s="2" t="s">
        <v>1159</v>
      </c>
      <c r="F264" s="2" t="s">
        <v>40</v>
      </c>
      <c r="G264" s="2" t="str">
        <f>VLOOKUP(F264,'Message Mapping'!A:L,3,FALSE)</f>
        <v>Transit;NORMAL;ATUADO;Error</v>
      </c>
      <c r="H264" s="2" t="str">
        <f>VLOOKUP(F264,'Message Mapping'!A:L,4,FALSE)</f>
        <v>0;1;2;3</v>
      </c>
      <c r="I264" s="2"/>
      <c r="J264" s="3" t="str">
        <f>VLOOKUP(F264,'Message Mapping'!A:L,12,FALSE)</f>
        <v>Severidade 4</v>
      </c>
      <c r="K264" s="3"/>
      <c r="L264" s="3"/>
      <c r="M264" s="3"/>
      <c r="N264" s="3"/>
      <c r="O264" s="3"/>
      <c r="P264" s="3"/>
    </row>
    <row r="265" spans="1:16" x14ac:dyDescent="0.25">
      <c r="A265" s="94" t="s">
        <v>423</v>
      </c>
      <c r="B265" s="2" t="s">
        <v>424</v>
      </c>
      <c r="C265" s="2" t="s">
        <v>39</v>
      </c>
      <c r="D265" s="2" t="s">
        <v>12</v>
      </c>
      <c r="E265" s="2" t="s">
        <v>1159</v>
      </c>
      <c r="F265" s="2" t="s">
        <v>40</v>
      </c>
      <c r="G265" s="2" t="str">
        <f>VLOOKUP(F265,'Message Mapping'!A:L,3,FALSE)</f>
        <v>Transit;NORMAL;ATUADO;Error</v>
      </c>
      <c r="H265" s="2" t="str">
        <f>VLOOKUP(F265,'Message Mapping'!A:L,4,FALSE)</f>
        <v>0;1;2;3</v>
      </c>
      <c r="I265" s="2"/>
      <c r="J265" s="3" t="str">
        <f>VLOOKUP(F265,'Message Mapping'!A:L,12,FALSE)</f>
        <v>Severidade 4</v>
      </c>
      <c r="K265" s="3"/>
      <c r="L265" s="3"/>
      <c r="M265" s="3"/>
      <c r="N265" s="3"/>
      <c r="O265" s="3"/>
      <c r="P265" s="3"/>
    </row>
    <row r="266" spans="1:16" x14ac:dyDescent="0.25">
      <c r="A266" s="94" t="s">
        <v>425</v>
      </c>
      <c r="B266" s="2" t="s">
        <v>426</v>
      </c>
      <c r="C266" s="2" t="s">
        <v>39</v>
      </c>
      <c r="D266" s="2" t="s">
        <v>12</v>
      </c>
      <c r="E266" s="2" t="s">
        <v>1159</v>
      </c>
      <c r="F266" s="2" t="s">
        <v>40</v>
      </c>
      <c r="G266" s="2" t="str">
        <f>VLOOKUP(F266,'Message Mapping'!A:L,3,FALSE)</f>
        <v>Transit;NORMAL;ATUADO;Error</v>
      </c>
      <c r="H266" s="2" t="str">
        <f>VLOOKUP(F266,'Message Mapping'!A:L,4,FALSE)</f>
        <v>0;1;2;3</v>
      </c>
      <c r="I266" s="2"/>
      <c r="J266" s="3" t="str">
        <f>VLOOKUP(F266,'Message Mapping'!A:L,12,FALSE)</f>
        <v>Severidade 4</v>
      </c>
      <c r="K266" s="3"/>
      <c r="L266" s="3"/>
      <c r="M266" s="3"/>
      <c r="N266" s="3"/>
      <c r="O266" s="3"/>
      <c r="P266" s="3"/>
    </row>
    <row r="267" spans="1:16" x14ac:dyDescent="0.25">
      <c r="A267" s="94" t="s">
        <v>427</v>
      </c>
      <c r="B267" s="2" t="s">
        <v>428</v>
      </c>
      <c r="C267" s="2" t="s">
        <v>39</v>
      </c>
      <c r="D267" s="2" t="s">
        <v>12</v>
      </c>
      <c r="E267" s="2" t="s">
        <v>1159</v>
      </c>
      <c r="F267" s="2" t="s">
        <v>40</v>
      </c>
      <c r="G267" s="2" t="str">
        <f>VLOOKUP(F267,'Message Mapping'!A:L,3,FALSE)</f>
        <v>Transit;NORMAL;ATUADO;Error</v>
      </c>
      <c r="H267" s="2" t="str">
        <f>VLOOKUP(F267,'Message Mapping'!A:L,4,FALSE)</f>
        <v>0;1;2;3</v>
      </c>
      <c r="I267" s="2"/>
      <c r="J267" s="3" t="str">
        <f>VLOOKUP(F267,'Message Mapping'!A:L,12,FALSE)</f>
        <v>Severidade 4</v>
      </c>
      <c r="K267" s="3"/>
      <c r="L267" s="3"/>
      <c r="M267" s="3"/>
      <c r="N267" s="3"/>
      <c r="O267" s="3"/>
      <c r="P267" s="3"/>
    </row>
    <row r="268" spans="1:16" x14ac:dyDescent="0.25">
      <c r="A268" s="94" t="s">
        <v>429</v>
      </c>
      <c r="B268" s="2" t="s">
        <v>430</v>
      </c>
      <c r="C268" s="2" t="s">
        <v>39</v>
      </c>
      <c r="D268" s="2" t="s">
        <v>12</v>
      </c>
      <c r="E268" s="2" t="s">
        <v>1159</v>
      </c>
      <c r="F268" s="2" t="s">
        <v>40</v>
      </c>
      <c r="G268" s="2" t="str">
        <f>VLOOKUP(F268,'Message Mapping'!A:L,3,FALSE)</f>
        <v>Transit;NORMAL;ATUADO;Error</v>
      </c>
      <c r="H268" s="2" t="str">
        <f>VLOOKUP(F268,'Message Mapping'!A:L,4,FALSE)</f>
        <v>0;1;2;3</v>
      </c>
      <c r="I268" s="2"/>
      <c r="J268" s="3" t="str">
        <f>VLOOKUP(F268,'Message Mapping'!A:L,12,FALSE)</f>
        <v>Severidade 4</v>
      </c>
      <c r="K268" s="3"/>
      <c r="L268" s="3"/>
      <c r="M268" s="3"/>
      <c r="N268" s="3"/>
      <c r="O268" s="3"/>
      <c r="P268" s="3"/>
    </row>
    <row r="269" spans="1:16" x14ac:dyDescent="0.25">
      <c r="A269" s="94" t="s">
        <v>4243</v>
      </c>
      <c r="B269" s="2" t="s">
        <v>431</v>
      </c>
      <c r="C269" s="2" t="s">
        <v>39</v>
      </c>
      <c r="D269" s="2" t="s">
        <v>12</v>
      </c>
      <c r="E269" s="2" t="s">
        <v>1159</v>
      </c>
      <c r="F269" s="2" t="s">
        <v>40</v>
      </c>
      <c r="G269" s="2" t="str">
        <f>VLOOKUP(F269,'Message Mapping'!A:L,3,FALSE)</f>
        <v>Transit;NORMAL;ATUADO;Error</v>
      </c>
      <c r="H269" s="2" t="str">
        <f>VLOOKUP(F269,'Message Mapping'!A:L,4,FALSE)</f>
        <v>0;1;2;3</v>
      </c>
      <c r="I269" s="2"/>
      <c r="J269" s="3" t="str">
        <f>VLOOKUP(F269,'Message Mapping'!A:L,12,FALSE)</f>
        <v>Severidade 4</v>
      </c>
      <c r="K269" s="3"/>
      <c r="L269" s="3"/>
      <c r="M269" s="3"/>
      <c r="N269" s="3"/>
      <c r="O269" s="3"/>
      <c r="P269" s="3"/>
    </row>
    <row r="270" spans="1:16" x14ac:dyDescent="0.25">
      <c r="A270" s="94" t="s">
        <v>432</v>
      </c>
      <c r="B270" s="2" t="s">
        <v>433</v>
      </c>
      <c r="C270" s="2" t="s">
        <v>39</v>
      </c>
      <c r="D270" s="2" t="s">
        <v>12</v>
      </c>
      <c r="E270" s="2" t="s">
        <v>1159</v>
      </c>
      <c r="F270" s="2" t="s">
        <v>40</v>
      </c>
      <c r="G270" s="2" t="str">
        <f>VLOOKUP(F270,'Message Mapping'!A:L,3,FALSE)</f>
        <v>Transit;NORMAL;ATUADO;Error</v>
      </c>
      <c r="H270" s="2" t="str">
        <f>VLOOKUP(F270,'Message Mapping'!A:L,4,FALSE)</f>
        <v>0;1;2;3</v>
      </c>
      <c r="I270" s="2"/>
      <c r="J270" s="3" t="str">
        <f>VLOOKUP(F270,'Message Mapping'!A:L,12,FALSE)</f>
        <v>Severidade 4</v>
      </c>
      <c r="K270" s="3"/>
      <c r="L270" s="3"/>
      <c r="M270" s="3"/>
      <c r="N270" s="3"/>
      <c r="O270" s="3"/>
      <c r="P270" s="3"/>
    </row>
    <row r="271" spans="1:16" x14ac:dyDescent="0.25">
      <c r="A271" s="94" t="s">
        <v>434</v>
      </c>
      <c r="B271" s="2" t="s">
        <v>435</v>
      </c>
      <c r="C271" s="2" t="s">
        <v>39</v>
      </c>
      <c r="D271" s="2" t="s">
        <v>12</v>
      </c>
      <c r="E271" s="2" t="s">
        <v>1159</v>
      </c>
      <c r="F271" s="2" t="s">
        <v>40</v>
      </c>
      <c r="G271" s="2" t="str">
        <f>VLOOKUP(F271,'Message Mapping'!A:L,3,FALSE)</f>
        <v>Transit;NORMAL;ATUADO;Error</v>
      </c>
      <c r="H271" s="2" t="str">
        <f>VLOOKUP(F271,'Message Mapping'!A:L,4,FALSE)</f>
        <v>0;1;2;3</v>
      </c>
      <c r="I271" s="2"/>
      <c r="J271" s="3" t="str">
        <f>VLOOKUP(F271,'Message Mapping'!A:L,12,FALSE)</f>
        <v>Severidade 4</v>
      </c>
      <c r="K271" s="3"/>
      <c r="L271" s="3"/>
      <c r="M271" s="3"/>
      <c r="N271" s="3"/>
      <c r="O271" s="3"/>
      <c r="P271" s="3"/>
    </row>
    <row r="272" spans="1:16" x14ac:dyDescent="0.25">
      <c r="A272" s="94" t="s">
        <v>436</v>
      </c>
      <c r="B272" s="2" t="s">
        <v>437</v>
      </c>
      <c r="C272" s="2" t="s">
        <v>39</v>
      </c>
      <c r="D272" s="2" t="s">
        <v>12</v>
      </c>
      <c r="E272" s="2" t="s">
        <v>1159</v>
      </c>
      <c r="F272" s="2" t="s">
        <v>40</v>
      </c>
      <c r="G272" s="2" t="str">
        <f>VLOOKUP(F272,'Message Mapping'!A:L,3,FALSE)</f>
        <v>Transit;NORMAL;ATUADO;Error</v>
      </c>
      <c r="H272" s="2" t="str">
        <f>VLOOKUP(F272,'Message Mapping'!A:L,4,FALSE)</f>
        <v>0;1;2;3</v>
      </c>
      <c r="I272" s="2"/>
      <c r="J272" s="3" t="str">
        <f>VLOOKUP(F272,'Message Mapping'!A:L,12,FALSE)</f>
        <v>Severidade 4</v>
      </c>
      <c r="K272" s="3"/>
      <c r="L272" s="3"/>
      <c r="M272" s="3"/>
      <c r="N272" s="3"/>
      <c r="O272" s="3"/>
      <c r="P272" s="3"/>
    </row>
    <row r="273" spans="1:16" x14ac:dyDescent="0.25">
      <c r="A273" s="94" t="s">
        <v>438</v>
      </c>
      <c r="B273" s="2" t="s">
        <v>439</v>
      </c>
      <c r="C273" s="2" t="s">
        <v>39</v>
      </c>
      <c r="D273" s="2" t="s">
        <v>12</v>
      </c>
      <c r="E273" s="2" t="s">
        <v>1159</v>
      </c>
      <c r="F273" s="2" t="s">
        <v>40</v>
      </c>
      <c r="G273" s="2" t="str">
        <f>VLOOKUP(F273,'Message Mapping'!A:L,3,FALSE)</f>
        <v>Transit;NORMAL;ATUADO;Error</v>
      </c>
      <c r="H273" s="2" t="str">
        <f>VLOOKUP(F273,'Message Mapping'!A:L,4,FALSE)</f>
        <v>0;1;2;3</v>
      </c>
      <c r="I273" s="2"/>
      <c r="J273" s="3" t="str">
        <f>VLOOKUP(F273,'Message Mapping'!A:L,12,FALSE)</f>
        <v>Severidade 4</v>
      </c>
      <c r="K273" s="3"/>
      <c r="L273" s="3"/>
      <c r="M273" s="3"/>
      <c r="N273" s="3"/>
      <c r="O273" s="3"/>
      <c r="P273" s="3"/>
    </row>
    <row r="274" spans="1:16" x14ac:dyDescent="0.25">
      <c r="A274" s="94" t="s">
        <v>4244</v>
      </c>
      <c r="B274" s="2" t="s">
        <v>440</v>
      </c>
      <c r="C274" s="2" t="s">
        <v>34</v>
      </c>
      <c r="D274" s="2" t="s">
        <v>35</v>
      </c>
      <c r="E274" s="2" t="s">
        <v>1160</v>
      </c>
      <c r="F274" s="2" t="s">
        <v>113</v>
      </c>
      <c r="G274" s="2" t="str">
        <f>VLOOKUP(F274,'Message Mapping'!A:L,3,FALSE)</f>
        <v>Transit;INCLUIDO;EXCLUIDO;Error</v>
      </c>
      <c r="H274" s="2" t="str">
        <f>VLOOKUP(F274,'Message Mapping'!A:L,4,FALSE)</f>
        <v>0;1;2;3</v>
      </c>
      <c r="I274" s="2"/>
      <c r="J274" s="3" t="str">
        <f>VLOOKUP(F274,'Message Mapping'!A:L,12,FALSE)</f>
        <v>Severidade 8</v>
      </c>
      <c r="K274" s="3"/>
      <c r="L274" s="3"/>
      <c r="M274" s="3"/>
      <c r="N274" s="3"/>
      <c r="O274" s="3"/>
      <c r="P274" s="3"/>
    </row>
    <row r="275" spans="1:16" x14ac:dyDescent="0.25">
      <c r="A275" s="94" t="s">
        <v>4244</v>
      </c>
      <c r="B275" s="2" t="s">
        <v>440</v>
      </c>
      <c r="C275" s="2" t="s">
        <v>34</v>
      </c>
      <c r="D275" s="2" t="s">
        <v>35</v>
      </c>
      <c r="E275" s="2" t="s">
        <v>1159</v>
      </c>
      <c r="F275" s="2" t="s">
        <v>36</v>
      </c>
      <c r="G275" s="2" t="str">
        <f>VLOOKUP(F275,'Message Mapping'!A:L,3,FALSE)</f>
        <v>Transit;INCLUIDO;EXCLUIDO;Error</v>
      </c>
      <c r="H275" s="2" t="str">
        <f>VLOOKUP(F275,'Message Mapping'!A:L,4,FALSE)</f>
        <v>0;1;2;3</v>
      </c>
      <c r="I275" s="2"/>
      <c r="J275" s="3" t="str">
        <f>VLOOKUP(F275,'Message Mapping'!A:L,12,FALSE)</f>
        <v>Severidade 8</v>
      </c>
      <c r="K275" s="3"/>
      <c r="L275" s="3"/>
      <c r="M275" s="3"/>
      <c r="N275" s="3"/>
      <c r="O275" s="3"/>
      <c r="P275" s="3"/>
    </row>
    <row r="276" spans="1:16" x14ac:dyDescent="0.25">
      <c r="A276" s="94" t="s">
        <v>441</v>
      </c>
      <c r="B276" s="2" t="s">
        <v>442</v>
      </c>
      <c r="C276" s="2" t="s">
        <v>39</v>
      </c>
      <c r="D276" s="2" t="s">
        <v>12</v>
      </c>
      <c r="E276" s="2" t="s">
        <v>1159</v>
      </c>
      <c r="F276" s="2" t="s">
        <v>40</v>
      </c>
      <c r="G276" s="2" t="str">
        <f>VLOOKUP(F276,'Message Mapping'!A:L,3,FALSE)</f>
        <v>Transit;NORMAL;ATUADO;Error</v>
      </c>
      <c r="H276" s="2" t="str">
        <f>VLOOKUP(F276,'Message Mapping'!A:L,4,FALSE)</f>
        <v>0;1;2;3</v>
      </c>
      <c r="I276" s="2"/>
      <c r="J276" s="3" t="str">
        <f>VLOOKUP(F276,'Message Mapping'!A:L,12,FALSE)</f>
        <v>Severidade 4</v>
      </c>
      <c r="K276" s="3"/>
      <c r="L276" s="3"/>
      <c r="M276" s="3"/>
      <c r="N276" s="3"/>
      <c r="O276" s="3"/>
      <c r="P276" s="3"/>
    </row>
    <row r="277" spans="1:16" x14ac:dyDescent="0.25">
      <c r="A277" s="94" t="s">
        <v>2819</v>
      </c>
      <c r="B277" s="2" t="s">
        <v>2820</v>
      </c>
      <c r="C277" s="2" t="s">
        <v>39</v>
      </c>
      <c r="D277" s="2" t="s">
        <v>12</v>
      </c>
      <c r="E277" s="2" t="s">
        <v>1159</v>
      </c>
      <c r="F277" s="2" t="s">
        <v>40</v>
      </c>
      <c r="G277" s="2" t="str">
        <f>VLOOKUP(F277,'Message Mapping'!A:L,3,FALSE)</f>
        <v>Transit;NORMAL;ATUADO;Error</v>
      </c>
      <c r="H277" s="2" t="str">
        <f>VLOOKUP(F277,'Message Mapping'!A:L,4,FALSE)</f>
        <v>0;1;2;3</v>
      </c>
      <c r="I277" s="2"/>
      <c r="J277" s="3" t="str">
        <f>VLOOKUP(F277,'Message Mapping'!A:L,12,FALSE)</f>
        <v>Severidade 4</v>
      </c>
      <c r="K277" s="3"/>
      <c r="L277" s="3"/>
      <c r="M277" s="3"/>
      <c r="N277" s="3"/>
      <c r="O277" s="3"/>
      <c r="P277" s="3"/>
    </row>
    <row r="278" spans="1:16" x14ac:dyDescent="0.25">
      <c r="A278" s="94" t="s">
        <v>443</v>
      </c>
      <c r="B278" s="2" t="s">
        <v>444</v>
      </c>
      <c r="C278" s="2" t="s">
        <v>39</v>
      </c>
      <c r="D278" s="2" t="s">
        <v>12</v>
      </c>
      <c r="E278" s="2" t="s">
        <v>1159</v>
      </c>
      <c r="F278" s="2" t="s">
        <v>40</v>
      </c>
      <c r="G278" s="2" t="str">
        <f>VLOOKUP(F278,'Message Mapping'!A:L,3,FALSE)</f>
        <v>Transit;NORMAL;ATUADO;Error</v>
      </c>
      <c r="H278" s="2" t="str">
        <f>VLOOKUP(F278,'Message Mapping'!A:L,4,FALSE)</f>
        <v>0;1;2;3</v>
      </c>
      <c r="I278" s="2"/>
      <c r="J278" s="3" t="str">
        <f>VLOOKUP(F278,'Message Mapping'!A:L,12,FALSE)</f>
        <v>Severidade 4</v>
      </c>
      <c r="K278" s="3"/>
      <c r="L278" s="3"/>
      <c r="M278" s="3"/>
      <c r="N278" s="3"/>
      <c r="O278" s="3"/>
      <c r="P278" s="3"/>
    </row>
    <row r="279" spans="1:16" x14ac:dyDescent="0.25">
      <c r="A279" s="94" t="s">
        <v>4245</v>
      </c>
      <c r="B279" s="2" t="s">
        <v>445</v>
      </c>
      <c r="C279" s="2" t="s">
        <v>39</v>
      </c>
      <c r="D279" s="2" t="s">
        <v>12</v>
      </c>
      <c r="E279" s="2" t="s">
        <v>1159</v>
      </c>
      <c r="F279" s="2" t="s">
        <v>40</v>
      </c>
      <c r="G279" s="2" t="str">
        <f>VLOOKUP(F279,'Message Mapping'!A:L,3,FALSE)</f>
        <v>Transit;NORMAL;ATUADO;Error</v>
      </c>
      <c r="H279" s="2" t="str">
        <f>VLOOKUP(F279,'Message Mapping'!A:L,4,FALSE)</f>
        <v>0;1;2;3</v>
      </c>
      <c r="I279" s="2"/>
      <c r="J279" s="3" t="str">
        <f>VLOOKUP(F279,'Message Mapping'!A:L,12,FALSE)</f>
        <v>Severidade 4</v>
      </c>
      <c r="K279" s="3"/>
      <c r="L279" s="3"/>
      <c r="M279" s="3"/>
      <c r="N279" s="3"/>
      <c r="O279" s="3"/>
      <c r="P279" s="3"/>
    </row>
    <row r="280" spans="1:16" x14ac:dyDescent="0.25">
      <c r="A280" s="94" t="s">
        <v>446</v>
      </c>
      <c r="B280" s="2" t="s">
        <v>447</v>
      </c>
      <c r="C280" s="2" t="s">
        <v>11</v>
      </c>
      <c r="D280" s="2" t="s">
        <v>12</v>
      </c>
      <c r="E280" s="2" t="s">
        <v>1159</v>
      </c>
      <c r="F280" s="2" t="s">
        <v>13</v>
      </c>
      <c r="G280" s="2" t="str">
        <f>VLOOKUP(F280,'Message Mapping'!A:L,3,FALSE)</f>
        <v>Transit;NORMAL;ATUADO;Error</v>
      </c>
      <c r="H280" s="2" t="str">
        <f>VLOOKUP(F280,'Message Mapping'!A:L,4,FALSE)</f>
        <v>0;1;2;3</v>
      </c>
      <c r="I280" s="2"/>
      <c r="J280" s="3" t="str">
        <f>VLOOKUP(F280,'Message Mapping'!A:L,12,FALSE)</f>
        <v>Severidade 4</v>
      </c>
      <c r="K280" s="3"/>
      <c r="L280" s="3"/>
      <c r="M280" s="3"/>
      <c r="N280" s="3"/>
      <c r="O280" s="3"/>
      <c r="P280" s="3"/>
    </row>
    <row r="281" spans="1:16" x14ac:dyDescent="0.25">
      <c r="A281" s="94" t="s">
        <v>448</v>
      </c>
      <c r="B281" s="2" t="s">
        <v>449</v>
      </c>
      <c r="C281" s="2" t="s">
        <v>11</v>
      </c>
      <c r="D281" s="2" t="s">
        <v>12</v>
      </c>
      <c r="E281" s="2" t="s">
        <v>1159</v>
      </c>
      <c r="F281" s="2" t="s">
        <v>13</v>
      </c>
      <c r="G281" s="2" t="str">
        <f>VLOOKUP(F281,'Message Mapping'!A:L,3,FALSE)</f>
        <v>Transit;NORMAL;ATUADO;Error</v>
      </c>
      <c r="H281" s="2" t="str">
        <f>VLOOKUP(F281,'Message Mapping'!A:L,4,FALSE)</f>
        <v>0;1;2;3</v>
      </c>
      <c r="I281" s="2"/>
      <c r="J281" s="3" t="str">
        <f>VLOOKUP(F281,'Message Mapping'!A:L,12,FALSE)</f>
        <v>Severidade 4</v>
      </c>
      <c r="K281" s="3"/>
      <c r="L281" s="3"/>
      <c r="M281" s="3"/>
      <c r="N281" s="3"/>
      <c r="O281" s="3"/>
      <c r="P281" s="3"/>
    </row>
    <row r="282" spans="1:16" x14ac:dyDescent="0.25">
      <c r="A282" s="94" t="s">
        <v>450</v>
      </c>
      <c r="B282" s="2" t="s">
        <v>4251</v>
      </c>
      <c r="C282" s="2" t="s">
        <v>451</v>
      </c>
      <c r="D282" s="2" t="s">
        <v>35</v>
      </c>
      <c r="E282" s="2" t="s">
        <v>1160</v>
      </c>
      <c r="F282" s="2" t="s">
        <v>1167</v>
      </c>
      <c r="G282" s="2" t="str">
        <f>VLOOKUP(F282,'Message Mapping'!A:L,3,FALSE)</f>
        <v>Transit;DESABILITADO;HABILITADO;Error</v>
      </c>
      <c r="H282" s="2" t="str">
        <f>VLOOKUP(F282,'Message Mapping'!A:L,4,FALSE)</f>
        <v>0;1;2;3</v>
      </c>
      <c r="I282" s="2"/>
      <c r="J282" s="3" t="str">
        <f>VLOOKUP(F282,'Message Mapping'!A:L,12,FALSE)</f>
        <v>Severidade 8</v>
      </c>
      <c r="K282" s="3"/>
      <c r="L282" s="3"/>
      <c r="M282" s="3"/>
      <c r="N282" s="3"/>
      <c r="O282" s="3"/>
      <c r="P282" s="3"/>
    </row>
    <row r="283" spans="1:16" x14ac:dyDescent="0.25">
      <c r="A283" s="94" t="s">
        <v>450</v>
      </c>
      <c r="B283" s="2" t="s">
        <v>4251</v>
      </c>
      <c r="C283" s="2" t="s">
        <v>451</v>
      </c>
      <c r="D283" s="2" t="s">
        <v>35</v>
      </c>
      <c r="E283" s="2" t="s">
        <v>1159</v>
      </c>
      <c r="F283" s="2" t="s">
        <v>452</v>
      </c>
      <c r="G283" s="2" t="str">
        <f>VLOOKUP(F283,'Message Mapping'!A:L,3,FALSE)</f>
        <v>Transit;DESATIVADO;ATIVADO;Error</v>
      </c>
      <c r="H283" s="2" t="str">
        <f>VLOOKUP(F283,'Message Mapping'!A:L,4,FALSE)</f>
        <v>0;1;2;3</v>
      </c>
      <c r="I283" s="2"/>
      <c r="J283" s="3" t="str">
        <f>VLOOKUP(F283,'Message Mapping'!A:L,12,FALSE)</f>
        <v>Severidade 8</v>
      </c>
      <c r="K283" s="3"/>
      <c r="L283" s="3"/>
      <c r="M283" s="3"/>
      <c r="N283" s="3"/>
      <c r="O283" s="3"/>
      <c r="P283" s="3"/>
    </row>
    <row r="284" spans="1:16" x14ac:dyDescent="0.25">
      <c r="A284" s="94" t="s">
        <v>453</v>
      </c>
      <c r="B284" s="2" t="s">
        <v>454</v>
      </c>
      <c r="C284" s="2" t="s">
        <v>11</v>
      </c>
      <c r="D284" s="2" t="s">
        <v>12</v>
      </c>
      <c r="E284" s="2" t="s">
        <v>1159</v>
      </c>
      <c r="F284" s="2" t="s">
        <v>455</v>
      </c>
      <c r="G284" s="2" t="str">
        <f>VLOOKUP(F284,'Message Mapping'!A:L,3,FALSE)</f>
        <v>Transit;NORMAL;DISCREPANCIA;Error</v>
      </c>
      <c r="H284" s="2" t="str">
        <f>VLOOKUP(F284,'Message Mapping'!A:L,4,FALSE)</f>
        <v>0;1;2;3</v>
      </c>
      <c r="I284" s="2"/>
      <c r="J284" s="3" t="str">
        <f>VLOOKUP(F284,'Message Mapping'!A:L,12,FALSE)</f>
        <v>Severidade 4</v>
      </c>
      <c r="K284" s="3"/>
      <c r="L284" s="3"/>
      <c r="M284" s="3"/>
      <c r="N284" s="3"/>
      <c r="O284" s="3"/>
      <c r="P284" s="3"/>
    </row>
    <row r="285" spans="1:16" x14ac:dyDescent="0.25">
      <c r="A285" s="94" t="s">
        <v>457</v>
      </c>
      <c r="B285" s="2" t="s">
        <v>458</v>
      </c>
      <c r="C285" s="2" t="s">
        <v>11</v>
      </c>
      <c r="D285" s="2" t="s">
        <v>1234</v>
      </c>
      <c r="E285" s="2" t="s">
        <v>1159</v>
      </c>
      <c r="F285" s="2" t="s">
        <v>107</v>
      </c>
      <c r="G285" s="2" t="str">
        <f>VLOOKUP(F285,'Message Mapping'!A:L,3,FALSE)</f>
        <v>Transit;NORMAL;FALHA;Error</v>
      </c>
      <c r="H285" s="2" t="str">
        <f>VLOOKUP(F285,'Message Mapping'!A:L,4,FALSE)</f>
        <v>0;1;2;3</v>
      </c>
      <c r="I285" s="2"/>
      <c r="J285" s="3" t="str">
        <f>VLOOKUP(F285,'Message Mapping'!A:L,12,FALSE)</f>
        <v>Severidade 7</v>
      </c>
      <c r="K285" s="3"/>
      <c r="L285" s="3"/>
      <c r="M285" s="3"/>
      <c r="N285" s="3"/>
      <c r="O285" s="3"/>
      <c r="P285" s="3"/>
    </row>
    <row r="286" spans="1:16" x14ac:dyDescent="0.25">
      <c r="A286" s="94" t="s">
        <v>460</v>
      </c>
      <c r="B286" s="5" t="s">
        <v>459</v>
      </c>
      <c r="C286" s="2" t="s">
        <v>34</v>
      </c>
      <c r="D286" s="2" t="s">
        <v>35</v>
      </c>
      <c r="E286" s="2" t="s">
        <v>1160</v>
      </c>
      <c r="F286" s="2" t="s">
        <v>113</v>
      </c>
      <c r="G286" s="2" t="str">
        <f>VLOOKUP(F286,'Message Mapping'!A:L,3,FALSE)</f>
        <v>Transit;INCLUIDO;EXCLUIDO;Error</v>
      </c>
      <c r="H286" s="2" t="str">
        <f>VLOOKUP(F286,'Message Mapping'!A:L,4,FALSE)</f>
        <v>0;1;2;3</v>
      </c>
      <c r="I286" s="2"/>
      <c r="J286" s="3" t="str">
        <f>VLOOKUP(F286,'Message Mapping'!A:L,12,FALSE)</f>
        <v>Severidade 8</v>
      </c>
      <c r="K286" s="3"/>
      <c r="L286" s="3"/>
      <c r="M286" s="3"/>
      <c r="N286" s="3"/>
      <c r="O286" s="3"/>
      <c r="P286" s="3"/>
    </row>
    <row r="287" spans="1:16" x14ac:dyDescent="0.25">
      <c r="A287" s="94" t="s">
        <v>4393</v>
      </c>
      <c r="B287" s="2" t="s">
        <v>4394</v>
      </c>
      <c r="C287" s="2" t="s">
        <v>11</v>
      </c>
      <c r="D287" s="2" t="s">
        <v>35</v>
      </c>
      <c r="E287" s="2" t="s">
        <v>1159</v>
      </c>
      <c r="F287" s="2" t="s">
        <v>1163</v>
      </c>
      <c r="G287" s="2" t="str">
        <f>VLOOKUP(F287,'Message Mapping'!A:L,3,FALSE)</f>
        <v>Transit;INCLUIDO;EXCLUIDO;Error</v>
      </c>
      <c r="H287" s="2" t="str">
        <f>VLOOKUP(F287,'Message Mapping'!A:L,4,FALSE)</f>
        <v>0;1;2;3</v>
      </c>
      <c r="I287" s="2"/>
      <c r="J287" s="3"/>
      <c r="K287" s="3"/>
      <c r="L287" s="3"/>
      <c r="M287" s="3"/>
      <c r="N287" s="3"/>
      <c r="O287" s="3"/>
      <c r="P287" s="3"/>
    </row>
    <row r="288" spans="1:16" x14ac:dyDescent="0.25">
      <c r="A288" s="94" t="s">
        <v>4395</v>
      </c>
      <c r="B288" s="2" t="s">
        <v>4396</v>
      </c>
      <c r="C288" s="2" t="s">
        <v>11</v>
      </c>
      <c r="D288" s="2" t="s">
        <v>35</v>
      </c>
      <c r="E288" s="2" t="s">
        <v>1159</v>
      </c>
      <c r="F288" s="2" t="s">
        <v>1163</v>
      </c>
      <c r="G288" s="2" t="str">
        <f>VLOOKUP(F288,'Message Mapping'!A:L,3,FALSE)</f>
        <v>Transit;INCLUIDO;EXCLUIDO;Error</v>
      </c>
      <c r="H288" s="2" t="str">
        <f>VLOOKUP(F288,'Message Mapping'!A:L,4,FALSE)</f>
        <v>0;1;2;3</v>
      </c>
      <c r="I288" s="2"/>
      <c r="J288" s="3"/>
      <c r="K288" s="3"/>
      <c r="L288" s="3"/>
      <c r="M288" s="3"/>
      <c r="N288" s="3"/>
      <c r="O288" s="3"/>
      <c r="P288" s="3"/>
    </row>
    <row r="289" spans="1:16" x14ac:dyDescent="0.25">
      <c r="A289" s="94" t="s">
        <v>460</v>
      </c>
      <c r="B289" s="5" t="s">
        <v>459</v>
      </c>
      <c r="C289" s="2" t="s">
        <v>34</v>
      </c>
      <c r="D289" s="2" t="s">
        <v>35</v>
      </c>
      <c r="E289" s="2" t="s">
        <v>1159</v>
      </c>
      <c r="F289" s="2" t="s">
        <v>1203</v>
      </c>
      <c r="G289" s="2" t="str">
        <f>VLOOKUP(F289,'Message Mapping'!A:L,3,FALSE)</f>
        <v>Transit;INCLUIDO;EXCLUIDO;Error</v>
      </c>
      <c r="H289" s="2" t="str">
        <f>VLOOKUP(F289,'Message Mapping'!A:L,4,FALSE)</f>
        <v>0;1;2;3</v>
      </c>
      <c r="I289" s="2"/>
      <c r="J289" s="3" t="str">
        <f>VLOOKUP(F289,'Message Mapping'!A:L,12,FALSE)</f>
        <v>Severidade 8</v>
      </c>
      <c r="K289" s="3"/>
      <c r="L289" s="3"/>
      <c r="M289" s="3"/>
      <c r="N289" s="3"/>
      <c r="O289" s="3"/>
      <c r="P289" s="3"/>
    </row>
    <row r="290" spans="1:16" x14ac:dyDescent="0.25">
      <c r="A290" s="94" t="s">
        <v>461</v>
      </c>
      <c r="B290" s="2" t="s">
        <v>462</v>
      </c>
      <c r="C290" s="2" t="s">
        <v>11</v>
      </c>
      <c r="D290" s="2" t="s">
        <v>35</v>
      </c>
      <c r="E290" s="2" t="s">
        <v>1160</v>
      </c>
      <c r="F290" s="2" t="s">
        <v>463</v>
      </c>
      <c r="G290" s="2" t="str">
        <f>VLOOKUP(F290,'Message Mapping'!A:L,3,FALSE)</f>
        <v>Transit;DESATIVADO;ATIVADO;Error</v>
      </c>
      <c r="H290" s="2" t="str">
        <f>VLOOKUP(F290,'Message Mapping'!A:L,4,FALSE)</f>
        <v>0;1;2;3</v>
      </c>
      <c r="I290" s="2"/>
      <c r="J290" s="3" t="str">
        <f>VLOOKUP(F290,'Message Mapping'!A:L,12,FALSE)</f>
        <v>Severidade 8</v>
      </c>
      <c r="K290" s="3"/>
      <c r="L290" s="3"/>
      <c r="M290" s="3"/>
      <c r="N290" s="3"/>
      <c r="O290" s="3"/>
      <c r="P290" s="3"/>
    </row>
    <row r="291" spans="1:16" x14ac:dyDescent="0.25">
      <c r="A291" s="94" t="s">
        <v>461</v>
      </c>
      <c r="B291" s="2" t="s">
        <v>462</v>
      </c>
      <c r="C291" s="2" t="s">
        <v>11</v>
      </c>
      <c r="D291" s="2" t="s">
        <v>35</v>
      </c>
      <c r="E291" s="2" t="s">
        <v>1159</v>
      </c>
      <c r="F291" s="2" t="s">
        <v>452</v>
      </c>
      <c r="G291" s="2" t="str">
        <f>VLOOKUP(F291,'Message Mapping'!A:L,3,FALSE)</f>
        <v>Transit;DESATIVADO;ATIVADO;Error</v>
      </c>
      <c r="H291" s="2" t="str">
        <f>VLOOKUP(F291,'Message Mapping'!A:L,4,FALSE)</f>
        <v>0;1;2;3</v>
      </c>
      <c r="I291" s="2"/>
      <c r="J291" s="3" t="str">
        <f>VLOOKUP(F291,'Message Mapping'!A:L,12,FALSE)</f>
        <v>Severidade 8</v>
      </c>
      <c r="K291" s="3"/>
      <c r="L291" s="3"/>
      <c r="M291" s="3"/>
      <c r="N291" s="3"/>
      <c r="O291" s="3"/>
      <c r="P291" s="3"/>
    </row>
    <row r="292" spans="1:16" x14ac:dyDescent="0.25">
      <c r="A292" s="94" t="s">
        <v>464</v>
      </c>
      <c r="B292" s="2" t="s">
        <v>465</v>
      </c>
      <c r="C292" s="2" t="s">
        <v>11</v>
      </c>
      <c r="D292" s="2" t="s">
        <v>35</v>
      </c>
      <c r="E292" s="2" t="s">
        <v>1160</v>
      </c>
      <c r="F292" s="2" t="s">
        <v>466</v>
      </c>
      <c r="G292" s="2" t="str">
        <f>VLOOKUP(F292,'Message Mapping'!A:L,3,FALSE)</f>
        <v>Transit;DESATIVADO;ATIVADO;Error</v>
      </c>
      <c r="H292" s="2" t="str">
        <f>VLOOKUP(F292,'Message Mapping'!A:L,4,FALSE)</f>
        <v>0;1;2;3</v>
      </c>
      <c r="I292" s="2"/>
      <c r="J292" s="3" t="str">
        <f>VLOOKUP(F292,'Message Mapping'!A:L,12,FALSE)</f>
        <v>Severidade 8</v>
      </c>
      <c r="K292" s="3"/>
      <c r="L292" s="3"/>
      <c r="M292" s="3"/>
      <c r="N292" s="3"/>
      <c r="O292" s="3"/>
      <c r="P292" s="3"/>
    </row>
    <row r="293" spans="1:16" x14ac:dyDescent="0.25">
      <c r="A293" s="94" t="s">
        <v>464</v>
      </c>
      <c r="B293" s="2" t="s">
        <v>465</v>
      </c>
      <c r="C293" s="2" t="s">
        <v>11</v>
      </c>
      <c r="D293" s="2" t="s">
        <v>35</v>
      </c>
      <c r="E293" s="2" t="s">
        <v>1159</v>
      </c>
      <c r="F293" s="2" t="s">
        <v>452</v>
      </c>
      <c r="G293" s="2" t="str">
        <f>VLOOKUP(F293,'Message Mapping'!A:L,3,FALSE)</f>
        <v>Transit;DESATIVADO;ATIVADO;Error</v>
      </c>
      <c r="H293" s="2" t="str">
        <f>VLOOKUP(F293,'Message Mapping'!A:L,4,FALSE)</f>
        <v>0;1;2;3</v>
      </c>
      <c r="I293" s="2"/>
      <c r="J293" s="3" t="str">
        <f>VLOOKUP(F293,'Message Mapping'!A:L,12,FALSE)</f>
        <v>Severidade 8</v>
      </c>
      <c r="K293" s="3"/>
      <c r="L293" s="3"/>
      <c r="M293" s="3"/>
      <c r="N293" s="3"/>
      <c r="O293" s="3"/>
      <c r="P293" s="3"/>
    </row>
    <row r="294" spans="1:16" ht="51" x14ac:dyDescent="0.25">
      <c r="A294" s="94" t="s">
        <v>4246</v>
      </c>
      <c r="B294" s="2" t="s">
        <v>467</v>
      </c>
      <c r="C294" s="2" t="s">
        <v>39</v>
      </c>
      <c r="D294" s="2" t="s">
        <v>12</v>
      </c>
      <c r="E294" s="2" t="s">
        <v>1159</v>
      </c>
      <c r="F294" s="2" t="s">
        <v>40</v>
      </c>
      <c r="G294" s="2" t="str">
        <f>VLOOKUP(F294,'Message Mapping'!A:L,3,FALSE)</f>
        <v>Transit;NORMAL;ATUADO;Error</v>
      </c>
      <c r="H294" s="2" t="str">
        <f>VLOOKUP(F294,'Message Mapping'!A:L,4,FALSE)</f>
        <v>0;1;2;3</v>
      </c>
      <c r="I294" s="2"/>
      <c r="J294" s="3" t="str">
        <f>VLOOKUP(F294,'Message Mapping'!A:L,12,FALSE)</f>
        <v>Severidade 4</v>
      </c>
      <c r="K294" s="3" t="s">
        <v>1270</v>
      </c>
      <c r="L294" s="3"/>
      <c r="M294" s="3"/>
      <c r="N294" s="3"/>
      <c r="O294" s="3"/>
      <c r="P294" s="3"/>
    </row>
    <row r="295" spans="1:16" x14ac:dyDescent="0.25">
      <c r="A295" s="94" t="s">
        <v>468</v>
      </c>
      <c r="B295" s="2" t="s">
        <v>469</v>
      </c>
      <c r="C295" s="2" t="s">
        <v>11</v>
      </c>
      <c r="D295" s="2" t="s">
        <v>12</v>
      </c>
      <c r="E295" s="2" t="s">
        <v>1159</v>
      </c>
      <c r="F295" s="2" t="s">
        <v>13</v>
      </c>
      <c r="G295" s="2" t="str">
        <f>VLOOKUP(F295,'Message Mapping'!A:L,3,FALSE)</f>
        <v>Transit;NORMAL;ATUADO;Error</v>
      </c>
      <c r="H295" s="2" t="str">
        <f>VLOOKUP(F295,'Message Mapping'!A:L,4,FALSE)</f>
        <v>0;1;2;3</v>
      </c>
      <c r="I295" s="2"/>
      <c r="J295" s="3" t="str">
        <f>VLOOKUP(F295,'Message Mapping'!A:L,12,FALSE)</f>
        <v>Severidade 4</v>
      </c>
      <c r="K295" s="3"/>
      <c r="L295" s="3"/>
      <c r="M295" s="3"/>
      <c r="N295" s="3"/>
      <c r="O295" s="3"/>
      <c r="P295" s="3"/>
    </row>
    <row r="296" spans="1:16" x14ac:dyDescent="0.25">
      <c r="A296" s="94" t="s">
        <v>470</v>
      </c>
      <c r="B296" s="2" t="s">
        <v>1259</v>
      </c>
      <c r="C296" s="2" t="s">
        <v>11</v>
      </c>
      <c r="D296" s="2" t="s">
        <v>123</v>
      </c>
      <c r="E296" s="2" t="s">
        <v>1159</v>
      </c>
      <c r="F296" s="2" t="s">
        <v>471</v>
      </c>
      <c r="G296" s="2" t="str">
        <f>VLOOKUP(F296,'Message Mapping'!A:L,3,FALSE)</f>
        <v>Transit;DESABILITADO;HABILITADO;Error</v>
      </c>
      <c r="H296" s="2" t="str">
        <f>VLOOKUP(F296,'Message Mapping'!A:L,4,FALSE)</f>
        <v>0;1;2;3</v>
      </c>
      <c r="I296" s="2"/>
      <c r="J296" s="3" t="str">
        <f>VLOOKUP(F296,'Message Mapping'!A:L,12,FALSE)</f>
        <v>Severidade 5</v>
      </c>
      <c r="K296" s="3"/>
      <c r="L296" s="3"/>
      <c r="M296" s="3"/>
      <c r="N296" s="3"/>
      <c r="O296" s="3"/>
      <c r="P296" s="3"/>
    </row>
    <row r="297" spans="1:16" x14ac:dyDescent="0.25">
      <c r="A297" s="94" t="s">
        <v>472</v>
      </c>
      <c r="B297" s="2" t="s">
        <v>1260</v>
      </c>
      <c r="C297" s="2" t="s">
        <v>11</v>
      </c>
      <c r="D297" s="2" t="s">
        <v>123</v>
      </c>
      <c r="E297" s="2" t="s">
        <v>1159</v>
      </c>
      <c r="F297" s="2" t="s">
        <v>471</v>
      </c>
      <c r="G297" s="2" t="str">
        <f>VLOOKUP(F297,'Message Mapping'!A:L,3,FALSE)</f>
        <v>Transit;DESABILITADO;HABILITADO;Error</v>
      </c>
      <c r="H297" s="2" t="str">
        <f>VLOOKUP(F297,'Message Mapping'!A:L,4,FALSE)</f>
        <v>0;1;2;3</v>
      </c>
      <c r="I297" s="2"/>
      <c r="J297" s="3" t="str">
        <f>VLOOKUP(F297,'Message Mapping'!A:L,12,FALSE)</f>
        <v>Severidade 5</v>
      </c>
      <c r="K297" s="3"/>
      <c r="L297" s="3"/>
      <c r="M297" s="3"/>
      <c r="N297" s="3"/>
      <c r="O297" s="3"/>
      <c r="P297" s="3"/>
    </row>
    <row r="298" spans="1:16" x14ac:dyDescent="0.25">
      <c r="A298" s="94" t="s">
        <v>473</v>
      </c>
      <c r="B298" s="2" t="s">
        <v>1261</v>
      </c>
      <c r="C298" s="2" t="s">
        <v>11</v>
      </c>
      <c r="D298" s="2" t="s">
        <v>123</v>
      </c>
      <c r="E298" s="2" t="s">
        <v>1159</v>
      </c>
      <c r="F298" s="2" t="s">
        <v>471</v>
      </c>
      <c r="G298" s="2" t="str">
        <f>VLOOKUP(F298,'Message Mapping'!A:L,3,FALSE)</f>
        <v>Transit;DESABILITADO;HABILITADO;Error</v>
      </c>
      <c r="H298" s="2" t="str">
        <f>VLOOKUP(F298,'Message Mapping'!A:L,4,FALSE)</f>
        <v>0;1;2;3</v>
      </c>
      <c r="I298" s="2"/>
      <c r="J298" s="3" t="str">
        <f>VLOOKUP(F298,'Message Mapping'!A:L,12,FALSE)</f>
        <v>Severidade 5</v>
      </c>
      <c r="K298" s="3"/>
      <c r="L298" s="3"/>
      <c r="M298" s="3"/>
      <c r="N298" s="3"/>
      <c r="O298" s="3"/>
      <c r="P298" s="3"/>
    </row>
    <row r="299" spans="1:16" x14ac:dyDescent="0.25">
      <c r="A299" s="94" t="s">
        <v>474</v>
      </c>
      <c r="B299" s="2" t="s">
        <v>1262</v>
      </c>
      <c r="C299" s="2" t="s">
        <v>11</v>
      </c>
      <c r="D299" s="2" t="s">
        <v>123</v>
      </c>
      <c r="E299" s="2" t="s">
        <v>1159</v>
      </c>
      <c r="F299" s="2" t="s">
        <v>471</v>
      </c>
      <c r="G299" s="2" t="str">
        <f>VLOOKUP(F299,'Message Mapping'!A:L,3,FALSE)</f>
        <v>Transit;DESABILITADO;HABILITADO;Error</v>
      </c>
      <c r="H299" s="2" t="str">
        <f>VLOOKUP(F299,'Message Mapping'!A:L,4,FALSE)</f>
        <v>0;1;2;3</v>
      </c>
      <c r="I299" s="2"/>
      <c r="J299" s="3" t="str">
        <f>VLOOKUP(F299,'Message Mapping'!A:L,12,FALSE)</f>
        <v>Severidade 5</v>
      </c>
      <c r="K299" s="3"/>
      <c r="L299" s="3"/>
      <c r="M299" s="3"/>
      <c r="N299" s="3"/>
      <c r="O299" s="3"/>
      <c r="P299" s="3"/>
    </row>
    <row r="300" spans="1:16" x14ac:dyDescent="0.25">
      <c r="A300" s="94" t="s">
        <v>475</v>
      </c>
      <c r="B300" s="2" t="s">
        <v>1263</v>
      </c>
      <c r="C300" s="2" t="s">
        <v>11</v>
      </c>
      <c r="D300" s="2" t="s">
        <v>123</v>
      </c>
      <c r="E300" s="2" t="s">
        <v>1159</v>
      </c>
      <c r="F300" s="2" t="s">
        <v>471</v>
      </c>
      <c r="G300" s="2" t="str">
        <f>VLOOKUP(F300,'Message Mapping'!A:L,3,FALSE)</f>
        <v>Transit;DESABILITADO;HABILITADO;Error</v>
      </c>
      <c r="H300" s="2" t="str">
        <f>VLOOKUP(F300,'Message Mapping'!A:L,4,FALSE)</f>
        <v>0;1;2;3</v>
      </c>
      <c r="I300" s="2"/>
      <c r="J300" s="3" t="str">
        <f>VLOOKUP(F300,'Message Mapping'!A:L,12,FALSE)</f>
        <v>Severidade 5</v>
      </c>
      <c r="K300" s="3"/>
      <c r="L300" s="3"/>
      <c r="M300" s="3"/>
      <c r="N300" s="3"/>
      <c r="O300" s="3"/>
      <c r="P300" s="3"/>
    </row>
    <row r="301" spans="1:16" x14ac:dyDescent="0.25">
      <c r="A301" s="94" t="s">
        <v>476</v>
      </c>
      <c r="B301" s="2" t="s">
        <v>477</v>
      </c>
      <c r="C301" s="2" t="s">
        <v>11</v>
      </c>
      <c r="D301" s="2" t="s">
        <v>123</v>
      </c>
      <c r="E301" s="2" t="s">
        <v>1159</v>
      </c>
      <c r="F301" s="2" t="s">
        <v>471</v>
      </c>
      <c r="G301" s="2" t="str">
        <f>VLOOKUP(F301,'Message Mapping'!A:L,3,FALSE)</f>
        <v>Transit;DESABILITADO;HABILITADO;Error</v>
      </c>
      <c r="H301" s="2" t="str">
        <f>VLOOKUP(F301,'Message Mapping'!A:L,4,FALSE)</f>
        <v>0;1;2;3</v>
      </c>
      <c r="I301" s="2"/>
      <c r="J301" s="3" t="str">
        <f>VLOOKUP(F301,'Message Mapping'!A:L,12,FALSE)</f>
        <v>Severidade 5</v>
      </c>
      <c r="K301" s="3"/>
      <c r="L301" s="3"/>
      <c r="M301" s="3"/>
      <c r="N301" s="3"/>
      <c r="O301" s="3"/>
      <c r="P301" s="3"/>
    </row>
    <row r="302" spans="1:16" x14ac:dyDescent="0.25">
      <c r="A302" s="94" t="s">
        <v>480</v>
      </c>
      <c r="B302" s="2" t="s">
        <v>481</v>
      </c>
      <c r="C302" s="2" t="s">
        <v>11</v>
      </c>
      <c r="D302" s="2" t="s">
        <v>123</v>
      </c>
      <c r="E302" s="2" t="s">
        <v>1159</v>
      </c>
      <c r="F302" s="2" t="s">
        <v>471</v>
      </c>
      <c r="G302" s="2" t="str">
        <f>VLOOKUP(F302,'Message Mapping'!A:L,3,FALSE)</f>
        <v>Transit;DESABILITADO;HABILITADO;Error</v>
      </c>
      <c r="H302" s="2" t="str">
        <f>VLOOKUP(F302,'Message Mapping'!A:L,4,FALSE)</f>
        <v>0;1;2;3</v>
      </c>
      <c r="I302" s="2"/>
      <c r="J302" s="3" t="str">
        <f>VLOOKUP(F302,'Message Mapping'!A:L,12,FALSE)</f>
        <v>Severidade 5</v>
      </c>
      <c r="K302" s="3"/>
      <c r="L302" s="3"/>
      <c r="M302" s="3"/>
      <c r="N302" s="3"/>
      <c r="O302" s="3"/>
      <c r="P302" s="3"/>
    </row>
    <row r="303" spans="1:16" x14ac:dyDescent="0.25">
      <c r="A303" s="94" t="s">
        <v>482</v>
      </c>
      <c r="B303" s="2" t="s">
        <v>483</v>
      </c>
      <c r="C303" s="2" t="s">
        <v>11</v>
      </c>
      <c r="D303" s="2" t="s">
        <v>123</v>
      </c>
      <c r="E303" s="2" t="s">
        <v>1159</v>
      </c>
      <c r="F303" s="2" t="s">
        <v>471</v>
      </c>
      <c r="G303" s="2" t="str">
        <f>VLOOKUP(F303,'Message Mapping'!A:L,3,FALSE)</f>
        <v>Transit;DESABILITADO;HABILITADO;Error</v>
      </c>
      <c r="H303" s="2" t="str">
        <f>VLOOKUP(F303,'Message Mapping'!A:L,4,FALSE)</f>
        <v>0;1;2;3</v>
      </c>
      <c r="I303" s="2"/>
      <c r="J303" s="3" t="str">
        <f>VLOOKUP(F303,'Message Mapping'!A:L,12,FALSE)</f>
        <v>Severidade 5</v>
      </c>
      <c r="K303" s="3"/>
      <c r="L303" s="3"/>
      <c r="M303" s="3"/>
      <c r="N303" s="3"/>
      <c r="O303" s="3"/>
      <c r="P303" s="3"/>
    </row>
    <row r="304" spans="1:16" x14ac:dyDescent="0.25">
      <c r="A304" s="94" t="s">
        <v>484</v>
      </c>
      <c r="B304" s="2" t="s">
        <v>485</v>
      </c>
      <c r="C304" s="2" t="s">
        <v>11</v>
      </c>
      <c r="D304" s="2" t="s">
        <v>123</v>
      </c>
      <c r="E304" s="2" t="s">
        <v>1159</v>
      </c>
      <c r="F304" s="2" t="s">
        <v>471</v>
      </c>
      <c r="G304" s="2" t="str">
        <f>VLOOKUP(F304,'Message Mapping'!A:L,3,FALSE)</f>
        <v>Transit;DESABILITADO;HABILITADO;Error</v>
      </c>
      <c r="H304" s="2" t="str">
        <f>VLOOKUP(F304,'Message Mapping'!A:L,4,FALSE)</f>
        <v>0;1;2;3</v>
      </c>
      <c r="I304" s="2"/>
      <c r="J304" s="3" t="str">
        <f>VLOOKUP(F304,'Message Mapping'!A:L,12,FALSE)</f>
        <v>Severidade 5</v>
      </c>
      <c r="K304" s="3"/>
      <c r="L304" s="3"/>
      <c r="M304" s="3"/>
      <c r="N304" s="3"/>
      <c r="O304" s="3"/>
      <c r="P304" s="3"/>
    </row>
    <row r="305" spans="1:16" x14ac:dyDescent="0.25">
      <c r="A305" s="94" t="s">
        <v>486</v>
      </c>
      <c r="B305" s="2" t="s">
        <v>487</v>
      </c>
      <c r="C305" s="2" t="s">
        <v>11</v>
      </c>
      <c r="D305" s="2" t="s">
        <v>123</v>
      </c>
      <c r="E305" s="2" t="s">
        <v>1159</v>
      </c>
      <c r="F305" s="2" t="s">
        <v>471</v>
      </c>
      <c r="G305" s="2" t="str">
        <f>VLOOKUP(F305,'Message Mapping'!A:L,3,FALSE)</f>
        <v>Transit;DESABILITADO;HABILITADO;Error</v>
      </c>
      <c r="H305" s="2" t="str">
        <f>VLOOKUP(F305,'Message Mapping'!A:L,4,FALSE)</f>
        <v>0;1;2;3</v>
      </c>
      <c r="I305" s="2"/>
      <c r="J305" s="3" t="str">
        <f>VLOOKUP(F305,'Message Mapping'!A:L,12,FALSE)</f>
        <v>Severidade 5</v>
      </c>
      <c r="K305" s="3"/>
      <c r="L305" s="3"/>
      <c r="M305" s="3"/>
      <c r="N305" s="3"/>
      <c r="O305" s="3"/>
      <c r="P305" s="3"/>
    </row>
    <row r="306" spans="1:16" x14ac:dyDescent="0.25">
      <c r="A306" s="94" t="s">
        <v>488</v>
      </c>
      <c r="B306" s="2" t="s">
        <v>489</v>
      </c>
      <c r="C306" s="2" t="s">
        <v>11</v>
      </c>
      <c r="D306" s="2" t="s">
        <v>123</v>
      </c>
      <c r="E306" s="2" t="s">
        <v>1159</v>
      </c>
      <c r="F306" s="2" t="s">
        <v>471</v>
      </c>
      <c r="G306" s="2" t="str">
        <f>VLOOKUP(F306,'Message Mapping'!A:L,3,FALSE)</f>
        <v>Transit;DESABILITADO;HABILITADO;Error</v>
      </c>
      <c r="H306" s="2" t="str">
        <f>VLOOKUP(F306,'Message Mapping'!A:L,4,FALSE)</f>
        <v>0;1;2;3</v>
      </c>
      <c r="I306" s="2"/>
      <c r="J306" s="3" t="str">
        <f>VLOOKUP(F306,'Message Mapping'!A:L,12,FALSE)</f>
        <v>Severidade 5</v>
      </c>
      <c r="K306" s="3"/>
      <c r="L306" s="3"/>
      <c r="M306" s="3"/>
      <c r="N306" s="3"/>
      <c r="O306" s="3"/>
      <c r="P306" s="3"/>
    </row>
    <row r="307" spans="1:16" x14ac:dyDescent="0.25">
      <c r="A307" s="94" t="s">
        <v>490</v>
      </c>
      <c r="B307" s="2" t="s">
        <v>491</v>
      </c>
      <c r="C307" s="2" t="s">
        <v>11</v>
      </c>
      <c r="D307" s="2" t="s">
        <v>123</v>
      </c>
      <c r="E307" s="2" t="s">
        <v>1159</v>
      </c>
      <c r="F307" s="2" t="s">
        <v>471</v>
      </c>
      <c r="G307" s="2" t="str">
        <f>VLOOKUP(F307,'Message Mapping'!A:L,3,FALSE)</f>
        <v>Transit;DESABILITADO;HABILITADO;Error</v>
      </c>
      <c r="H307" s="2" t="str">
        <f>VLOOKUP(F307,'Message Mapping'!A:L,4,FALSE)</f>
        <v>0;1;2;3</v>
      </c>
      <c r="I307" s="2"/>
      <c r="J307" s="3" t="str">
        <f>VLOOKUP(F307,'Message Mapping'!A:L,12,FALSE)</f>
        <v>Severidade 5</v>
      </c>
      <c r="K307" s="3"/>
      <c r="L307" s="3"/>
      <c r="M307" s="3"/>
      <c r="N307" s="3"/>
      <c r="O307" s="3"/>
      <c r="P307" s="3"/>
    </row>
    <row r="308" spans="1:16" x14ac:dyDescent="0.25">
      <c r="A308" s="94" t="s">
        <v>492</v>
      </c>
      <c r="B308" s="2" t="s">
        <v>493</v>
      </c>
      <c r="C308" s="2" t="s">
        <v>11</v>
      </c>
      <c r="D308" s="2" t="s">
        <v>123</v>
      </c>
      <c r="E308" s="2" t="s">
        <v>1159</v>
      </c>
      <c r="F308" s="2" t="s">
        <v>471</v>
      </c>
      <c r="G308" s="2" t="str">
        <f>VLOOKUP(F308,'Message Mapping'!A:L,3,FALSE)</f>
        <v>Transit;DESABILITADO;HABILITADO;Error</v>
      </c>
      <c r="H308" s="2" t="str">
        <f>VLOOKUP(F308,'Message Mapping'!A:L,4,FALSE)</f>
        <v>0;1;2;3</v>
      </c>
      <c r="I308" s="2"/>
      <c r="J308" s="3" t="str">
        <f>VLOOKUP(F308,'Message Mapping'!A:L,12,FALSE)</f>
        <v>Severidade 5</v>
      </c>
      <c r="K308" s="3"/>
      <c r="L308" s="3"/>
      <c r="M308" s="3"/>
      <c r="N308" s="3"/>
      <c r="O308" s="3"/>
      <c r="P308" s="3"/>
    </row>
    <row r="309" spans="1:16" x14ac:dyDescent="0.25">
      <c r="A309" s="94" t="s">
        <v>494</v>
      </c>
      <c r="B309" s="2" t="s">
        <v>495</v>
      </c>
      <c r="C309" s="2" t="s">
        <v>11</v>
      </c>
      <c r="D309" s="2" t="s">
        <v>123</v>
      </c>
      <c r="E309" s="2" t="s">
        <v>1159</v>
      </c>
      <c r="F309" s="2" t="s">
        <v>471</v>
      </c>
      <c r="G309" s="2" t="str">
        <f>VLOOKUP(F309,'Message Mapping'!A:L,3,FALSE)</f>
        <v>Transit;DESABILITADO;HABILITADO;Error</v>
      </c>
      <c r="H309" s="2" t="str">
        <f>VLOOKUP(F309,'Message Mapping'!A:L,4,FALSE)</f>
        <v>0;1;2;3</v>
      </c>
      <c r="I309" s="2"/>
      <c r="J309" s="3" t="str">
        <f>VLOOKUP(F309,'Message Mapping'!A:L,12,FALSE)</f>
        <v>Severidade 5</v>
      </c>
      <c r="K309" s="3"/>
      <c r="L309" s="3"/>
      <c r="M309" s="3"/>
      <c r="N309" s="3"/>
      <c r="O309" s="3"/>
      <c r="P309" s="3"/>
    </row>
    <row r="310" spans="1:16" x14ac:dyDescent="0.25">
      <c r="A310" s="94" t="s">
        <v>496</v>
      </c>
      <c r="B310" s="2" t="s">
        <v>497</v>
      </c>
      <c r="C310" s="2" t="s">
        <v>11</v>
      </c>
      <c r="D310" s="2" t="s">
        <v>123</v>
      </c>
      <c r="E310" s="2" t="s">
        <v>1159</v>
      </c>
      <c r="F310" s="2" t="s">
        <v>471</v>
      </c>
      <c r="G310" s="2" t="str">
        <f>VLOOKUP(F310,'Message Mapping'!A:L,3,FALSE)</f>
        <v>Transit;DESABILITADO;HABILITADO;Error</v>
      </c>
      <c r="H310" s="2" t="str">
        <f>VLOOKUP(F310,'Message Mapping'!A:L,4,FALSE)</f>
        <v>0;1;2;3</v>
      </c>
      <c r="I310" s="2"/>
      <c r="J310" s="3" t="str">
        <f>VLOOKUP(F310,'Message Mapping'!A:L,12,FALSE)</f>
        <v>Severidade 5</v>
      </c>
      <c r="K310" s="3"/>
      <c r="L310" s="3"/>
      <c r="M310" s="3"/>
      <c r="N310" s="3"/>
      <c r="O310" s="3"/>
      <c r="P310" s="3"/>
    </row>
    <row r="311" spans="1:16" x14ac:dyDescent="0.25">
      <c r="A311" s="94" t="s">
        <v>121</v>
      </c>
      <c r="B311" s="2" t="s">
        <v>122</v>
      </c>
      <c r="C311" s="2" t="s">
        <v>11</v>
      </c>
      <c r="D311" s="2" t="s">
        <v>123</v>
      </c>
      <c r="E311" s="2" t="s">
        <v>1160</v>
      </c>
      <c r="F311" s="2" t="s">
        <v>124</v>
      </c>
      <c r="G311" s="2" t="str">
        <f>VLOOKUP(F311,'Message Mapping'!A:L,3,FALSE)</f>
        <v>Transit;DESATIVADO;ATIVADO;Error</v>
      </c>
      <c r="H311" s="2" t="str">
        <f>VLOOKUP(F311,'Message Mapping'!A:L,4,FALSE)</f>
        <v>0;1;2;3</v>
      </c>
      <c r="I311" s="2"/>
      <c r="J311" s="3" t="str">
        <f>VLOOKUP(F311,'Message Mapping'!A:L,12,FALSE)</f>
        <v>Severidade 5</v>
      </c>
      <c r="K311" s="3"/>
      <c r="L311" s="3"/>
      <c r="M311" s="3"/>
      <c r="N311" s="3"/>
      <c r="O311" s="3"/>
      <c r="P311" s="3"/>
    </row>
    <row r="312" spans="1:16" x14ac:dyDescent="0.25">
      <c r="A312" s="94" t="s">
        <v>500</v>
      </c>
      <c r="B312" s="2" t="s">
        <v>501</v>
      </c>
      <c r="C312" s="2" t="s">
        <v>11</v>
      </c>
      <c r="D312" s="2" t="s">
        <v>123</v>
      </c>
      <c r="E312" s="2" t="s">
        <v>1159</v>
      </c>
      <c r="F312" s="2" t="s">
        <v>471</v>
      </c>
      <c r="G312" s="2" t="str">
        <f>VLOOKUP(F312,'Message Mapping'!A:L,3,FALSE)</f>
        <v>Transit;DESABILITADO;HABILITADO;Error</v>
      </c>
      <c r="H312" s="2" t="str">
        <f>VLOOKUP(F312,'Message Mapping'!A:L,4,FALSE)</f>
        <v>0;1;2;3</v>
      </c>
      <c r="I312" s="2"/>
      <c r="J312" s="3" t="str">
        <f>VLOOKUP(F312,'Message Mapping'!A:L,12,FALSE)</f>
        <v>Severidade 5</v>
      </c>
      <c r="K312" s="3"/>
      <c r="L312" s="3"/>
      <c r="M312" s="3"/>
      <c r="N312" s="3"/>
      <c r="O312" s="3"/>
      <c r="P312" s="3"/>
    </row>
    <row r="313" spans="1:16" x14ac:dyDescent="0.25">
      <c r="A313" s="94" t="s">
        <v>502</v>
      </c>
      <c r="B313" s="2" t="s">
        <v>503</v>
      </c>
      <c r="C313" s="2" t="s">
        <v>11</v>
      </c>
      <c r="D313" s="2" t="s">
        <v>123</v>
      </c>
      <c r="E313" s="2" t="s">
        <v>1159</v>
      </c>
      <c r="F313" s="2" t="s">
        <v>471</v>
      </c>
      <c r="G313" s="2" t="str">
        <f>VLOOKUP(F313,'Message Mapping'!A:L,3,FALSE)</f>
        <v>Transit;DESABILITADO;HABILITADO;Error</v>
      </c>
      <c r="H313" s="2" t="str">
        <f>VLOOKUP(F313,'Message Mapping'!A:L,4,FALSE)</f>
        <v>0;1;2;3</v>
      </c>
      <c r="I313" s="2"/>
      <c r="J313" s="3" t="str">
        <f>VLOOKUP(F313,'Message Mapping'!A:L,12,FALSE)</f>
        <v>Severidade 5</v>
      </c>
      <c r="K313" s="3"/>
      <c r="L313" s="3"/>
      <c r="M313" s="3"/>
      <c r="N313" s="3"/>
      <c r="O313" s="3"/>
      <c r="P313" s="3"/>
    </row>
    <row r="314" spans="1:16" x14ac:dyDescent="0.25">
      <c r="A314" s="94" t="s">
        <v>504</v>
      </c>
      <c r="B314" s="2" t="s">
        <v>505</v>
      </c>
      <c r="C314" s="2" t="s">
        <v>11</v>
      </c>
      <c r="D314" s="2" t="s">
        <v>123</v>
      </c>
      <c r="E314" s="2" t="s">
        <v>1159</v>
      </c>
      <c r="F314" s="2" t="s">
        <v>471</v>
      </c>
      <c r="G314" s="2" t="str">
        <f>VLOOKUP(F314,'Message Mapping'!A:L,3,FALSE)</f>
        <v>Transit;DESABILITADO;HABILITADO;Error</v>
      </c>
      <c r="H314" s="2" t="str">
        <f>VLOOKUP(F314,'Message Mapping'!A:L,4,FALSE)</f>
        <v>0;1;2;3</v>
      </c>
      <c r="I314" s="2"/>
      <c r="J314" s="3" t="str">
        <f>VLOOKUP(F314,'Message Mapping'!A:L,12,FALSE)</f>
        <v>Severidade 5</v>
      </c>
      <c r="K314" s="3"/>
      <c r="L314" s="3"/>
      <c r="M314" s="3"/>
      <c r="N314" s="3"/>
      <c r="O314" s="3"/>
      <c r="P314" s="3"/>
    </row>
    <row r="315" spans="1:16" x14ac:dyDescent="0.25">
      <c r="A315" s="94" t="s">
        <v>506</v>
      </c>
      <c r="B315" s="2" t="s">
        <v>507</v>
      </c>
      <c r="C315" s="2" t="s">
        <v>11</v>
      </c>
      <c r="D315" s="2" t="s">
        <v>123</v>
      </c>
      <c r="E315" s="2" t="s">
        <v>1159</v>
      </c>
      <c r="F315" s="2" t="s">
        <v>471</v>
      </c>
      <c r="G315" s="2" t="str">
        <f>VLOOKUP(F315,'Message Mapping'!A:L,3,FALSE)</f>
        <v>Transit;DESABILITADO;HABILITADO;Error</v>
      </c>
      <c r="H315" s="2" t="str">
        <f>VLOOKUP(F315,'Message Mapping'!A:L,4,FALSE)</f>
        <v>0;1;2;3</v>
      </c>
      <c r="I315" s="2"/>
      <c r="J315" s="3" t="str">
        <f>VLOOKUP(F315,'Message Mapping'!A:L,12,FALSE)</f>
        <v>Severidade 5</v>
      </c>
      <c r="K315" s="3"/>
      <c r="L315" s="3"/>
      <c r="M315" s="3"/>
      <c r="N315" s="3"/>
      <c r="O315" s="3"/>
      <c r="P315" s="3"/>
    </row>
    <row r="316" spans="1:16" x14ac:dyDescent="0.25">
      <c r="A316" s="94" t="s">
        <v>508</v>
      </c>
      <c r="B316" s="2" t="s">
        <v>509</v>
      </c>
      <c r="C316" s="2" t="s">
        <v>11</v>
      </c>
      <c r="D316" s="2" t="s">
        <v>123</v>
      </c>
      <c r="E316" s="2" t="s">
        <v>1159</v>
      </c>
      <c r="F316" s="2" t="s">
        <v>471</v>
      </c>
      <c r="G316" s="2" t="str">
        <f>VLOOKUP(F316,'Message Mapping'!A:L,3,FALSE)</f>
        <v>Transit;DESABILITADO;HABILITADO;Error</v>
      </c>
      <c r="H316" s="2" t="str">
        <f>VLOOKUP(F316,'Message Mapping'!A:L,4,FALSE)</f>
        <v>0;1;2;3</v>
      </c>
      <c r="I316" s="2"/>
      <c r="J316" s="3" t="str">
        <f>VLOOKUP(F316,'Message Mapping'!A:L,12,FALSE)</f>
        <v>Severidade 5</v>
      </c>
      <c r="K316" s="3"/>
      <c r="L316" s="3"/>
      <c r="M316" s="3"/>
      <c r="N316" s="3"/>
      <c r="O316" s="3"/>
      <c r="P316" s="3"/>
    </row>
    <row r="317" spans="1:16" x14ac:dyDescent="0.25">
      <c r="A317" s="94" t="s">
        <v>510</v>
      </c>
      <c r="B317" s="2" t="s">
        <v>511</v>
      </c>
      <c r="C317" s="2" t="s">
        <v>11</v>
      </c>
      <c r="D317" s="2" t="s">
        <v>123</v>
      </c>
      <c r="E317" s="2" t="s">
        <v>1159</v>
      </c>
      <c r="F317" s="2" t="s">
        <v>471</v>
      </c>
      <c r="G317" s="2" t="str">
        <f>VLOOKUP(F317,'Message Mapping'!A:L,3,FALSE)</f>
        <v>Transit;DESABILITADO;HABILITADO;Error</v>
      </c>
      <c r="H317" s="2" t="str">
        <f>VLOOKUP(F317,'Message Mapping'!A:L,4,FALSE)</f>
        <v>0;1;2;3</v>
      </c>
      <c r="I317" s="2"/>
      <c r="J317" s="3" t="str">
        <f>VLOOKUP(F317,'Message Mapping'!A:L,12,FALSE)</f>
        <v>Severidade 5</v>
      </c>
      <c r="K317" s="3"/>
      <c r="L317" s="3"/>
      <c r="M317" s="3"/>
      <c r="N317" s="3"/>
      <c r="O317" s="3"/>
      <c r="P317" s="3"/>
    </row>
    <row r="318" spans="1:16" x14ac:dyDescent="0.25">
      <c r="A318" s="94" t="s">
        <v>512</v>
      </c>
      <c r="B318" s="2" t="s">
        <v>513</v>
      </c>
      <c r="C318" s="2" t="s">
        <v>11</v>
      </c>
      <c r="D318" s="2" t="s">
        <v>123</v>
      </c>
      <c r="E318" s="2" t="s">
        <v>1159</v>
      </c>
      <c r="F318" s="2" t="s">
        <v>471</v>
      </c>
      <c r="G318" s="2" t="str">
        <f>VLOOKUP(F318,'Message Mapping'!A:L,3,FALSE)</f>
        <v>Transit;DESABILITADO;HABILITADO;Error</v>
      </c>
      <c r="H318" s="2" t="str">
        <f>VLOOKUP(F318,'Message Mapping'!A:L,4,FALSE)</f>
        <v>0;1;2;3</v>
      </c>
      <c r="I318" s="2"/>
      <c r="J318" s="3" t="str">
        <f>VLOOKUP(F318,'Message Mapping'!A:L,12,FALSE)</f>
        <v>Severidade 5</v>
      </c>
      <c r="K318" s="3"/>
      <c r="L318" s="3"/>
      <c r="M318" s="3"/>
      <c r="N318" s="3"/>
      <c r="O318" s="3"/>
      <c r="P318" s="3"/>
    </row>
    <row r="319" spans="1:16" x14ac:dyDescent="0.25">
      <c r="A319" s="94" t="s">
        <v>514</v>
      </c>
      <c r="B319" s="2" t="s">
        <v>515</v>
      </c>
      <c r="C319" s="2" t="s">
        <v>11</v>
      </c>
      <c r="D319" s="2" t="s">
        <v>123</v>
      </c>
      <c r="E319" s="2" t="s">
        <v>1159</v>
      </c>
      <c r="F319" s="2" t="s">
        <v>471</v>
      </c>
      <c r="G319" s="2" t="str">
        <f>VLOOKUP(F319,'Message Mapping'!A:L,3,FALSE)</f>
        <v>Transit;DESABILITADO;HABILITADO;Error</v>
      </c>
      <c r="H319" s="2" t="str">
        <f>VLOOKUP(F319,'Message Mapping'!A:L,4,FALSE)</f>
        <v>0;1;2;3</v>
      </c>
      <c r="I319" s="2"/>
      <c r="J319" s="3" t="str">
        <f>VLOOKUP(F319,'Message Mapping'!A:L,12,FALSE)</f>
        <v>Severidade 5</v>
      </c>
      <c r="K319" s="3"/>
      <c r="L319" s="3"/>
      <c r="M319" s="3"/>
      <c r="N319" s="3"/>
      <c r="O319" s="3"/>
      <c r="P319" s="3"/>
    </row>
    <row r="320" spans="1:16" x14ac:dyDescent="0.25">
      <c r="A320" s="94" t="s">
        <v>516</v>
      </c>
      <c r="B320" s="2" t="s">
        <v>517</v>
      </c>
      <c r="C320" s="2" t="s">
        <v>11</v>
      </c>
      <c r="D320" s="2" t="s">
        <v>123</v>
      </c>
      <c r="E320" s="2" t="s">
        <v>1159</v>
      </c>
      <c r="F320" s="2" t="s">
        <v>471</v>
      </c>
      <c r="G320" s="2" t="str">
        <f>VLOOKUP(F320,'Message Mapping'!A:L,3,FALSE)</f>
        <v>Transit;DESABILITADO;HABILITADO;Error</v>
      </c>
      <c r="H320" s="2" t="str">
        <f>VLOOKUP(F320,'Message Mapping'!A:L,4,FALSE)</f>
        <v>0;1;2;3</v>
      </c>
      <c r="I320" s="2"/>
      <c r="J320" s="3" t="str">
        <f>VLOOKUP(F320,'Message Mapping'!A:L,12,FALSE)</f>
        <v>Severidade 5</v>
      </c>
      <c r="K320" s="3"/>
      <c r="L320" s="3"/>
      <c r="M320" s="3"/>
      <c r="N320" s="3"/>
      <c r="O320" s="3"/>
      <c r="P320" s="3"/>
    </row>
    <row r="321" spans="1:16" x14ac:dyDescent="0.25">
      <c r="A321" s="94" t="s">
        <v>518</v>
      </c>
      <c r="B321" s="2" t="s">
        <v>519</v>
      </c>
      <c r="C321" s="2" t="s">
        <v>11</v>
      </c>
      <c r="D321" s="2" t="s">
        <v>123</v>
      </c>
      <c r="E321" s="2" t="s">
        <v>1159</v>
      </c>
      <c r="F321" s="2" t="s">
        <v>471</v>
      </c>
      <c r="G321" s="2" t="str">
        <f>VLOOKUP(F321,'Message Mapping'!A:L,3,FALSE)</f>
        <v>Transit;DESABILITADO;HABILITADO;Error</v>
      </c>
      <c r="H321" s="2" t="str">
        <f>VLOOKUP(F321,'Message Mapping'!A:L,4,FALSE)</f>
        <v>0;1;2;3</v>
      </c>
      <c r="I321" s="2"/>
      <c r="J321" s="3" t="str">
        <f>VLOOKUP(F321,'Message Mapping'!A:L,12,FALSE)</f>
        <v>Severidade 5</v>
      </c>
      <c r="K321" s="3"/>
      <c r="L321" s="3"/>
      <c r="M321" s="3"/>
      <c r="N321" s="3"/>
      <c r="O321" s="3"/>
      <c r="P321" s="3"/>
    </row>
    <row r="322" spans="1:16" x14ac:dyDescent="0.25">
      <c r="A322" s="94" t="s">
        <v>520</v>
      </c>
      <c r="B322" s="2" t="s">
        <v>521</v>
      </c>
      <c r="C322" s="2" t="s">
        <v>11</v>
      </c>
      <c r="D322" s="2" t="s">
        <v>123</v>
      </c>
      <c r="E322" s="2" t="s">
        <v>1159</v>
      </c>
      <c r="F322" s="2" t="s">
        <v>471</v>
      </c>
      <c r="G322" s="2" t="str">
        <f>VLOOKUP(F322,'Message Mapping'!A:L,3,FALSE)</f>
        <v>Transit;DESABILITADO;HABILITADO;Error</v>
      </c>
      <c r="H322" s="2" t="str">
        <f>VLOOKUP(F322,'Message Mapping'!A:L,4,FALSE)</f>
        <v>0;1;2;3</v>
      </c>
      <c r="I322" s="2"/>
      <c r="J322" s="3" t="str">
        <f>VLOOKUP(F322,'Message Mapping'!A:L,12,FALSE)</f>
        <v>Severidade 5</v>
      </c>
      <c r="K322" s="3"/>
      <c r="L322" s="3"/>
      <c r="M322" s="3"/>
      <c r="N322" s="3"/>
      <c r="O322" s="3"/>
      <c r="P322" s="3"/>
    </row>
    <row r="323" spans="1:16" x14ac:dyDescent="0.25">
      <c r="A323" s="94" t="s">
        <v>522</v>
      </c>
      <c r="B323" s="2" t="s">
        <v>523</v>
      </c>
      <c r="C323" s="2" t="s">
        <v>11</v>
      </c>
      <c r="D323" s="2" t="s">
        <v>123</v>
      </c>
      <c r="E323" s="2" t="s">
        <v>1159</v>
      </c>
      <c r="F323" s="2" t="s">
        <v>471</v>
      </c>
      <c r="G323" s="2" t="str">
        <f>VLOOKUP(F323,'Message Mapping'!A:L,3,FALSE)</f>
        <v>Transit;DESABILITADO;HABILITADO;Error</v>
      </c>
      <c r="H323" s="2" t="str">
        <f>VLOOKUP(F323,'Message Mapping'!A:L,4,FALSE)</f>
        <v>0;1;2;3</v>
      </c>
      <c r="I323" s="2"/>
      <c r="J323" s="3" t="str">
        <f>VLOOKUP(F323,'Message Mapping'!A:L,12,FALSE)</f>
        <v>Severidade 5</v>
      </c>
      <c r="K323" s="3"/>
      <c r="L323" s="3"/>
      <c r="M323" s="3"/>
      <c r="N323" s="3"/>
      <c r="O323" s="3"/>
      <c r="P323" s="3"/>
    </row>
    <row r="324" spans="1:16" x14ac:dyDescent="0.25">
      <c r="A324" s="94" t="s">
        <v>524</v>
      </c>
      <c r="B324" s="2" t="s">
        <v>525</v>
      </c>
      <c r="C324" s="2" t="s">
        <v>11</v>
      </c>
      <c r="D324" s="2" t="s">
        <v>123</v>
      </c>
      <c r="E324" s="2" t="s">
        <v>1159</v>
      </c>
      <c r="F324" s="2" t="s">
        <v>471</v>
      </c>
      <c r="G324" s="2" t="str">
        <f>VLOOKUP(F324,'Message Mapping'!A:L,3,FALSE)</f>
        <v>Transit;DESABILITADO;HABILITADO;Error</v>
      </c>
      <c r="H324" s="2" t="str">
        <f>VLOOKUP(F324,'Message Mapping'!A:L,4,FALSE)</f>
        <v>0;1;2;3</v>
      </c>
      <c r="I324" s="2"/>
      <c r="J324" s="3" t="str">
        <f>VLOOKUP(F324,'Message Mapping'!A:L,12,FALSE)</f>
        <v>Severidade 5</v>
      </c>
      <c r="K324" s="3"/>
      <c r="L324" s="3"/>
      <c r="M324" s="3"/>
      <c r="N324" s="3"/>
      <c r="O324" s="3"/>
      <c r="P324" s="3"/>
    </row>
    <row r="325" spans="1:16" x14ac:dyDescent="0.25">
      <c r="A325" s="94" t="s">
        <v>526</v>
      </c>
      <c r="B325" s="2" t="s">
        <v>527</v>
      </c>
      <c r="C325" s="2" t="s">
        <v>11</v>
      </c>
      <c r="D325" s="2" t="s">
        <v>123</v>
      </c>
      <c r="E325" s="2" t="s">
        <v>1159</v>
      </c>
      <c r="F325" s="2" t="s">
        <v>1169</v>
      </c>
      <c r="G325" s="2" t="str">
        <f>VLOOKUP(F325,'Message Mapping'!A:L,3,FALSE)</f>
        <v>Transit;DESATIVADO;ATIVADO;Error</v>
      </c>
      <c r="H325" s="2" t="str">
        <f>VLOOKUP(F325,'Message Mapping'!A:L,4,FALSE)</f>
        <v>0;1;2;3</v>
      </c>
      <c r="I325" s="2"/>
      <c r="J325" s="3" t="str">
        <f>VLOOKUP(F325,'Message Mapping'!A:L,12,FALSE)</f>
        <v>Severidade 5</v>
      </c>
      <c r="K325" s="3"/>
      <c r="L325" s="3"/>
      <c r="M325" s="3"/>
      <c r="N325" s="3"/>
      <c r="O325" s="3"/>
      <c r="P325" s="3"/>
    </row>
    <row r="326" spans="1:16" x14ac:dyDescent="0.25">
      <c r="A326" s="94" t="s">
        <v>526</v>
      </c>
      <c r="B326" s="2" t="s">
        <v>527</v>
      </c>
      <c r="C326" s="2" t="s">
        <v>11</v>
      </c>
      <c r="D326" s="2" t="s">
        <v>123</v>
      </c>
      <c r="E326" s="2" t="s">
        <v>1160</v>
      </c>
      <c r="F326" s="2" t="s">
        <v>1168</v>
      </c>
      <c r="G326" s="2" t="str">
        <f>VLOOKUP(F326,'Message Mapping'!A:L,3,FALSE)</f>
        <v>Transit;DESATIVADO;ATIVADO;Error</v>
      </c>
      <c r="H326" s="2" t="str">
        <f>VLOOKUP(F326,'Message Mapping'!A:L,4,FALSE)</f>
        <v>0;1;2;3</v>
      </c>
      <c r="I326" s="2"/>
      <c r="J326" s="3" t="str">
        <f>VLOOKUP(F326,'Message Mapping'!A:L,12,FALSE)</f>
        <v>Severidade 5</v>
      </c>
      <c r="K326" s="3"/>
      <c r="L326" s="3"/>
      <c r="M326" s="3"/>
      <c r="N326" s="3"/>
      <c r="O326" s="3"/>
      <c r="P326" s="3"/>
    </row>
    <row r="327" spans="1:16" x14ac:dyDescent="0.25">
      <c r="A327" s="94" t="s">
        <v>528</v>
      </c>
      <c r="B327" s="2" t="s">
        <v>529</v>
      </c>
      <c r="C327" s="2" t="s">
        <v>11</v>
      </c>
      <c r="D327" s="2" t="s">
        <v>123</v>
      </c>
      <c r="E327" s="2" t="s">
        <v>1159</v>
      </c>
      <c r="F327" s="2" t="s">
        <v>1169</v>
      </c>
      <c r="G327" s="2" t="str">
        <f>VLOOKUP(F327,'Message Mapping'!A:L,3,FALSE)</f>
        <v>Transit;DESATIVADO;ATIVADO;Error</v>
      </c>
      <c r="H327" s="2" t="str">
        <f>VLOOKUP(F327,'Message Mapping'!A:L,4,FALSE)</f>
        <v>0;1;2;3</v>
      </c>
      <c r="I327" s="2"/>
      <c r="J327" s="3" t="str">
        <f>VLOOKUP(F327,'Message Mapping'!A:L,12,FALSE)</f>
        <v>Severidade 5</v>
      </c>
      <c r="K327" s="3"/>
      <c r="L327" s="3"/>
      <c r="M327" s="3"/>
      <c r="N327" s="3"/>
      <c r="O327" s="3"/>
      <c r="P327" s="3"/>
    </row>
    <row r="328" spans="1:16" x14ac:dyDescent="0.25">
      <c r="A328" s="94" t="s">
        <v>528</v>
      </c>
      <c r="B328" s="2" t="s">
        <v>529</v>
      </c>
      <c r="C328" s="2" t="s">
        <v>11</v>
      </c>
      <c r="D328" s="2" t="s">
        <v>123</v>
      </c>
      <c r="E328" s="2" t="s">
        <v>1160</v>
      </c>
      <c r="F328" s="2" t="s">
        <v>1168</v>
      </c>
      <c r="G328" s="2" t="str">
        <f>VLOOKUP(F328,'Message Mapping'!A:L,3,FALSE)</f>
        <v>Transit;DESATIVADO;ATIVADO;Error</v>
      </c>
      <c r="H328" s="2" t="str">
        <f>VLOOKUP(F328,'Message Mapping'!A:L,4,FALSE)</f>
        <v>0;1;2;3</v>
      </c>
      <c r="I328" s="2"/>
      <c r="J328" s="3" t="str">
        <f>VLOOKUP(F328,'Message Mapping'!A:L,12,FALSE)</f>
        <v>Severidade 5</v>
      </c>
      <c r="K328" s="3"/>
      <c r="L328" s="3"/>
      <c r="M328" s="3"/>
      <c r="N328" s="3"/>
      <c r="O328" s="3"/>
      <c r="P328" s="3"/>
    </row>
    <row r="329" spans="1:16" x14ac:dyDescent="0.25">
      <c r="A329" s="94" t="s">
        <v>530</v>
      </c>
      <c r="B329" s="2" t="s">
        <v>531</v>
      </c>
      <c r="C329" s="2" t="s">
        <v>11</v>
      </c>
      <c r="D329" s="2" t="s">
        <v>123</v>
      </c>
      <c r="E329" s="2" t="s">
        <v>1159</v>
      </c>
      <c r="F329" s="2" t="s">
        <v>1169</v>
      </c>
      <c r="G329" s="2" t="str">
        <f>VLOOKUP(F329,'Message Mapping'!A:L,3,FALSE)</f>
        <v>Transit;DESATIVADO;ATIVADO;Error</v>
      </c>
      <c r="H329" s="2" t="str">
        <f>VLOOKUP(F329,'Message Mapping'!A:L,4,FALSE)</f>
        <v>0;1;2;3</v>
      </c>
      <c r="I329" s="2"/>
      <c r="J329" s="3" t="str">
        <f>VLOOKUP(F329,'Message Mapping'!A:L,12,FALSE)</f>
        <v>Severidade 5</v>
      </c>
      <c r="K329" s="3"/>
      <c r="L329" s="3"/>
      <c r="M329" s="3"/>
      <c r="N329" s="3"/>
      <c r="O329" s="3"/>
      <c r="P329" s="3"/>
    </row>
    <row r="330" spans="1:16" x14ac:dyDescent="0.25">
      <c r="A330" s="94" t="s">
        <v>530</v>
      </c>
      <c r="B330" s="2" t="s">
        <v>531</v>
      </c>
      <c r="C330" s="2" t="s">
        <v>11</v>
      </c>
      <c r="D330" s="2" t="s">
        <v>123</v>
      </c>
      <c r="E330" s="2" t="s">
        <v>1160</v>
      </c>
      <c r="F330" s="2" t="s">
        <v>1168</v>
      </c>
      <c r="G330" s="2" t="str">
        <f>VLOOKUP(F330,'Message Mapping'!A:L,3,FALSE)</f>
        <v>Transit;DESATIVADO;ATIVADO;Error</v>
      </c>
      <c r="H330" s="2" t="str">
        <f>VLOOKUP(F330,'Message Mapping'!A:L,4,FALSE)</f>
        <v>0;1;2;3</v>
      </c>
      <c r="I330" s="2"/>
      <c r="J330" s="3" t="str">
        <f>VLOOKUP(F330,'Message Mapping'!A:L,12,FALSE)</f>
        <v>Severidade 5</v>
      </c>
      <c r="K330" s="3"/>
      <c r="L330" s="3"/>
      <c r="M330" s="3"/>
      <c r="N330" s="3"/>
      <c r="O330" s="3"/>
      <c r="P330" s="3"/>
    </row>
    <row r="331" spans="1:16" x14ac:dyDescent="0.25">
      <c r="A331" s="94" t="s">
        <v>532</v>
      </c>
      <c r="B331" s="2" t="s">
        <v>533</v>
      </c>
      <c r="C331" s="2" t="s">
        <v>11</v>
      </c>
      <c r="D331" s="2" t="s">
        <v>123</v>
      </c>
      <c r="E331" s="2" t="s">
        <v>1159</v>
      </c>
      <c r="F331" s="2" t="s">
        <v>1169</v>
      </c>
      <c r="G331" s="2" t="str">
        <f>VLOOKUP(F331,'Message Mapping'!A:L,3,FALSE)</f>
        <v>Transit;DESATIVADO;ATIVADO;Error</v>
      </c>
      <c r="H331" s="2" t="str">
        <f>VLOOKUP(F331,'Message Mapping'!A:L,4,FALSE)</f>
        <v>0;1;2;3</v>
      </c>
      <c r="I331" s="2"/>
      <c r="J331" s="3" t="str">
        <f>VLOOKUP(F331,'Message Mapping'!A:L,12,FALSE)</f>
        <v>Severidade 5</v>
      </c>
      <c r="K331" s="3"/>
      <c r="L331" s="3"/>
      <c r="M331" s="3"/>
      <c r="N331" s="3"/>
      <c r="O331" s="3"/>
      <c r="P331" s="3"/>
    </row>
    <row r="332" spans="1:16" x14ac:dyDescent="0.25">
      <c r="A332" s="94" t="s">
        <v>532</v>
      </c>
      <c r="B332" s="2" t="s">
        <v>533</v>
      </c>
      <c r="C332" s="2" t="s">
        <v>11</v>
      </c>
      <c r="D332" s="2" t="s">
        <v>123</v>
      </c>
      <c r="E332" s="2" t="s">
        <v>1160</v>
      </c>
      <c r="F332" s="2" t="s">
        <v>1168</v>
      </c>
      <c r="G332" s="2" t="str">
        <f>VLOOKUP(F332,'Message Mapping'!A:L,3,FALSE)</f>
        <v>Transit;DESATIVADO;ATIVADO;Error</v>
      </c>
      <c r="H332" s="2" t="str">
        <f>VLOOKUP(F332,'Message Mapping'!A:L,4,FALSE)</f>
        <v>0;1;2;3</v>
      </c>
      <c r="I332" s="2"/>
      <c r="J332" s="3" t="str">
        <f>VLOOKUP(F332,'Message Mapping'!A:L,12,FALSE)</f>
        <v>Severidade 5</v>
      </c>
      <c r="K332" s="3"/>
      <c r="L332" s="3"/>
      <c r="M332" s="3"/>
      <c r="N332" s="3"/>
      <c r="O332" s="3"/>
      <c r="P332" s="3"/>
    </row>
    <row r="333" spans="1:16" x14ac:dyDescent="0.25">
      <c r="A333" s="94" t="s">
        <v>534</v>
      </c>
      <c r="B333" s="2" t="s">
        <v>535</v>
      </c>
      <c r="C333" s="2" t="s">
        <v>11</v>
      </c>
      <c r="D333" s="2" t="s">
        <v>123</v>
      </c>
      <c r="E333" s="2" t="s">
        <v>1159</v>
      </c>
      <c r="F333" s="2" t="s">
        <v>1169</v>
      </c>
      <c r="G333" s="2" t="str">
        <f>VLOOKUP(F333,'Message Mapping'!A:L,3,FALSE)</f>
        <v>Transit;DESATIVADO;ATIVADO;Error</v>
      </c>
      <c r="H333" s="2" t="str">
        <f>VLOOKUP(F333,'Message Mapping'!A:L,4,FALSE)</f>
        <v>0;1;2;3</v>
      </c>
      <c r="I333" s="2"/>
      <c r="J333" s="3" t="str">
        <f>VLOOKUP(F333,'Message Mapping'!A:L,12,FALSE)</f>
        <v>Severidade 5</v>
      </c>
      <c r="K333" s="3"/>
      <c r="L333" s="3"/>
      <c r="M333" s="3"/>
      <c r="N333" s="3"/>
      <c r="O333" s="3"/>
      <c r="P333" s="3"/>
    </row>
    <row r="334" spans="1:16" x14ac:dyDescent="0.25">
      <c r="A334" s="94" t="s">
        <v>534</v>
      </c>
      <c r="B334" s="2" t="s">
        <v>535</v>
      </c>
      <c r="C334" s="2" t="s">
        <v>11</v>
      </c>
      <c r="D334" s="2" t="s">
        <v>123</v>
      </c>
      <c r="E334" s="2" t="s">
        <v>1160</v>
      </c>
      <c r="F334" s="2" t="s">
        <v>1168</v>
      </c>
      <c r="G334" s="2" t="str">
        <f>VLOOKUP(F334,'Message Mapping'!A:L,3,FALSE)</f>
        <v>Transit;DESATIVADO;ATIVADO;Error</v>
      </c>
      <c r="H334" s="2" t="str">
        <f>VLOOKUP(F334,'Message Mapping'!A:L,4,FALSE)</f>
        <v>0;1;2;3</v>
      </c>
      <c r="I334" s="2"/>
      <c r="J334" s="3" t="str">
        <f>VLOOKUP(F334,'Message Mapping'!A:L,12,FALSE)</f>
        <v>Severidade 5</v>
      </c>
      <c r="K334" s="3"/>
      <c r="L334" s="3"/>
      <c r="M334" s="3"/>
      <c r="N334" s="3"/>
      <c r="O334" s="3"/>
      <c r="P334" s="3"/>
    </row>
    <row r="335" spans="1:16" x14ac:dyDescent="0.25">
      <c r="A335" s="94" t="s">
        <v>536</v>
      </c>
      <c r="B335" s="2" t="s">
        <v>537</v>
      </c>
      <c r="C335" s="2" t="s">
        <v>11</v>
      </c>
      <c r="D335" s="2" t="s">
        <v>123</v>
      </c>
      <c r="E335" s="2" t="s">
        <v>1159</v>
      </c>
      <c r="F335" s="2" t="s">
        <v>1169</v>
      </c>
      <c r="G335" s="2" t="str">
        <f>VLOOKUP(F335,'Message Mapping'!A:L,3,FALSE)</f>
        <v>Transit;DESATIVADO;ATIVADO;Error</v>
      </c>
      <c r="H335" s="2" t="str">
        <f>VLOOKUP(F335,'Message Mapping'!A:L,4,FALSE)</f>
        <v>0;1;2;3</v>
      </c>
      <c r="I335" s="2"/>
      <c r="J335" s="3" t="str">
        <f>VLOOKUP(F335,'Message Mapping'!A:L,12,FALSE)</f>
        <v>Severidade 5</v>
      </c>
      <c r="K335" s="3"/>
      <c r="L335" s="3"/>
      <c r="M335" s="3"/>
      <c r="N335" s="3"/>
      <c r="O335" s="3"/>
      <c r="P335" s="3"/>
    </row>
    <row r="336" spans="1:16" x14ac:dyDescent="0.25">
      <c r="A336" s="94" t="s">
        <v>536</v>
      </c>
      <c r="B336" s="2" t="s">
        <v>537</v>
      </c>
      <c r="C336" s="2" t="s">
        <v>11</v>
      </c>
      <c r="D336" s="2" t="s">
        <v>123</v>
      </c>
      <c r="E336" s="2" t="s">
        <v>1160</v>
      </c>
      <c r="F336" s="2" t="s">
        <v>1168</v>
      </c>
      <c r="G336" s="2" t="str">
        <f>VLOOKUP(F336,'Message Mapping'!A:L,3,FALSE)</f>
        <v>Transit;DESATIVADO;ATIVADO;Error</v>
      </c>
      <c r="H336" s="2" t="str">
        <f>VLOOKUP(F336,'Message Mapping'!A:L,4,FALSE)</f>
        <v>0;1;2;3</v>
      </c>
      <c r="I336" s="2"/>
      <c r="J336" s="3" t="str">
        <f>VLOOKUP(F336,'Message Mapping'!A:L,12,FALSE)</f>
        <v>Severidade 5</v>
      </c>
      <c r="K336" s="3"/>
      <c r="L336" s="3"/>
      <c r="M336" s="3"/>
      <c r="N336" s="3"/>
      <c r="O336" s="3"/>
      <c r="P336" s="3"/>
    </row>
    <row r="337" spans="1:16" x14ac:dyDescent="0.25">
      <c r="A337" s="94" t="s">
        <v>538</v>
      </c>
      <c r="B337" s="2" t="s">
        <v>539</v>
      </c>
      <c r="C337" s="2" t="s">
        <v>11</v>
      </c>
      <c r="D337" s="2" t="s">
        <v>123</v>
      </c>
      <c r="E337" s="2" t="s">
        <v>1159</v>
      </c>
      <c r="F337" s="2" t="s">
        <v>1169</v>
      </c>
      <c r="G337" s="2" t="str">
        <f>VLOOKUP(F337,'Message Mapping'!A:L,3,FALSE)</f>
        <v>Transit;DESATIVADO;ATIVADO;Error</v>
      </c>
      <c r="H337" s="2" t="str">
        <f>VLOOKUP(F337,'Message Mapping'!A:L,4,FALSE)</f>
        <v>0;1;2;3</v>
      </c>
      <c r="I337" s="2"/>
      <c r="J337" s="3" t="str">
        <f>VLOOKUP(F337,'Message Mapping'!A:L,12,FALSE)</f>
        <v>Severidade 5</v>
      </c>
      <c r="K337" s="3"/>
      <c r="L337" s="3"/>
      <c r="M337" s="3"/>
      <c r="N337" s="3"/>
      <c r="O337" s="3"/>
      <c r="P337" s="3"/>
    </row>
    <row r="338" spans="1:16" x14ac:dyDescent="0.25">
      <c r="A338" s="94" t="s">
        <v>541</v>
      </c>
      <c r="B338" s="2" t="s">
        <v>540</v>
      </c>
      <c r="C338" s="2" t="s">
        <v>11</v>
      </c>
      <c r="D338" s="2" t="s">
        <v>1172</v>
      </c>
      <c r="E338" s="2" t="s">
        <v>1159</v>
      </c>
      <c r="F338" s="2" t="s">
        <v>133</v>
      </c>
      <c r="G338" s="2" t="str">
        <f>VLOOKUP(F338,'Message Mapping'!A:L,3,FALSE)</f>
        <v>Transit;NORMAL;ATUADO;Error</v>
      </c>
      <c r="H338" s="2" t="str">
        <f>VLOOKUP(F338,'Message Mapping'!A:L,4,FALSE)</f>
        <v>0;1;2;3</v>
      </c>
      <c r="I338" s="2"/>
      <c r="J338" s="3" t="str">
        <f>VLOOKUP(F338,'Message Mapping'!A:L,12,FALSE)</f>
        <v>Severidade 3</v>
      </c>
      <c r="K338" s="3"/>
      <c r="L338" s="3"/>
      <c r="M338" s="3"/>
      <c r="N338" s="3"/>
      <c r="O338" s="3"/>
      <c r="P338" s="3"/>
    </row>
    <row r="339" spans="1:16" x14ac:dyDescent="0.25">
      <c r="A339" s="94" t="s">
        <v>542</v>
      </c>
      <c r="B339" s="2" t="s">
        <v>543</v>
      </c>
      <c r="C339" s="2" t="s">
        <v>11</v>
      </c>
      <c r="D339" s="2" t="s">
        <v>1172</v>
      </c>
      <c r="E339" s="2" t="s">
        <v>1159</v>
      </c>
      <c r="F339" s="2" t="s">
        <v>133</v>
      </c>
      <c r="G339" s="2" t="str">
        <f>VLOOKUP(F339,'Message Mapping'!A:L,3,FALSE)</f>
        <v>Transit;NORMAL;ATUADO;Error</v>
      </c>
      <c r="H339" s="2" t="str">
        <f>VLOOKUP(F339,'Message Mapping'!A:L,4,FALSE)</f>
        <v>0;1;2;3</v>
      </c>
      <c r="I339" s="2"/>
      <c r="J339" s="3" t="str">
        <f>VLOOKUP(F339,'Message Mapping'!A:L,12,FALSE)</f>
        <v>Severidade 3</v>
      </c>
      <c r="K339" s="3"/>
      <c r="L339" s="3"/>
      <c r="M339" s="3"/>
      <c r="N339" s="3"/>
      <c r="O339" s="3"/>
      <c r="P339" s="3"/>
    </row>
    <row r="340" spans="1:16" x14ac:dyDescent="0.25">
      <c r="A340" s="94" t="s">
        <v>544</v>
      </c>
      <c r="B340" s="2" t="s">
        <v>545</v>
      </c>
      <c r="C340" s="2" t="s">
        <v>11</v>
      </c>
      <c r="D340" s="2" t="s">
        <v>123</v>
      </c>
      <c r="E340" s="2" t="s">
        <v>1160</v>
      </c>
      <c r="F340" s="2" t="s">
        <v>1168</v>
      </c>
      <c r="G340" s="2" t="str">
        <f>VLOOKUP(F340,'Message Mapping'!A:L,3,FALSE)</f>
        <v>Transit;DESATIVADO;ATIVADO;Error</v>
      </c>
      <c r="H340" s="2" t="str">
        <f>VLOOKUP(F340,'Message Mapping'!A:L,4,FALSE)</f>
        <v>0;1;2;3</v>
      </c>
      <c r="I340" s="2"/>
      <c r="J340" s="3" t="str">
        <f>VLOOKUP(F340,'Message Mapping'!A:L,12,FALSE)</f>
        <v>Severidade 5</v>
      </c>
      <c r="K340" s="3"/>
      <c r="L340" s="3"/>
      <c r="M340" s="3"/>
      <c r="N340" s="3"/>
      <c r="O340" s="3"/>
      <c r="P340" s="3"/>
    </row>
    <row r="341" spans="1:16" x14ac:dyDescent="0.25">
      <c r="A341" s="94" t="s">
        <v>544</v>
      </c>
      <c r="B341" s="2" t="s">
        <v>545</v>
      </c>
      <c r="C341" s="2" t="s">
        <v>11</v>
      </c>
      <c r="D341" s="2" t="s">
        <v>123</v>
      </c>
      <c r="E341" s="2" t="s">
        <v>1159</v>
      </c>
      <c r="F341" s="2" t="s">
        <v>1169</v>
      </c>
      <c r="G341" s="2" t="str">
        <f>VLOOKUP(F341,'Message Mapping'!A:L,3,FALSE)</f>
        <v>Transit;DESATIVADO;ATIVADO;Error</v>
      </c>
      <c r="H341" s="2" t="str">
        <f>VLOOKUP(F341,'Message Mapping'!A:L,4,FALSE)</f>
        <v>0;1;2;3</v>
      </c>
      <c r="I341" s="2"/>
      <c r="J341" s="3" t="str">
        <f>VLOOKUP(F341,'Message Mapping'!A:L,12,FALSE)</f>
        <v>Severidade 5</v>
      </c>
      <c r="K341" s="3"/>
      <c r="L341" s="3"/>
      <c r="M341" s="3"/>
      <c r="N341" s="3"/>
      <c r="O341" s="3"/>
      <c r="P341" s="3"/>
    </row>
    <row r="342" spans="1:16" x14ac:dyDescent="0.25">
      <c r="A342" s="94" t="s">
        <v>546</v>
      </c>
      <c r="B342" s="2" t="s">
        <v>547</v>
      </c>
      <c r="C342" s="2" t="s">
        <v>11</v>
      </c>
      <c r="D342" s="2" t="s">
        <v>123</v>
      </c>
      <c r="E342" s="2" t="s">
        <v>1159</v>
      </c>
      <c r="F342" s="2" t="s">
        <v>1180</v>
      </c>
      <c r="G342" s="2" t="str">
        <f>VLOOKUP(F342,'Message Mapping'!A:L,3,FALSE)</f>
        <v>Transit;NORMAL;ATUADO;Error</v>
      </c>
      <c r="H342" s="2" t="str">
        <f>VLOOKUP(F342,'Message Mapping'!A:L,4,FALSE)</f>
        <v>0;1;2;3</v>
      </c>
      <c r="I342" s="2"/>
      <c r="J342" s="3" t="str">
        <f>VLOOKUP(F342,'Message Mapping'!A:L,12,FALSE)</f>
        <v>Severidade 5</v>
      </c>
      <c r="K342" s="3"/>
      <c r="L342" s="3"/>
      <c r="M342" s="3"/>
      <c r="N342" s="3"/>
      <c r="O342" s="3"/>
      <c r="P342" s="3"/>
    </row>
    <row r="343" spans="1:16" x14ac:dyDescent="0.25">
      <c r="A343" s="94" t="s">
        <v>548</v>
      </c>
      <c r="B343" s="2" t="s">
        <v>549</v>
      </c>
      <c r="C343" s="2" t="s">
        <v>11</v>
      </c>
      <c r="D343" s="2" t="s">
        <v>123</v>
      </c>
      <c r="E343" s="2" t="s">
        <v>1159</v>
      </c>
      <c r="F343" s="2" t="s">
        <v>1180</v>
      </c>
      <c r="G343" s="2" t="str">
        <f>VLOOKUP(F343,'Message Mapping'!A:L,3,FALSE)</f>
        <v>Transit;NORMAL;ATUADO;Error</v>
      </c>
      <c r="H343" s="2" t="str">
        <f>VLOOKUP(F343,'Message Mapping'!A:L,4,FALSE)</f>
        <v>0;1;2;3</v>
      </c>
      <c r="I343" s="2"/>
      <c r="J343" s="3" t="str">
        <f>VLOOKUP(F343,'Message Mapping'!A:L,12,FALSE)</f>
        <v>Severidade 5</v>
      </c>
      <c r="K343" s="3"/>
      <c r="L343" s="3"/>
      <c r="M343" s="3"/>
      <c r="N343" s="3"/>
      <c r="O343" s="3"/>
      <c r="P343" s="3"/>
    </row>
    <row r="344" spans="1:16" x14ac:dyDescent="0.25">
      <c r="A344" s="94" t="s">
        <v>550</v>
      </c>
      <c r="B344" s="2" t="s">
        <v>551</v>
      </c>
      <c r="C344" s="2" t="s">
        <v>11</v>
      </c>
      <c r="D344" s="2" t="s">
        <v>1172</v>
      </c>
      <c r="E344" s="2" t="s">
        <v>1159</v>
      </c>
      <c r="F344" s="2" t="s">
        <v>133</v>
      </c>
      <c r="G344" s="2" t="str">
        <f>VLOOKUP(F344,'Message Mapping'!A:L,3,FALSE)</f>
        <v>Transit;NORMAL;ATUADO;Error</v>
      </c>
      <c r="H344" s="2" t="str">
        <f>VLOOKUP(F344,'Message Mapping'!A:L,4,FALSE)</f>
        <v>0;1;2;3</v>
      </c>
      <c r="I344" s="2"/>
      <c r="J344" s="3" t="str">
        <f>VLOOKUP(F344,'Message Mapping'!A:L,12,FALSE)</f>
        <v>Severidade 3</v>
      </c>
      <c r="K344" s="3"/>
      <c r="L344" s="3"/>
      <c r="M344" s="3"/>
      <c r="N344" s="3"/>
      <c r="O344" s="3"/>
      <c r="P344" s="3"/>
    </row>
    <row r="345" spans="1:16" x14ac:dyDescent="0.25">
      <c r="A345" s="94" t="s">
        <v>552</v>
      </c>
      <c r="B345" s="2" t="s">
        <v>553</v>
      </c>
      <c r="C345" s="2" t="s">
        <v>11</v>
      </c>
      <c r="D345" s="2" t="s">
        <v>1172</v>
      </c>
      <c r="E345" s="2" t="s">
        <v>1159</v>
      </c>
      <c r="F345" s="2" t="s">
        <v>133</v>
      </c>
      <c r="G345" s="2" t="str">
        <f>VLOOKUP(F345,'Message Mapping'!A:L,3,FALSE)</f>
        <v>Transit;NORMAL;ATUADO;Error</v>
      </c>
      <c r="H345" s="2" t="str">
        <f>VLOOKUP(F345,'Message Mapping'!A:L,4,FALSE)</f>
        <v>0;1;2;3</v>
      </c>
      <c r="I345" s="2"/>
      <c r="J345" s="3" t="str">
        <f>VLOOKUP(F345,'Message Mapping'!A:L,12,FALSE)</f>
        <v>Severidade 3</v>
      </c>
      <c r="K345" s="3"/>
      <c r="L345" s="3"/>
      <c r="M345" s="3"/>
      <c r="N345" s="3"/>
      <c r="O345" s="3"/>
      <c r="P345" s="3"/>
    </row>
    <row r="346" spans="1:16" x14ac:dyDescent="0.25">
      <c r="A346" s="94" t="s">
        <v>554</v>
      </c>
      <c r="B346" s="2" t="s">
        <v>555</v>
      </c>
      <c r="C346" s="2" t="s">
        <v>11</v>
      </c>
      <c r="D346" s="2" t="s">
        <v>123</v>
      </c>
      <c r="E346" s="2" t="s">
        <v>1159</v>
      </c>
      <c r="F346" s="2" t="s">
        <v>1181</v>
      </c>
      <c r="G346" s="2" t="str">
        <f>VLOOKUP(F346,'Message Mapping'!A:L,3,FALSE)</f>
        <v>Transit;NORMAL;DISPARADA;Error</v>
      </c>
      <c r="H346" s="2" t="str">
        <f>VLOOKUP(F346,'Message Mapping'!A:L,4,FALSE)</f>
        <v>0;1;2;3</v>
      </c>
      <c r="I346" s="2"/>
      <c r="J346" s="3" t="str">
        <f>VLOOKUP(F346,'Message Mapping'!A:L,12,FALSE)</f>
        <v>Severidade 5</v>
      </c>
      <c r="K346" s="3"/>
      <c r="L346" s="3"/>
      <c r="M346" s="3"/>
      <c r="N346" s="3"/>
      <c r="O346" s="3"/>
      <c r="P346" s="3"/>
    </row>
    <row r="347" spans="1:16" x14ac:dyDescent="0.25">
      <c r="A347" s="98" t="s">
        <v>556</v>
      </c>
      <c r="B347" s="2" t="s">
        <v>557</v>
      </c>
      <c r="C347" s="2" t="s">
        <v>11</v>
      </c>
      <c r="D347" s="2" t="s">
        <v>123</v>
      </c>
      <c r="E347" s="2" t="s">
        <v>1159</v>
      </c>
      <c r="F347" s="2" t="s">
        <v>471</v>
      </c>
      <c r="G347" s="2" t="str">
        <f>VLOOKUP(F347,'Message Mapping'!A:L,3,FALSE)</f>
        <v>Transit;DESABILITADO;HABILITADO;Error</v>
      </c>
      <c r="H347" s="2" t="str">
        <f>VLOOKUP(F347,'Message Mapping'!A:L,4,FALSE)</f>
        <v>0;1;2;3</v>
      </c>
      <c r="I347" s="2"/>
      <c r="J347" s="3" t="str">
        <f>VLOOKUP(F347,'Message Mapping'!A:L,12,FALSE)</f>
        <v>Severidade 5</v>
      </c>
      <c r="K347" s="3"/>
      <c r="L347" s="3"/>
      <c r="M347" s="3"/>
      <c r="N347" s="3"/>
      <c r="O347" s="3"/>
      <c r="P347" s="3"/>
    </row>
    <row r="348" spans="1:16" x14ac:dyDescent="0.25">
      <c r="A348" s="94" t="s">
        <v>4241</v>
      </c>
      <c r="B348" s="2" t="s">
        <v>387</v>
      </c>
      <c r="C348" s="2" t="s">
        <v>39</v>
      </c>
      <c r="D348" s="2" t="s">
        <v>12</v>
      </c>
      <c r="E348" s="2" t="s">
        <v>1159</v>
      </c>
      <c r="F348" s="2" t="s">
        <v>13</v>
      </c>
      <c r="G348" s="2" t="str">
        <f>VLOOKUP(F348,'Message Mapping'!A:L,3,FALSE)</f>
        <v>Transit;NORMAL;ATUADO;Error</v>
      </c>
      <c r="H348" s="2" t="str">
        <f>VLOOKUP(F348,'Message Mapping'!A:L,4,FALSE)</f>
        <v>0;1;2;3</v>
      </c>
      <c r="I348" s="2"/>
      <c r="J348" s="3" t="str">
        <f>VLOOKUP(F348,'Message Mapping'!A:L,12,FALSE)</f>
        <v>Severidade 4</v>
      </c>
      <c r="K348" s="3"/>
      <c r="L348" s="3"/>
      <c r="M348" s="3"/>
      <c r="N348" s="3"/>
      <c r="O348" s="3"/>
      <c r="P348" s="3"/>
    </row>
    <row r="349" spans="1:16" x14ac:dyDescent="0.25">
      <c r="A349" s="94" t="s">
        <v>560</v>
      </c>
      <c r="B349" s="2" t="s">
        <v>561</v>
      </c>
      <c r="C349" s="2" t="s">
        <v>11</v>
      </c>
      <c r="D349" s="2" t="s">
        <v>12</v>
      </c>
      <c r="E349" s="2" t="s">
        <v>1159</v>
      </c>
      <c r="F349" s="2" t="s">
        <v>13</v>
      </c>
      <c r="G349" s="2" t="str">
        <f>VLOOKUP(F349,'Message Mapping'!A:L,3,FALSE)</f>
        <v>Transit;NORMAL;ATUADO;Error</v>
      </c>
      <c r="H349" s="2" t="str">
        <f>VLOOKUP(F349,'Message Mapping'!A:L,4,FALSE)</f>
        <v>0;1;2;3</v>
      </c>
      <c r="I349" s="2"/>
      <c r="J349" s="3" t="str">
        <f>VLOOKUP(F349,'Message Mapping'!A:L,12,FALSE)</f>
        <v>Severidade 4</v>
      </c>
      <c r="K349" s="3"/>
      <c r="L349" s="3"/>
      <c r="M349" s="3"/>
      <c r="N349" s="3"/>
      <c r="O349" s="3"/>
      <c r="P349" s="3"/>
    </row>
    <row r="350" spans="1:16" x14ac:dyDescent="0.25">
      <c r="A350" s="94" t="s">
        <v>562</v>
      </c>
      <c r="B350" s="2" t="s">
        <v>563</v>
      </c>
      <c r="C350" s="2" t="s">
        <v>11</v>
      </c>
      <c r="D350" s="2" t="s">
        <v>35</v>
      </c>
      <c r="E350" s="2" t="s">
        <v>1164</v>
      </c>
      <c r="F350" s="2" t="s">
        <v>1182</v>
      </c>
      <c r="G350" s="2" t="str">
        <f>VLOOKUP(F350,'Message Mapping'!A:L,3,FALSE)</f>
        <v>Transit;;;Error</v>
      </c>
      <c r="H350" s="2" t="str">
        <f>VLOOKUP(F350,'Message Mapping'!A:L,4,FALSE)</f>
        <v>0;1;2;3</v>
      </c>
      <c r="I350" s="2"/>
      <c r="J350" s="3" t="str">
        <f>VLOOKUP(F350,'Message Mapping'!A:L,12,FALSE)</f>
        <v>Severidade 8</v>
      </c>
      <c r="K350" s="3"/>
      <c r="L350" s="3"/>
      <c r="M350" s="3"/>
      <c r="N350" s="3"/>
      <c r="O350" s="3"/>
      <c r="P350" s="3"/>
    </row>
    <row r="351" spans="1:16" x14ac:dyDescent="0.25">
      <c r="A351" s="94" t="s">
        <v>565</v>
      </c>
      <c r="B351" s="2" t="s">
        <v>4224</v>
      </c>
      <c r="C351" s="2" t="s">
        <v>11</v>
      </c>
      <c r="D351" s="2" t="s">
        <v>35</v>
      </c>
      <c r="E351" s="2" t="s">
        <v>1160</v>
      </c>
      <c r="F351" s="2" t="s">
        <v>188</v>
      </c>
      <c r="G351" s="2" t="str">
        <f>VLOOKUP(F351,'Message Mapping'!A:L,3,FALSE)</f>
        <v>Transit;INCLUIDO;EXCLUIDO;Error</v>
      </c>
      <c r="H351" s="2" t="str">
        <f>VLOOKUP(F351,'Message Mapping'!A:L,4,FALSE)</f>
        <v>0;1;2;3</v>
      </c>
      <c r="I351" s="2"/>
      <c r="J351" s="3" t="str">
        <f>VLOOKUP(F351,'Message Mapping'!A:L,12,FALSE)</f>
        <v>Severidade 8</v>
      </c>
      <c r="K351" s="3"/>
      <c r="L351" s="3"/>
      <c r="M351" s="3"/>
      <c r="N351" s="3"/>
      <c r="O351" s="3"/>
      <c r="P351" s="3"/>
    </row>
    <row r="352" spans="1:16" x14ac:dyDescent="0.25">
      <c r="A352" s="94" t="s">
        <v>565</v>
      </c>
      <c r="B352" s="2" t="s">
        <v>4224</v>
      </c>
      <c r="C352" s="2" t="s">
        <v>11</v>
      </c>
      <c r="D352" s="2" t="s">
        <v>35</v>
      </c>
      <c r="E352" s="2" t="s">
        <v>1159</v>
      </c>
      <c r="F352" s="2" t="s">
        <v>1163</v>
      </c>
      <c r="G352" s="2" t="str">
        <f>VLOOKUP(F352,'Message Mapping'!A:L,3,FALSE)</f>
        <v>Transit;INCLUIDO;EXCLUIDO;Error</v>
      </c>
      <c r="H352" s="2" t="str">
        <f>VLOOKUP(F352,'Message Mapping'!A:L,4,FALSE)</f>
        <v>0;1;2;3</v>
      </c>
      <c r="I352" s="2"/>
      <c r="J352" s="3" t="str">
        <f>VLOOKUP(F352,'Message Mapping'!A:L,12,FALSE)</f>
        <v>Severidade 8</v>
      </c>
      <c r="K352" s="3"/>
      <c r="L352" s="3"/>
      <c r="M352" s="3"/>
      <c r="N352" s="3"/>
      <c r="O352" s="3"/>
      <c r="P352" s="3"/>
    </row>
    <row r="353" spans="1:16" x14ac:dyDescent="0.25">
      <c r="A353" s="94" t="s">
        <v>4225</v>
      </c>
      <c r="B353" s="2" t="s">
        <v>564</v>
      </c>
      <c r="C353" s="2" t="s">
        <v>11</v>
      </c>
      <c r="D353" s="2" t="s">
        <v>12</v>
      </c>
      <c r="E353" s="2" t="s">
        <v>1159</v>
      </c>
      <c r="F353" s="2" t="s">
        <v>13</v>
      </c>
      <c r="G353" s="2" t="str">
        <f>VLOOKUP(F353,'Message Mapping'!A:L,3,FALSE)</f>
        <v>Transit;NORMAL;ATUADO;Error</v>
      </c>
      <c r="H353" s="2" t="str">
        <f>VLOOKUP(F353,'Message Mapping'!A:L,4,FALSE)</f>
        <v>0;1;2;3</v>
      </c>
      <c r="I353" s="2"/>
      <c r="J353" s="3" t="str">
        <f>VLOOKUP(F353,'Message Mapping'!A:L,12,FALSE)</f>
        <v>Severidade 4</v>
      </c>
      <c r="K353" s="3"/>
      <c r="L353" s="3"/>
      <c r="M353" s="3"/>
      <c r="N353" s="3"/>
      <c r="O353" s="3"/>
      <c r="P353" s="3"/>
    </row>
    <row r="354" spans="1:16" x14ac:dyDescent="0.25">
      <c r="A354" s="94" t="s">
        <v>566</v>
      </c>
      <c r="B354" s="2" t="s">
        <v>567</v>
      </c>
      <c r="C354" s="2" t="s">
        <v>11</v>
      </c>
      <c r="D354" s="2" t="s">
        <v>35</v>
      </c>
      <c r="E354" s="2" t="s">
        <v>1159</v>
      </c>
      <c r="F354" s="2" t="s">
        <v>1183</v>
      </c>
      <c r="G354" s="2" t="str">
        <f>VLOOKUP(F354,'Message Mapping'!A:L,3,FALSE)</f>
        <v>Transit;NORMAL;ATUADO;Error</v>
      </c>
      <c r="H354" s="2" t="str">
        <f>VLOOKUP(F354,'Message Mapping'!A:L,4,FALSE)</f>
        <v>0;1;2;3</v>
      </c>
      <c r="I354" s="2"/>
      <c r="J354" s="3" t="str">
        <f>VLOOKUP(F354,'Message Mapping'!A:L,12,FALSE)</f>
        <v>Severidade 8</v>
      </c>
      <c r="K354" s="3"/>
      <c r="L354" s="3"/>
      <c r="M354" s="3"/>
      <c r="N354" s="3"/>
      <c r="O354" s="3"/>
      <c r="P354" s="3"/>
    </row>
    <row r="355" spans="1:16" x14ac:dyDescent="0.25">
      <c r="A355" s="94" t="s">
        <v>568</v>
      </c>
      <c r="B355" s="2" t="s">
        <v>569</v>
      </c>
      <c r="C355" s="2" t="s">
        <v>11</v>
      </c>
      <c r="D355" s="2" t="s">
        <v>35</v>
      </c>
      <c r="E355" s="2" t="s">
        <v>1159</v>
      </c>
      <c r="F355" s="2" t="s">
        <v>1183</v>
      </c>
      <c r="G355" s="2" t="str">
        <f>VLOOKUP(F355,'Message Mapping'!A:L,3,FALSE)</f>
        <v>Transit;NORMAL;ATUADO;Error</v>
      </c>
      <c r="H355" s="2" t="str">
        <f>VLOOKUP(F355,'Message Mapping'!A:L,4,FALSE)</f>
        <v>0;1;2;3</v>
      </c>
      <c r="I355" s="2"/>
      <c r="J355" s="3" t="str">
        <f>VLOOKUP(F355,'Message Mapping'!A:L,12,FALSE)</f>
        <v>Severidade 8</v>
      </c>
      <c r="K355" s="3"/>
      <c r="L355" s="3"/>
      <c r="M355" s="3"/>
      <c r="N355" s="3"/>
      <c r="O355" s="3"/>
      <c r="P355" s="3"/>
    </row>
    <row r="356" spans="1:16" x14ac:dyDescent="0.25">
      <c r="A356" s="94" t="s">
        <v>570</v>
      </c>
      <c r="B356" s="2" t="s">
        <v>571</v>
      </c>
      <c r="C356" s="2" t="s">
        <v>34</v>
      </c>
      <c r="D356" s="2" t="s">
        <v>35</v>
      </c>
      <c r="E356" s="2" t="s">
        <v>1160</v>
      </c>
      <c r="F356" s="2" t="s">
        <v>113</v>
      </c>
      <c r="G356" s="2" t="str">
        <f>VLOOKUP(F356,'Message Mapping'!A:L,3,FALSE)</f>
        <v>Transit;INCLUIDO;EXCLUIDO;Error</v>
      </c>
      <c r="H356" s="2" t="str">
        <f>VLOOKUP(F356,'Message Mapping'!A:L,4,FALSE)</f>
        <v>0;1;2;3</v>
      </c>
      <c r="I356" s="2"/>
      <c r="J356" s="3" t="str">
        <f>VLOOKUP(F356,'Message Mapping'!A:L,12,FALSE)</f>
        <v>Severidade 8</v>
      </c>
      <c r="K356" s="3"/>
      <c r="L356" s="3"/>
      <c r="M356" s="3"/>
      <c r="N356" s="3"/>
      <c r="O356" s="3"/>
      <c r="P356" s="3"/>
    </row>
    <row r="357" spans="1:16" x14ac:dyDescent="0.25">
      <c r="A357" s="94" t="s">
        <v>570</v>
      </c>
      <c r="B357" s="2" t="s">
        <v>571</v>
      </c>
      <c r="C357" s="2" t="s">
        <v>34</v>
      </c>
      <c r="D357" s="2" t="s">
        <v>35</v>
      </c>
      <c r="E357" s="2" t="s">
        <v>1159</v>
      </c>
      <c r="F357" s="2" t="s">
        <v>36</v>
      </c>
      <c r="G357" s="2" t="str">
        <f>VLOOKUP(F357,'Message Mapping'!A:L,3,FALSE)</f>
        <v>Transit;INCLUIDO;EXCLUIDO;Error</v>
      </c>
      <c r="H357" s="2" t="str">
        <f>VLOOKUP(F357,'Message Mapping'!A:L,4,FALSE)</f>
        <v>0;1;2;3</v>
      </c>
      <c r="I357" s="2"/>
      <c r="J357" s="3" t="str">
        <f>VLOOKUP(F357,'Message Mapping'!A:L,12,FALSE)</f>
        <v>Severidade 8</v>
      </c>
      <c r="K357" s="3"/>
      <c r="L357" s="3"/>
      <c r="M357" s="3"/>
      <c r="N357" s="3"/>
      <c r="O357" s="3"/>
      <c r="P357" s="3"/>
    </row>
    <row r="358" spans="1:16" x14ac:dyDescent="0.25">
      <c r="A358" s="94" t="s">
        <v>572</v>
      </c>
      <c r="B358" s="2" t="s">
        <v>573</v>
      </c>
      <c r="C358" s="2" t="s">
        <v>11</v>
      </c>
      <c r="D358" s="2" t="s">
        <v>1172</v>
      </c>
      <c r="E358" s="2" t="s">
        <v>1159</v>
      </c>
      <c r="F358" s="2" t="s">
        <v>133</v>
      </c>
      <c r="G358" s="2" t="str">
        <f>VLOOKUP(F358,'Message Mapping'!A:L,3,FALSE)</f>
        <v>Transit;NORMAL;ATUADO;Error</v>
      </c>
      <c r="H358" s="2" t="str">
        <f>VLOOKUP(F358,'Message Mapping'!A:L,4,FALSE)</f>
        <v>0;1;2;3</v>
      </c>
      <c r="I358" s="2"/>
      <c r="J358" s="3" t="str">
        <f>VLOOKUP(F358,'Message Mapping'!A:L,12,FALSE)</f>
        <v>Severidade 3</v>
      </c>
      <c r="K358" s="3"/>
      <c r="L358" s="3"/>
      <c r="M358" s="3"/>
      <c r="N358" s="3"/>
      <c r="O358" s="3"/>
      <c r="P358" s="3"/>
    </row>
    <row r="359" spans="1:16" x14ac:dyDescent="0.25">
      <c r="A359" s="94" t="s">
        <v>574</v>
      </c>
      <c r="B359" s="2" t="s">
        <v>575</v>
      </c>
      <c r="C359" s="2" t="s">
        <v>11</v>
      </c>
      <c r="D359" s="2" t="s">
        <v>1172</v>
      </c>
      <c r="E359" s="2" t="s">
        <v>1159</v>
      </c>
      <c r="F359" s="2" t="s">
        <v>133</v>
      </c>
      <c r="G359" s="2" t="str">
        <f>VLOOKUP(F359,'Message Mapping'!A:L,3,FALSE)</f>
        <v>Transit;NORMAL;ATUADO;Error</v>
      </c>
      <c r="H359" s="2" t="str">
        <f>VLOOKUP(F359,'Message Mapping'!A:L,4,FALSE)</f>
        <v>0;1;2;3</v>
      </c>
      <c r="I359" s="2"/>
      <c r="J359" s="3" t="str">
        <f>VLOOKUP(F359,'Message Mapping'!A:L,12,FALSE)</f>
        <v>Severidade 3</v>
      </c>
      <c r="K359" s="3"/>
      <c r="L359" s="3"/>
      <c r="M359" s="3"/>
      <c r="N359" s="3"/>
      <c r="O359" s="3"/>
      <c r="P359" s="3"/>
    </row>
    <row r="360" spans="1:16" x14ac:dyDescent="0.25">
      <c r="A360" s="94" t="s">
        <v>576</v>
      </c>
      <c r="B360" s="2" t="s">
        <v>2876</v>
      </c>
      <c r="C360" s="2" t="s">
        <v>11</v>
      </c>
      <c r="D360" s="2" t="s">
        <v>1172</v>
      </c>
      <c r="E360" s="2" t="s">
        <v>1159</v>
      </c>
      <c r="F360" s="2" t="s">
        <v>133</v>
      </c>
      <c r="G360" s="2" t="str">
        <f>VLOOKUP(F360,'Message Mapping'!A:L,3,FALSE)</f>
        <v>Transit;NORMAL;ATUADO;Error</v>
      </c>
      <c r="H360" s="2" t="str">
        <f>VLOOKUP(F360,'Message Mapping'!A:L,4,FALSE)</f>
        <v>0;1;2;3</v>
      </c>
      <c r="I360" s="2"/>
      <c r="J360" s="3" t="str">
        <f>VLOOKUP(F360,'Message Mapping'!A:L,12,FALSE)</f>
        <v>Severidade 3</v>
      </c>
      <c r="K360" s="3"/>
      <c r="L360" s="3"/>
      <c r="M360" s="3"/>
      <c r="N360" s="3"/>
      <c r="O360" s="3"/>
      <c r="P360" s="3"/>
    </row>
    <row r="361" spans="1:16" x14ac:dyDescent="0.25">
      <c r="A361" s="94" t="s">
        <v>577</v>
      </c>
      <c r="B361" s="2" t="s">
        <v>2877</v>
      </c>
      <c r="C361" s="2" t="s">
        <v>11</v>
      </c>
      <c r="D361" s="2" t="s">
        <v>1172</v>
      </c>
      <c r="E361" s="2" t="s">
        <v>1159</v>
      </c>
      <c r="F361" s="2" t="s">
        <v>133</v>
      </c>
      <c r="G361" s="2" t="str">
        <f>VLOOKUP(F361,'Message Mapping'!A:L,3,FALSE)</f>
        <v>Transit;NORMAL;ATUADO;Error</v>
      </c>
      <c r="H361" s="2" t="str">
        <f>VLOOKUP(F361,'Message Mapping'!A:L,4,FALSE)</f>
        <v>0;1;2;3</v>
      </c>
      <c r="I361" s="2"/>
      <c r="J361" s="3" t="str">
        <f>VLOOKUP(F361,'Message Mapping'!A:L,12,FALSE)</f>
        <v>Severidade 3</v>
      </c>
      <c r="K361" s="3"/>
      <c r="L361" s="3"/>
      <c r="M361" s="3"/>
      <c r="N361" s="3"/>
      <c r="O361" s="3"/>
      <c r="P361" s="3"/>
    </row>
    <row r="362" spans="1:16" x14ac:dyDescent="0.25">
      <c r="A362" s="94" t="s">
        <v>578</v>
      </c>
      <c r="B362" s="2" t="s">
        <v>579</v>
      </c>
      <c r="C362" s="2" t="s">
        <v>11</v>
      </c>
      <c r="D362" s="2" t="s">
        <v>1234</v>
      </c>
      <c r="E362" s="2" t="s">
        <v>1159</v>
      </c>
      <c r="F362" s="2" t="s">
        <v>1184</v>
      </c>
      <c r="G362" s="2" t="str">
        <f>VLOOKUP(F362,'Message Mapping'!A:L,3,FALSE)</f>
        <v>Transit;CARGA;DESCARGA;Error</v>
      </c>
      <c r="H362" s="2" t="str">
        <f>VLOOKUP(F362,'Message Mapping'!A:L,4,FALSE)</f>
        <v>0;1;2;3</v>
      </c>
      <c r="I362" s="2"/>
      <c r="J362" s="3" t="str">
        <f>VLOOKUP(F362,'Message Mapping'!A:L,12,FALSE)</f>
        <v>Severidade 7</v>
      </c>
      <c r="K362" s="3"/>
      <c r="L362" s="3"/>
      <c r="M362" s="3"/>
      <c r="N362" s="3"/>
      <c r="O362" s="3"/>
      <c r="P362" s="3"/>
    </row>
    <row r="363" spans="1:16" x14ac:dyDescent="0.25">
      <c r="A363" s="94" t="s">
        <v>580</v>
      </c>
      <c r="B363" s="2" t="s">
        <v>581</v>
      </c>
      <c r="C363" s="2" t="s">
        <v>11</v>
      </c>
      <c r="D363" s="2" t="s">
        <v>12</v>
      </c>
      <c r="E363" s="2" t="s">
        <v>1159</v>
      </c>
      <c r="F363" s="2" t="s">
        <v>13</v>
      </c>
      <c r="G363" s="2" t="str">
        <f>VLOOKUP(F363,'Message Mapping'!A:L,3,FALSE)</f>
        <v>Transit;NORMAL;ATUADO;Error</v>
      </c>
      <c r="H363" s="2" t="str">
        <f>VLOOKUP(F363,'Message Mapping'!A:L,4,FALSE)</f>
        <v>0;1;2;3</v>
      </c>
      <c r="I363" s="2"/>
      <c r="J363" s="3" t="str">
        <f>VLOOKUP(F363,'Message Mapping'!A:L,12,FALSE)</f>
        <v>Severidade 4</v>
      </c>
      <c r="K363" s="3"/>
      <c r="L363" s="3"/>
      <c r="M363" s="3"/>
      <c r="N363" s="3"/>
      <c r="O363" s="3"/>
      <c r="P363" s="3"/>
    </row>
    <row r="364" spans="1:16" x14ac:dyDescent="0.25">
      <c r="A364" s="94" t="s">
        <v>582</v>
      </c>
      <c r="B364" s="2" t="s">
        <v>583</v>
      </c>
      <c r="C364" s="2" t="s">
        <v>11</v>
      </c>
      <c r="D364" s="2" t="s">
        <v>12</v>
      </c>
      <c r="E364" s="2" t="s">
        <v>1159</v>
      </c>
      <c r="F364" s="2" t="s">
        <v>13</v>
      </c>
      <c r="G364" s="2" t="str">
        <f>VLOOKUP(F364,'Message Mapping'!A:L,3,FALSE)</f>
        <v>Transit;NORMAL;ATUADO;Error</v>
      </c>
      <c r="H364" s="2" t="str">
        <f>VLOOKUP(F364,'Message Mapping'!A:L,4,FALSE)</f>
        <v>0;1;2;3</v>
      </c>
      <c r="I364" s="2"/>
      <c r="J364" s="3" t="str">
        <f>VLOOKUP(F364,'Message Mapping'!A:L,12,FALSE)</f>
        <v>Severidade 4</v>
      </c>
      <c r="K364" s="3"/>
      <c r="L364" s="3"/>
      <c r="M364" s="3"/>
      <c r="N364" s="3"/>
      <c r="O364" s="3"/>
      <c r="P364" s="3"/>
    </row>
    <row r="365" spans="1:16" x14ac:dyDescent="0.25">
      <c r="A365" s="94" t="s">
        <v>584</v>
      </c>
      <c r="B365" s="2" t="s">
        <v>585</v>
      </c>
      <c r="C365" s="2" t="s">
        <v>11</v>
      </c>
      <c r="D365" s="2" t="s">
        <v>12</v>
      </c>
      <c r="E365" s="2" t="s">
        <v>1159</v>
      </c>
      <c r="F365" s="2" t="s">
        <v>13</v>
      </c>
      <c r="G365" s="2" t="str">
        <f>VLOOKUP(F365,'Message Mapping'!A:L,3,FALSE)</f>
        <v>Transit;NORMAL;ATUADO;Error</v>
      </c>
      <c r="H365" s="2" t="str">
        <f>VLOOKUP(F365,'Message Mapping'!A:L,4,FALSE)</f>
        <v>0;1;2;3</v>
      </c>
      <c r="I365" s="2"/>
      <c r="J365" s="3" t="str">
        <f>VLOOKUP(F365,'Message Mapping'!A:L,12,FALSE)</f>
        <v>Severidade 4</v>
      </c>
      <c r="K365" s="3"/>
      <c r="L365" s="3"/>
      <c r="M365" s="3"/>
      <c r="N365" s="3"/>
      <c r="O365" s="3"/>
      <c r="P365" s="3"/>
    </row>
    <row r="366" spans="1:16" x14ac:dyDescent="0.25">
      <c r="A366" s="94" t="s">
        <v>586</v>
      </c>
      <c r="B366" s="2" t="s">
        <v>587</v>
      </c>
      <c r="C366" s="2" t="s">
        <v>11</v>
      </c>
      <c r="D366" s="2" t="s">
        <v>12</v>
      </c>
      <c r="E366" s="2" t="s">
        <v>1159</v>
      </c>
      <c r="F366" s="2" t="s">
        <v>13</v>
      </c>
      <c r="G366" s="2" t="str">
        <f>VLOOKUP(F366,'Message Mapping'!A:L,3,FALSE)</f>
        <v>Transit;NORMAL;ATUADO;Error</v>
      </c>
      <c r="H366" s="2" t="str">
        <f>VLOOKUP(F366,'Message Mapping'!A:L,4,FALSE)</f>
        <v>0;1;2;3</v>
      </c>
      <c r="I366" s="2"/>
      <c r="J366" s="3" t="str">
        <f>VLOOKUP(F366,'Message Mapping'!A:L,12,FALSE)</f>
        <v>Severidade 4</v>
      </c>
      <c r="K366" s="3"/>
      <c r="L366" s="3"/>
      <c r="M366" s="3"/>
      <c r="N366" s="3"/>
      <c r="O366" s="3"/>
      <c r="P366" s="3"/>
    </row>
    <row r="367" spans="1:16" x14ac:dyDescent="0.25">
      <c r="A367" s="94" t="s">
        <v>588</v>
      </c>
      <c r="B367" s="2" t="s">
        <v>589</v>
      </c>
      <c r="C367" s="2" t="s">
        <v>11</v>
      </c>
      <c r="D367" s="2" t="s">
        <v>12</v>
      </c>
      <c r="E367" s="2" t="s">
        <v>1159</v>
      </c>
      <c r="F367" s="2" t="s">
        <v>13</v>
      </c>
      <c r="G367" s="2" t="str">
        <f>VLOOKUP(F367,'Message Mapping'!A:L,3,FALSE)</f>
        <v>Transit;NORMAL;ATUADO;Error</v>
      </c>
      <c r="H367" s="2" t="str">
        <f>VLOOKUP(F367,'Message Mapping'!A:L,4,FALSE)</f>
        <v>0;1;2;3</v>
      </c>
      <c r="I367" s="2"/>
      <c r="J367" s="3" t="str">
        <f>VLOOKUP(F367,'Message Mapping'!A:L,12,FALSE)</f>
        <v>Severidade 4</v>
      </c>
      <c r="K367" s="3"/>
      <c r="L367" s="3"/>
      <c r="M367" s="3"/>
      <c r="N367" s="3"/>
      <c r="O367" s="3"/>
      <c r="P367" s="3"/>
    </row>
    <row r="368" spans="1:16" x14ac:dyDescent="0.25">
      <c r="A368" s="94" t="s">
        <v>590</v>
      </c>
      <c r="B368" s="2" t="s">
        <v>591</v>
      </c>
      <c r="C368" s="2" t="s">
        <v>11</v>
      </c>
      <c r="D368" s="2" t="s">
        <v>12</v>
      </c>
      <c r="E368" s="2" t="s">
        <v>1159</v>
      </c>
      <c r="F368" s="2" t="s">
        <v>13</v>
      </c>
      <c r="G368" s="2" t="str">
        <f>VLOOKUP(F368,'Message Mapping'!A:L,3,FALSE)</f>
        <v>Transit;NORMAL;ATUADO;Error</v>
      </c>
      <c r="H368" s="2" t="str">
        <f>VLOOKUP(F368,'Message Mapping'!A:L,4,FALSE)</f>
        <v>0;1;2;3</v>
      </c>
      <c r="I368" s="2"/>
      <c r="J368" s="3" t="str">
        <f>VLOOKUP(F368,'Message Mapping'!A:L,12,FALSE)</f>
        <v>Severidade 4</v>
      </c>
      <c r="K368" s="3"/>
      <c r="L368" s="3"/>
      <c r="M368" s="3"/>
      <c r="N368" s="3"/>
      <c r="O368" s="3"/>
      <c r="P368" s="3"/>
    </row>
    <row r="369" spans="1:16" x14ac:dyDescent="0.25">
      <c r="A369" s="94" t="s">
        <v>592</v>
      </c>
      <c r="B369" s="2" t="s">
        <v>593</v>
      </c>
      <c r="C369" s="2" t="s">
        <v>11</v>
      </c>
      <c r="D369" s="2" t="s">
        <v>12</v>
      </c>
      <c r="E369" s="2" t="s">
        <v>1159</v>
      </c>
      <c r="F369" s="2" t="s">
        <v>13</v>
      </c>
      <c r="G369" s="2" t="str">
        <f>VLOOKUP(F369,'Message Mapping'!A:L,3,FALSE)</f>
        <v>Transit;NORMAL;ATUADO;Error</v>
      </c>
      <c r="H369" s="2" t="str">
        <f>VLOOKUP(F369,'Message Mapping'!A:L,4,FALSE)</f>
        <v>0;1;2;3</v>
      </c>
      <c r="I369" s="2"/>
      <c r="J369" s="3" t="str">
        <f>VLOOKUP(F369,'Message Mapping'!A:L,12,FALSE)</f>
        <v>Severidade 4</v>
      </c>
      <c r="K369" s="3"/>
      <c r="L369" s="3"/>
      <c r="M369" s="3"/>
      <c r="N369" s="3"/>
      <c r="O369" s="3"/>
      <c r="P369" s="3"/>
    </row>
    <row r="370" spans="1:16" x14ac:dyDescent="0.25">
      <c r="A370" s="94" t="s">
        <v>594</v>
      </c>
      <c r="B370" s="2" t="s">
        <v>595</v>
      </c>
      <c r="C370" s="2" t="s">
        <v>11</v>
      </c>
      <c r="D370" s="2" t="s">
        <v>12</v>
      </c>
      <c r="E370" s="2" t="s">
        <v>1159</v>
      </c>
      <c r="F370" s="2" t="s">
        <v>13</v>
      </c>
      <c r="G370" s="2" t="str">
        <f>VLOOKUP(F370,'Message Mapping'!A:L,3,FALSE)</f>
        <v>Transit;NORMAL;ATUADO;Error</v>
      </c>
      <c r="H370" s="2" t="str">
        <f>VLOOKUP(F370,'Message Mapping'!A:L,4,FALSE)</f>
        <v>0;1;2;3</v>
      </c>
      <c r="I370" s="2"/>
      <c r="J370" s="3" t="str">
        <f>VLOOKUP(F370,'Message Mapping'!A:L,12,FALSE)</f>
        <v>Severidade 4</v>
      </c>
      <c r="K370" s="3"/>
      <c r="L370" s="3"/>
      <c r="M370" s="3"/>
      <c r="N370" s="3"/>
      <c r="O370" s="3"/>
      <c r="P370" s="3"/>
    </row>
    <row r="371" spans="1:16" x14ac:dyDescent="0.25">
      <c r="A371" s="94" t="s">
        <v>558</v>
      </c>
      <c r="B371" s="2" t="s">
        <v>559</v>
      </c>
      <c r="C371" s="2" t="s">
        <v>11</v>
      </c>
      <c r="D371" s="2" t="s">
        <v>12</v>
      </c>
      <c r="E371" s="2" t="s">
        <v>1159</v>
      </c>
      <c r="F371" s="2" t="s">
        <v>13</v>
      </c>
      <c r="G371" s="2" t="str">
        <f>VLOOKUP(F371,'Message Mapping'!A:L,3,FALSE)</f>
        <v>Transit;NORMAL;ATUADO;Error</v>
      </c>
      <c r="H371" s="2" t="str">
        <f>VLOOKUP(F371,'Message Mapping'!A:L,4,FALSE)</f>
        <v>0;1;2;3</v>
      </c>
      <c r="I371" s="2"/>
      <c r="J371" s="3" t="str">
        <f>VLOOKUP(F371,'Message Mapping'!A:L,12,FALSE)</f>
        <v>Severidade 4</v>
      </c>
      <c r="K371" s="3"/>
      <c r="L371" s="3"/>
      <c r="M371" s="3"/>
      <c r="N371" s="3"/>
      <c r="O371" s="3"/>
      <c r="P371" s="3"/>
    </row>
    <row r="372" spans="1:16" x14ac:dyDescent="0.25">
      <c r="A372" s="94" t="s">
        <v>598</v>
      </c>
      <c r="B372" s="2" t="s">
        <v>599</v>
      </c>
      <c r="C372" s="2" t="s">
        <v>11</v>
      </c>
      <c r="D372" s="2" t="s">
        <v>1172</v>
      </c>
      <c r="E372" s="2" t="s">
        <v>1159</v>
      </c>
      <c r="F372" s="2" t="s">
        <v>133</v>
      </c>
      <c r="G372" s="2" t="str">
        <f>VLOOKUP(F372,'Message Mapping'!A:L,3,FALSE)</f>
        <v>Transit;NORMAL;ATUADO;Error</v>
      </c>
      <c r="H372" s="2" t="str">
        <f>VLOOKUP(F372,'Message Mapping'!A:L,4,FALSE)</f>
        <v>0;1;2;3</v>
      </c>
      <c r="I372" s="2"/>
      <c r="J372" s="3" t="str">
        <f>VLOOKUP(F372,'Message Mapping'!A:L,12,FALSE)</f>
        <v>Severidade 3</v>
      </c>
      <c r="K372" s="3"/>
      <c r="L372" s="3"/>
      <c r="M372" s="3"/>
      <c r="N372" s="3"/>
      <c r="O372" s="3"/>
      <c r="P372" s="3"/>
    </row>
    <row r="373" spans="1:16" x14ac:dyDescent="0.25">
      <c r="A373" s="94" t="s">
        <v>601</v>
      </c>
      <c r="B373" s="2" t="s">
        <v>602</v>
      </c>
      <c r="C373" s="2" t="s">
        <v>11</v>
      </c>
      <c r="D373" s="2" t="s">
        <v>1172</v>
      </c>
      <c r="E373" s="2" t="s">
        <v>1159</v>
      </c>
      <c r="F373" s="2" t="s">
        <v>133</v>
      </c>
      <c r="G373" s="2" t="str">
        <f>VLOOKUP(F373,'Message Mapping'!A:L,3,FALSE)</f>
        <v>Transit;NORMAL;ATUADO;Error</v>
      </c>
      <c r="H373" s="2" t="str">
        <f>VLOOKUP(F373,'Message Mapping'!A:L,4,FALSE)</f>
        <v>0;1;2;3</v>
      </c>
      <c r="I373" s="2"/>
      <c r="J373" s="3" t="str">
        <f>VLOOKUP(F373,'Message Mapping'!A:L,12,FALSE)</f>
        <v>Severidade 3</v>
      </c>
      <c r="K373" s="3"/>
      <c r="L373" s="3"/>
      <c r="M373" s="3"/>
      <c r="N373" s="3"/>
      <c r="O373" s="3"/>
      <c r="P373" s="3"/>
    </row>
    <row r="374" spans="1:16" x14ac:dyDescent="0.25">
      <c r="A374" s="94" t="s">
        <v>603</v>
      </c>
      <c r="B374" s="2" t="s">
        <v>604</v>
      </c>
      <c r="C374" s="2" t="s">
        <v>11</v>
      </c>
      <c r="D374" s="2" t="s">
        <v>1172</v>
      </c>
      <c r="E374" s="2" t="s">
        <v>1159</v>
      </c>
      <c r="F374" s="2" t="s">
        <v>133</v>
      </c>
      <c r="G374" s="2" t="str">
        <f>VLOOKUP(F374,'Message Mapping'!A:L,3,FALSE)</f>
        <v>Transit;NORMAL;ATUADO;Error</v>
      </c>
      <c r="H374" s="2" t="str">
        <f>VLOOKUP(F374,'Message Mapping'!A:L,4,FALSE)</f>
        <v>0;1;2;3</v>
      </c>
      <c r="I374" s="2"/>
      <c r="J374" s="3" t="str">
        <f>VLOOKUP(F374,'Message Mapping'!A:L,12,FALSE)</f>
        <v>Severidade 3</v>
      </c>
      <c r="K374" s="3"/>
      <c r="L374" s="3"/>
      <c r="M374" s="3"/>
      <c r="N374" s="3"/>
      <c r="O374" s="3"/>
      <c r="P374" s="3"/>
    </row>
    <row r="375" spans="1:16" x14ac:dyDescent="0.25">
      <c r="A375" s="94" t="s">
        <v>605</v>
      </c>
      <c r="B375" s="2" t="s">
        <v>606</v>
      </c>
      <c r="C375" s="2" t="s">
        <v>11</v>
      </c>
      <c r="D375" s="2" t="s">
        <v>1172</v>
      </c>
      <c r="E375" s="2" t="s">
        <v>1159</v>
      </c>
      <c r="F375" s="2" t="s">
        <v>133</v>
      </c>
      <c r="G375" s="2" t="str">
        <f>VLOOKUP(F375,'Message Mapping'!A:L,3,FALSE)</f>
        <v>Transit;NORMAL;ATUADO;Error</v>
      </c>
      <c r="H375" s="2" t="str">
        <f>VLOOKUP(F375,'Message Mapping'!A:L,4,FALSE)</f>
        <v>0;1;2;3</v>
      </c>
      <c r="I375" s="2"/>
      <c r="J375" s="3" t="str">
        <f>VLOOKUP(F375,'Message Mapping'!A:L,12,FALSE)</f>
        <v>Severidade 3</v>
      </c>
      <c r="K375" s="3"/>
      <c r="L375" s="3"/>
      <c r="M375" s="3"/>
      <c r="N375" s="3"/>
      <c r="O375" s="3"/>
      <c r="P375" s="3"/>
    </row>
    <row r="376" spans="1:16" x14ac:dyDescent="0.25">
      <c r="A376" s="94" t="s">
        <v>607</v>
      </c>
      <c r="B376" s="2" t="s">
        <v>608</v>
      </c>
      <c r="C376" s="2" t="s">
        <v>11</v>
      </c>
      <c r="D376" s="2" t="s">
        <v>1172</v>
      </c>
      <c r="E376" s="2" t="s">
        <v>1159</v>
      </c>
      <c r="F376" s="2" t="s">
        <v>133</v>
      </c>
      <c r="G376" s="2" t="str">
        <f>VLOOKUP(F376,'Message Mapping'!A:L,3,FALSE)</f>
        <v>Transit;NORMAL;ATUADO;Error</v>
      </c>
      <c r="H376" s="2" t="str">
        <f>VLOOKUP(F376,'Message Mapping'!A:L,4,FALSE)</f>
        <v>0;1;2;3</v>
      </c>
      <c r="I376" s="2"/>
      <c r="J376" s="3" t="str">
        <f>VLOOKUP(F376,'Message Mapping'!A:L,12,FALSE)</f>
        <v>Severidade 3</v>
      </c>
      <c r="K376" s="3"/>
      <c r="L376" s="3"/>
      <c r="M376" s="3"/>
      <c r="N376" s="3"/>
      <c r="O376" s="3"/>
      <c r="P376" s="3"/>
    </row>
    <row r="377" spans="1:16" x14ac:dyDescent="0.25">
      <c r="A377" s="94" t="s">
        <v>609</v>
      </c>
      <c r="B377" s="2" t="s">
        <v>610</v>
      </c>
      <c r="C377" s="2" t="s">
        <v>11</v>
      </c>
      <c r="D377" s="2" t="s">
        <v>1172</v>
      </c>
      <c r="E377" s="2" t="s">
        <v>1159</v>
      </c>
      <c r="F377" s="2" t="s">
        <v>133</v>
      </c>
      <c r="G377" s="2" t="str">
        <f>VLOOKUP(F377,'Message Mapping'!A:L,3,FALSE)</f>
        <v>Transit;NORMAL;ATUADO;Error</v>
      </c>
      <c r="H377" s="2" t="str">
        <f>VLOOKUP(F377,'Message Mapping'!A:L,4,FALSE)</f>
        <v>0;1;2;3</v>
      </c>
      <c r="I377" s="2"/>
      <c r="J377" s="3" t="str">
        <f>VLOOKUP(F377,'Message Mapping'!A:L,12,FALSE)</f>
        <v>Severidade 3</v>
      </c>
      <c r="K377" s="3"/>
      <c r="L377" s="3"/>
      <c r="M377" s="3"/>
      <c r="N377" s="3"/>
      <c r="O377" s="3"/>
      <c r="P377" s="3"/>
    </row>
    <row r="378" spans="1:16" x14ac:dyDescent="0.25">
      <c r="A378" s="94" t="s">
        <v>611</v>
      </c>
      <c r="B378" s="2" t="s">
        <v>612</v>
      </c>
      <c r="C378" s="2" t="s">
        <v>11</v>
      </c>
      <c r="D378" s="2" t="s">
        <v>1172</v>
      </c>
      <c r="E378" s="2" t="s">
        <v>1159</v>
      </c>
      <c r="F378" s="2" t="s">
        <v>133</v>
      </c>
      <c r="G378" s="2" t="str">
        <f>VLOOKUP(F378,'Message Mapping'!A:L,3,FALSE)</f>
        <v>Transit;NORMAL;ATUADO;Error</v>
      </c>
      <c r="H378" s="2" t="str">
        <f>VLOOKUP(F378,'Message Mapping'!A:L,4,FALSE)</f>
        <v>0;1;2;3</v>
      </c>
      <c r="I378" s="2"/>
      <c r="J378" s="3" t="str">
        <f>VLOOKUP(F378,'Message Mapping'!A:L,12,FALSE)</f>
        <v>Severidade 3</v>
      </c>
      <c r="K378" s="3"/>
      <c r="L378" s="3"/>
      <c r="M378" s="3"/>
      <c r="N378" s="3"/>
      <c r="O378" s="3"/>
      <c r="P378" s="3"/>
    </row>
    <row r="379" spans="1:16" x14ac:dyDescent="0.25">
      <c r="A379" s="94" t="s">
        <v>613</v>
      </c>
      <c r="B379" s="2" t="s">
        <v>614</v>
      </c>
      <c r="C379" s="2" t="s">
        <v>11</v>
      </c>
      <c r="D379" s="2" t="s">
        <v>1234</v>
      </c>
      <c r="E379" s="2" t="s">
        <v>1159</v>
      </c>
      <c r="F379" s="2" t="s">
        <v>1185</v>
      </c>
      <c r="G379" s="2" t="str">
        <f>VLOOKUP(F379,'Message Mapping'!A:L,3,FALSE)</f>
        <v>Transit;FALHA;OPERANDO;Error</v>
      </c>
      <c r="H379" s="2" t="str">
        <f>VLOOKUP(F379,'Message Mapping'!A:L,4,FALSE)</f>
        <v>0;1;2;3</v>
      </c>
      <c r="I379" s="2"/>
      <c r="J379" s="3" t="str">
        <f>VLOOKUP(F379,'Message Mapping'!A:L,12,FALSE)</f>
        <v>Severidade 7</v>
      </c>
      <c r="K379" s="3"/>
      <c r="L379" s="3"/>
      <c r="M379" s="3"/>
      <c r="N379" s="3"/>
      <c r="O379" s="3"/>
      <c r="P379" s="3"/>
    </row>
    <row r="380" spans="1:16" x14ac:dyDescent="0.25">
      <c r="A380" s="94" t="s">
        <v>615</v>
      </c>
      <c r="B380" s="2" t="s">
        <v>616</v>
      </c>
      <c r="C380" s="2" t="s">
        <v>11</v>
      </c>
      <c r="D380" s="2" t="s">
        <v>35</v>
      </c>
      <c r="E380" s="2" t="s">
        <v>1159</v>
      </c>
      <c r="F380" s="2" t="s">
        <v>1186</v>
      </c>
      <c r="G380" s="2" t="str">
        <f>VLOOKUP(F380,'Message Mapping'!A:L,3,FALSE)</f>
        <v>Transit;AUTOMATICO;MANUAL;Error</v>
      </c>
      <c r="H380" s="2" t="str">
        <f>VLOOKUP(F380,'Message Mapping'!A:L,4,FALSE)</f>
        <v>0;1;2;3</v>
      </c>
      <c r="I380" s="2"/>
      <c r="J380" s="3" t="str">
        <f>VLOOKUP(F380,'Message Mapping'!A:L,12,FALSE)</f>
        <v>Severidade 8</v>
      </c>
      <c r="K380" s="3"/>
      <c r="L380" s="3"/>
      <c r="M380" s="3"/>
      <c r="N380" s="3"/>
      <c r="O380" s="3"/>
      <c r="P380" s="3"/>
    </row>
    <row r="381" spans="1:16" x14ac:dyDescent="0.25">
      <c r="A381" s="94" t="s">
        <v>618</v>
      </c>
      <c r="B381" s="2" t="s">
        <v>619</v>
      </c>
      <c r="C381" s="2" t="s">
        <v>11</v>
      </c>
      <c r="D381" s="2" t="s">
        <v>35</v>
      </c>
      <c r="E381" s="2" t="s">
        <v>1159</v>
      </c>
      <c r="F381" s="2" t="s">
        <v>452</v>
      </c>
      <c r="G381" s="2" t="str">
        <f>VLOOKUP(F381,'Message Mapping'!A:L,3,FALSE)</f>
        <v>Transit;DESATIVADO;ATIVADO;Error</v>
      </c>
      <c r="H381" s="2" t="str">
        <f>VLOOKUP(F381,'Message Mapping'!A:L,4,FALSE)</f>
        <v>0;1;2;3</v>
      </c>
      <c r="I381" s="2"/>
      <c r="J381" s="3" t="str">
        <f>VLOOKUP(F381,'Message Mapping'!A:L,12,FALSE)</f>
        <v>Severidade 8</v>
      </c>
      <c r="K381" s="3"/>
      <c r="L381" s="3"/>
      <c r="M381" s="3"/>
      <c r="N381" s="3"/>
      <c r="O381" s="3"/>
      <c r="P381" s="3"/>
    </row>
    <row r="382" spans="1:16" x14ac:dyDescent="0.25">
      <c r="A382" s="94" t="s">
        <v>620</v>
      </c>
      <c r="B382" s="2" t="s">
        <v>621</v>
      </c>
      <c r="C382" s="2" t="s">
        <v>11</v>
      </c>
      <c r="D382" s="2" t="s">
        <v>35</v>
      </c>
      <c r="E382" s="2" t="s">
        <v>1159</v>
      </c>
      <c r="F382" s="2" t="s">
        <v>452</v>
      </c>
      <c r="G382" s="2" t="str">
        <f>VLOOKUP(F382,'Message Mapping'!A:L,3,FALSE)</f>
        <v>Transit;DESATIVADO;ATIVADO;Error</v>
      </c>
      <c r="H382" s="2" t="str">
        <f>VLOOKUP(F382,'Message Mapping'!A:L,4,FALSE)</f>
        <v>0;1;2;3</v>
      </c>
      <c r="I382" s="2"/>
      <c r="J382" s="3" t="str">
        <f>VLOOKUP(F382,'Message Mapping'!A:L,12,FALSE)</f>
        <v>Severidade 8</v>
      </c>
      <c r="K382" s="3"/>
      <c r="L382" s="3"/>
      <c r="M382" s="3"/>
      <c r="N382" s="3"/>
      <c r="O382" s="3"/>
      <c r="P382" s="3"/>
    </row>
    <row r="383" spans="1:16" ht="25.5" x14ac:dyDescent="0.25">
      <c r="A383" s="94" t="s">
        <v>622</v>
      </c>
      <c r="B383" s="2" t="s">
        <v>1154</v>
      </c>
      <c r="C383" s="2" t="s">
        <v>451</v>
      </c>
      <c r="D383" s="2" t="s">
        <v>35</v>
      </c>
      <c r="E383" s="2" t="s">
        <v>1160</v>
      </c>
      <c r="F383" s="2" t="s">
        <v>1188</v>
      </c>
      <c r="G383" s="2" t="str">
        <f>VLOOKUP(F383,'Message Mapping'!A:L,3,FALSE)</f>
        <v>MESTRE;INDIVIDUAL;COMANDADO;</v>
      </c>
      <c r="H383" s="2" t="str">
        <f>VLOOKUP(F383,'Message Mapping'!A:L,4,FALSE)</f>
        <v>0;1;2;3</v>
      </c>
      <c r="I383" s="2"/>
      <c r="J383" s="3" t="str">
        <f>VLOOKUP(F383,'Message Mapping'!A:L,12,FALSE)</f>
        <v>Severidade 2</v>
      </c>
      <c r="K383" s="3"/>
      <c r="L383" s="3"/>
      <c r="M383" s="3"/>
      <c r="N383" s="3"/>
      <c r="O383" s="3"/>
      <c r="P383" s="3"/>
    </row>
    <row r="384" spans="1:16" x14ac:dyDescent="0.25">
      <c r="A384" s="94" t="s">
        <v>623</v>
      </c>
      <c r="B384" s="2" t="s">
        <v>624</v>
      </c>
      <c r="C384" s="2" t="s">
        <v>11</v>
      </c>
      <c r="D384" s="2" t="s">
        <v>35</v>
      </c>
      <c r="E384" s="2" t="s">
        <v>1159</v>
      </c>
      <c r="F384" s="2" t="s">
        <v>452</v>
      </c>
      <c r="G384" s="2" t="str">
        <f>VLOOKUP(F384,'Message Mapping'!A:L,3,FALSE)</f>
        <v>Transit;DESATIVADO;ATIVADO;Error</v>
      </c>
      <c r="H384" s="2" t="str">
        <f>VLOOKUP(F384,'Message Mapping'!A:L,4,FALSE)</f>
        <v>0;1;2;3</v>
      </c>
      <c r="I384" s="2"/>
      <c r="J384" s="3" t="str">
        <f>VLOOKUP(F384,'Message Mapping'!A:L,12,FALSE)</f>
        <v>Severidade 8</v>
      </c>
      <c r="K384" s="3"/>
      <c r="L384" s="3"/>
      <c r="M384" s="3"/>
      <c r="N384" s="3"/>
      <c r="O384" s="3"/>
      <c r="P384" s="3"/>
    </row>
    <row r="385" spans="1:16" x14ac:dyDescent="0.25">
      <c r="A385" s="94" t="s">
        <v>625</v>
      </c>
      <c r="B385" s="2" t="s">
        <v>626</v>
      </c>
      <c r="C385" s="2" t="s">
        <v>11</v>
      </c>
      <c r="D385" s="2" t="s">
        <v>35</v>
      </c>
      <c r="E385" s="2" t="s">
        <v>1159</v>
      </c>
      <c r="F385" s="2" t="s">
        <v>452</v>
      </c>
      <c r="G385" s="2" t="str">
        <f>VLOOKUP(F385,'Message Mapping'!A:L,3,FALSE)</f>
        <v>Transit;DESATIVADO;ATIVADO;Error</v>
      </c>
      <c r="H385" s="2" t="str">
        <f>VLOOKUP(F385,'Message Mapping'!A:L,4,FALSE)</f>
        <v>0;1;2;3</v>
      </c>
      <c r="I385" s="2"/>
      <c r="J385" s="3" t="str">
        <f>VLOOKUP(F385,'Message Mapping'!A:L,12,FALSE)</f>
        <v>Severidade 8</v>
      </c>
      <c r="K385" s="3"/>
      <c r="L385" s="3"/>
      <c r="M385" s="3"/>
      <c r="N385" s="3"/>
      <c r="O385" s="3"/>
      <c r="P385" s="3"/>
    </row>
    <row r="386" spans="1:16" x14ac:dyDescent="0.25">
      <c r="A386" s="94" t="s">
        <v>627</v>
      </c>
      <c r="B386" s="2" t="s">
        <v>628</v>
      </c>
      <c r="C386" s="2" t="s">
        <v>11</v>
      </c>
      <c r="D386" s="2" t="s">
        <v>123</v>
      </c>
      <c r="E386" s="2" t="s">
        <v>1159</v>
      </c>
      <c r="F386" s="2" t="s">
        <v>1189</v>
      </c>
      <c r="G386" s="2" t="str">
        <f>VLOOKUP(F386,'Message Mapping'!A:L,3,FALSE)</f>
        <v>Transit;NORMAL;DEFEITO;Error</v>
      </c>
      <c r="H386" s="2" t="str">
        <f>VLOOKUP(F386,'Message Mapping'!A:L,4,FALSE)</f>
        <v>0;1;2;3</v>
      </c>
      <c r="I386" s="2"/>
      <c r="J386" s="3" t="str">
        <f>VLOOKUP(F386,'Message Mapping'!A:L,12,FALSE)</f>
        <v>Severidade 5</v>
      </c>
      <c r="K386" s="3"/>
      <c r="L386" s="3"/>
      <c r="M386" s="3"/>
      <c r="N386" s="3"/>
      <c r="O386" s="3"/>
      <c r="P386" s="3"/>
    </row>
    <row r="387" spans="1:16" x14ac:dyDescent="0.25">
      <c r="A387" s="94" t="s">
        <v>629</v>
      </c>
      <c r="B387" s="2" t="s">
        <v>630</v>
      </c>
      <c r="C387" s="2" t="s">
        <v>11</v>
      </c>
      <c r="D387" s="2" t="s">
        <v>35</v>
      </c>
      <c r="E387" s="2" t="s">
        <v>1159</v>
      </c>
      <c r="F387" s="2" t="s">
        <v>1190</v>
      </c>
      <c r="G387" s="2" t="str">
        <f>VLOOKUP(F387,'Message Mapping'!A:L,3,FALSE)</f>
        <v>Transit;LIGADO;DESLIGADO;Error</v>
      </c>
      <c r="H387" s="2" t="str">
        <f>VLOOKUP(F387,'Message Mapping'!A:L,4,FALSE)</f>
        <v>0;1;2;3</v>
      </c>
      <c r="I387" s="2"/>
      <c r="J387" s="3" t="str">
        <f>VLOOKUP(F387,'Message Mapping'!A:L,12,FALSE)</f>
        <v>Severidade 8</v>
      </c>
      <c r="K387" s="3"/>
      <c r="L387" s="3"/>
      <c r="M387" s="3"/>
      <c r="N387" s="3"/>
      <c r="O387" s="3"/>
      <c r="P387" s="3"/>
    </row>
    <row r="388" spans="1:16" x14ac:dyDescent="0.25">
      <c r="A388" s="94" t="s">
        <v>631</v>
      </c>
      <c r="B388" s="2" t="s">
        <v>632</v>
      </c>
      <c r="C388" s="2" t="s">
        <v>11</v>
      </c>
      <c r="D388" s="2" t="s">
        <v>35</v>
      </c>
      <c r="E388" s="2" t="s">
        <v>1159</v>
      </c>
      <c r="F388" s="2" t="s">
        <v>1191</v>
      </c>
      <c r="G388" s="2" t="str">
        <f>VLOOKUP(F388,'Message Mapping'!A:L,3,FALSE)</f>
        <v>Transit;DESABILITOU;HABILITOU;Error</v>
      </c>
      <c r="H388" s="2" t="str">
        <f>VLOOKUP(F388,'Message Mapping'!A:L,4,FALSE)</f>
        <v>0;1;2;3</v>
      </c>
      <c r="I388" s="2"/>
      <c r="J388" s="3" t="str">
        <f>VLOOKUP(F388,'Message Mapping'!A:L,12,FALSE)</f>
        <v>Severidade 8</v>
      </c>
      <c r="K388" s="3"/>
      <c r="L388" s="3"/>
      <c r="M388" s="3"/>
      <c r="N388" s="3"/>
      <c r="O388" s="3"/>
      <c r="P388" s="3"/>
    </row>
    <row r="389" spans="1:16" x14ac:dyDescent="0.25">
      <c r="A389" s="94" t="s">
        <v>633</v>
      </c>
      <c r="B389" s="2" t="s">
        <v>634</v>
      </c>
      <c r="C389" s="2" t="s">
        <v>11</v>
      </c>
      <c r="D389" s="2" t="s">
        <v>35</v>
      </c>
      <c r="E389" s="2" t="s">
        <v>1159</v>
      </c>
      <c r="F389" s="2" t="s">
        <v>1191</v>
      </c>
      <c r="G389" s="2" t="str">
        <f>VLOOKUP(F389,'Message Mapping'!A:L,3,FALSE)</f>
        <v>Transit;DESABILITOU;HABILITOU;Error</v>
      </c>
      <c r="H389" s="2" t="str">
        <f>VLOOKUP(F389,'Message Mapping'!A:L,4,FALSE)</f>
        <v>0;1;2;3</v>
      </c>
      <c r="I389" s="2"/>
      <c r="J389" s="3" t="str">
        <f>VLOOKUP(F389,'Message Mapping'!A:L,12,FALSE)</f>
        <v>Severidade 8</v>
      </c>
      <c r="K389" s="3"/>
      <c r="L389" s="3"/>
      <c r="M389" s="3"/>
      <c r="N389" s="3"/>
      <c r="O389" s="3"/>
      <c r="P389" s="3"/>
    </row>
    <row r="390" spans="1:16" x14ac:dyDescent="0.25">
      <c r="A390" s="94" t="s">
        <v>635</v>
      </c>
      <c r="B390" s="2" t="s">
        <v>636</v>
      </c>
      <c r="C390" s="2" t="s">
        <v>11</v>
      </c>
      <c r="D390" s="2" t="s">
        <v>35</v>
      </c>
      <c r="E390" s="2" t="s">
        <v>1159</v>
      </c>
      <c r="F390" s="2" t="s">
        <v>1191</v>
      </c>
      <c r="G390" s="2" t="str">
        <f>VLOOKUP(F390,'Message Mapping'!A:L,3,FALSE)</f>
        <v>Transit;DESABILITOU;HABILITOU;Error</v>
      </c>
      <c r="H390" s="2" t="str">
        <f>VLOOKUP(F390,'Message Mapping'!A:L,4,FALSE)</f>
        <v>0;1;2;3</v>
      </c>
      <c r="I390" s="2"/>
      <c r="J390" s="3" t="str">
        <f>VLOOKUP(F390,'Message Mapping'!A:L,12,FALSE)</f>
        <v>Severidade 8</v>
      </c>
      <c r="K390" s="3"/>
      <c r="L390" s="3"/>
      <c r="M390" s="3"/>
      <c r="N390" s="3"/>
      <c r="O390" s="3"/>
      <c r="P390" s="3"/>
    </row>
    <row r="391" spans="1:16" x14ac:dyDescent="0.25">
      <c r="A391" s="94" t="s">
        <v>637</v>
      </c>
      <c r="B391" s="2" t="s">
        <v>600</v>
      </c>
      <c r="C391" s="2" t="s">
        <v>11</v>
      </c>
      <c r="D391" s="2" t="s">
        <v>1172</v>
      </c>
      <c r="E391" s="2" t="s">
        <v>1159</v>
      </c>
      <c r="F391" s="2" t="s">
        <v>133</v>
      </c>
      <c r="G391" s="2" t="str">
        <f>VLOOKUP(F391,'Message Mapping'!A:L,3,FALSE)</f>
        <v>Transit;NORMAL;ATUADO;Error</v>
      </c>
      <c r="H391" s="2" t="str">
        <f>VLOOKUP(F391,'Message Mapping'!A:L,4,FALSE)</f>
        <v>0;1;2;3</v>
      </c>
      <c r="I391" s="2"/>
      <c r="J391" s="3" t="str">
        <f>VLOOKUP(F391,'Message Mapping'!A:L,12,FALSE)</f>
        <v>Severidade 3</v>
      </c>
      <c r="K391" s="3"/>
      <c r="L391" s="3"/>
      <c r="M391" s="3"/>
      <c r="N391" s="3"/>
      <c r="O391" s="3"/>
      <c r="P391" s="3"/>
    </row>
    <row r="392" spans="1:16" x14ac:dyDescent="0.25">
      <c r="A392" s="94" t="s">
        <v>638</v>
      </c>
      <c r="B392" s="2" t="s">
        <v>639</v>
      </c>
      <c r="C392" s="2" t="s">
        <v>11</v>
      </c>
      <c r="D392" s="2" t="s">
        <v>1172</v>
      </c>
      <c r="E392" s="2" t="s">
        <v>1159</v>
      </c>
      <c r="F392" s="2" t="s">
        <v>133</v>
      </c>
      <c r="G392" s="2" t="str">
        <f>VLOOKUP(F392,'Message Mapping'!A:L,3,FALSE)</f>
        <v>Transit;NORMAL;ATUADO;Error</v>
      </c>
      <c r="H392" s="2" t="str">
        <f>VLOOKUP(F392,'Message Mapping'!A:L,4,FALSE)</f>
        <v>0;1;2;3</v>
      </c>
      <c r="I392" s="2"/>
      <c r="J392" s="3" t="str">
        <f>VLOOKUP(F392,'Message Mapping'!A:L,12,FALSE)</f>
        <v>Severidade 3</v>
      </c>
      <c r="K392" s="3"/>
      <c r="L392" s="3"/>
      <c r="M392" s="3"/>
      <c r="N392" s="3"/>
      <c r="O392" s="3"/>
      <c r="P392" s="3"/>
    </row>
    <row r="393" spans="1:16" x14ac:dyDescent="0.25">
      <c r="A393" s="94" t="s">
        <v>640</v>
      </c>
      <c r="B393" s="2" t="s">
        <v>641</v>
      </c>
      <c r="C393" s="2" t="s">
        <v>11</v>
      </c>
      <c r="D393" s="2" t="s">
        <v>1172</v>
      </c>
      <c r="E393" s="2" t="s">
        <v>1159</v>
      </c>
      <c r="F393" s="2" t="s">
        <v>133</v>
      </c>
      <c r="G393" s="2" t="str">
        <f>VLOOKUP(F393,'Message Mapping'!A:L,3,FALSE)</f>
        <v>Transit;NORMAL;ATUADO;Error</v>
      </c>
      <c r="H393" s="2" t="str">
        <f>VLOOKUP(F393,'Message Mapping'!A:L,4,FALSE)</f>
        <v>0;1;2;3</v>
      </c>
      <c r="I393" s="2"/>
      <c r="J393" s="3" t="str">
        <f>VLOOKUP(F393,'Message Mapping'!A:L,12,FALSE)</f>
        <v>Severidade 3</v>
      </c>
      <c r="K393" s="3"/>
      <c r="L393" s="3"/>
      <c r="M393" s="3"/>
      <c r="N393" s="3"/>
      <c r="O393" s="3"/>
      <c r="P393" s="3"/>
    </row>
    <row r="394" spans="1:16" x14ac:dyDescent="0.25">
      <c r="A394" s="94" t="s">
        <v>642</v>
      </c>
      <c r="B394" s="2" t="s">
        <v>643</v>
      </c>
      <c r="C394" s="2" t="s">
        <v>11</v>
      </c>
      <c r="D394" s="2" t="s">
        <v>1172</v>
      </c>
      <c r="E394" s="2" t="s">
        <v>1159</v>
      </c>
      <c r="F394" s="2" t="s">
        <v>133</v>
      </c>
      <c r="G394" s="2" t="str">
        <f>VLOOKUP(F394,'Message Mapping'!A:L,3,FALSE)</f>
        <v>Transit;NORMAL;ATUADO;Error</v>
      </c>
      <c r="H394" s="2" t="str">
        <f>VLOOKUP(F394,'Message Mapping'!A:L,4,FALSE)</f>
        <v>0;1;2;3</v>
      </c>
      <c r="I394" s="2"/>
      <c r="J394" s="3" t="str">
        <f>VLOOKUP(F394,'Message Mapping'!A:L,12,FALSE)</f>
        <v>Severidade 3</v>
      </c>
      <c r="K394" s="3"/>
      <c r="L394" s="3"/>
      <c r="M394" s="3"/>
      <c r="N394" s="3"/>
      <c r="O394" s="3"/>
      <c r="P394" s="3"/>
    </row>
    <row r="395" spans="1:16" x14ac:dyDescent="0.25">
      <c r="A395" s="94" t="s">
        <v>644</v>
      </c>
      <c r="B395" s="5" t="s">
        <v>645</v>
      </c>
      <c r="C395" s="2" t="s">
        <v>11</v>
      </c>
      <c r="D395" s="2" t="s">
        <v>35</v>
      </c>
      <c r="E395" s="2" t="s">
        <v>1159</v>
      </c>
      <c r="F395" s="2" t="s">
        <v>115</v>
      </c>
      <c r="G395" s="2" t="str">
        <f>VLOOKUP(F395,'Message Mapping'!A:L,3,FALSE)</f>
        <v>Transit;REMOTO;LOCAL;Error</v>
      </c>
      <c r="H395" s="2" t="str">
        <f>VLOOKUP(F395,'Message Mapping'!A:L,4,FALSE)</f>
        <v>0;1;2;3</v>
      </c>
      <c r="I395" s="2"/>
      <c r="J395" s="3" t="str">
        <f>VLOOKUP(F395,'Message Mapping'!A:L,12,FALSE)</f>
        <v>Severidade 8</v>
      </c>
      <c r="K395" s="3"/>
      <c r="L395" s="3"/>
      <c r="M395" s="3"/>
      <c r="N395" s="3"/>
      <c r="O395" s="3"/>
      <c r="P395" s="3"/>
    </row>
    <row r="396" spans="1:16" x14ac:dyDescent="0.25">
      <c r="A396" s="94" t="s">
        <v>644</v>
      </c>
      <c r="B396" s="5" t="s">
        <v>645</v>
      </c>
      <c r="C396" s="2" t="s">
        <v>11</v>
      </c>
      <c r="D396" s="2" t="s">
        <v>35</v>
      </c>
      <c r="E396" s="2" t="s">
        <v>1160</v>
      </c>
      <c r="F396" s="2" t="s">
        <v>1204</v>
      </c>
      <c r="G396" s="2" t="str">
        <f>VLOOKUP(F396,'Message Mapping'!A:L,3,FALSE)</f>
        <v>Transit;REMOTO;LOCAL;Error</v>
      </c>
      <c r="H396" s="2" t="str">
        <f>VLOOKUP(F396,'Message Mapping'!A:L,4,FALSE)</f>
        <v>0;1;2;3</v>
      </c>
      <c r="I396" s="2"/>
      <c r="J396" s="3" t="str">
        <f>VLOOKUP(F396,'Message Mapping'!A:L,12,FALSE)</f>
        <v>Severidade 8</v>
      </c>
      <c r="K396" s="3"/>
      <c r="L396" s="3"/>
      <c r="M396" s="3"/>
      <c r="N396" s="3"/>
      <c r="O396" s="3"/>
      <c r="P396" s="3"/>
    </row>
    <row r="397" spans="1:16" x14ac:dyDescent="0.25">
      <c r="A397" s="94" t="s">
        <v>646</v>
      </c>
      <c r="B397" s="2" t="s">
        <v>647</v>
      </c>
      <c r="C397" s="2" t="s">
        <v>11</v>
      </c>
      <c r="D397" s="2" t="s">
        <v>12</v>
      </c>
      <c r="E397" s="2" t="s">
        <v>1159</v>
      </c>
      <c r="F397" s="2" t="s">
        <v>13</v>
      </c>
      <c r="G397" s="2" t="str">
        <f>VLOOKUP(F397,'Message Mapping'!A:L,3,FALSE)</f>
        <v>Transit;NORMAL;ATUADO;Error</v>
      </c>
      <c r="H397" s="2" t="str">
        <f>VLOOKUP(F397,'Message Mapping'!A:L,4,FALSE)</f>
        <v>0;1;2;3</v>
      </c>
      <c r="I397" s="2"/>
      <c r="J397" s="3" t="str">
        <f>VLOOKUP(F397,'Message Mapping'!A:L,12,FALSE)</f>
        <v>Severidade 4</v>
      </c>
      <c r="K397" s="3"/>
      <c r="L397" s="3"/>
      <c r="M397" s="3"/>
      <c r="N397" s="3"/>
      <c r="O397" s="3"/>
      <c r="P397" s="3"/>
    </row>
    <row r="398" spans="1:16" x14ac:dyDescent="0.25">
      <c r="A398" s="94" t="s">
        <v>617</v>
      </c>
      <c r="B398" s="2" t="s">
        <v>648</v>
      </c>
      <c r="C398" s="2" t="s">
        <v>649</v>
      </c>
      <c r="D398" s="2" t="s">
        <v>35</v>
      </c>
      <c r="E398" s="2" t="s">
        <v>1164</v>
      </c>
      <c r="F398" s="2" t="s">
        <v>1192</v>
      </c>
      <c r="G398" s="2" t="str">
        <f>VLOOKUP(F398,'Message Mapping'!A:L,3,FALSE)</f>
        <v>Transit;;;Error</v>
      </c>
      <c r="H398" s="2" t="str">
        <f>VLOOKUP(F398,'Message Mapping'!A:L,4,FALSE)</f>
        <v>0;2;1;3</v>
      </c>
      <c r="I398" s="2"/>
      <c r="J398" s="3" t="str">
        <f>VLOOKUP(F398,'Message Mapping'!A:L,12,FALSE)</f>
        <v>Severidade 8</v>
      </c>
      <c r="K398" s="3"/>
      <c r="L398" s="3"/>
      <c r="M398" s="3"/>
      <c r="N398" s="3"/>
      <c r="O398" s="3"/>
      <c r="P398" s="3"/>
    </row>
    <row r="399" spans="1:16" x14ac:dyDescent="0.25">
      <c r="A399" s="94" t="s">
        <v>651</v>
      </c>
      <c r="B399" s="2" t="s">
        <v>652</v>
      </c>
      <c r="C399" s="2" t="s">
        <v>11</v>
      </c>
      <c r="D399" s="2" t="s">
        <v>1234</v>
      </c>
      <c r="E399" s="2" t="s">
        <v>1159</v>
      </c>
      <c r="F399" s="2" t="s">
        <v>1195</v>
      </c>
      <c r="G399" s="2" t="str">
        <f>VLOOKUP(F399,'Message Mapping'!A:L,3,FALSE)</f>
        <v>Transit;NORMAL;DEFEITO;Error</v>
      </c>
      <c r="H399" s="2" t="str">
        <f>VLOOKUP(F399,'Message Mapping'!A:L,4,FALSE)</f>
        <v>0;1;2;3</v>
      </c>
      <c r="I399" s="2"/>
      <c r="J399" s="3" t="str">
        <f>VLOOKUP(F399,'Message Mapping'!A:L,12,FALSE)</f>
        <v>Severidade 7</v>
      </c>
      <c r="K399" s="3"/>
      <c r="L399" s="3"/>
      <c r="M399" s="3"/>
      <c r="N399" s="3"/>
      <c r="O399" s="3"/>
      <c r="P399" s="3"/>
    </row>
    <row r="400" spans="1:16" x14ac:dyDescent="0.25">
      <c r="A400" s="94" t="s">
        <v>653</v>
      </c>
      <c r="B400" s="2" t="s">
        <v>654</v>
      </c>
      <c r="C400" s="2" t="s">
        <v>11</v>
      </c>
      <c r="D400" s="2" t="s">
        <v>1234</v>
      </c>
      <c r="E400" s="2" t="s">
        <v>1159</v>
      </c>
      <c r="F400" s="2" t="s">
        <v>1195</v>
      </c>
      <c r="G400" s="2" t="str">
        <f>VLOOKUP(F400,'Message Mapping'!A:L,3,FALSE)</f>
        <v>Transit;NORMAL;DEFEITO;Error</v>
      </c>
      <c r="H400" s="2" t="str">
        <f>VLOOKUP(F400,'Message Mapping'!A:L,4,FALSE)</f>
        <v>0;1;2;3</v>
      </c>
      <c r="I400" s="2"/>
      <c r="J400" s="3" t="str">
        <f>VLOOKUP(F400,'Message Mapping'!A:L,12,FALSE)</f>
        <v>Severidade 7</v>
      </c>
      <c r="K400" s="3"/>
      <c r="L400" s="3"/>
      <c r="M400" s="3"/>
      <c r="N400" s="3"/>
      <c r="O400" s="3"/>
      <c r="P400" s="3"/>
    </row>
    <row r="401" spans="1:16" x14ac:dyDescent="0.25">
      <c r="A401" s="94" t="s">
        <v>655</v>
      </c>
      <c r="B401" s="2" t="s">
        <v>656</v>
      </c>
      <c r="C401" s="2" t="s">
        <v>11</v>
      </c>
      <c r="D401" s="2" t="s">
        <v>1234</v>
      </c>
      <c r="E401" s="2" t="s">
        <v>1159</v>
      </c>
      <c r="F401" s="2" t="s">
        <v>1195</v>
      </c>
      <c r="G401" s="2" t="str">
        <f>VLOOKUP(F401,'Message Mapping'!A:L,3,FALSE)</f>
        <v>Transit;NORMAL;DEFEITO;Error</v>
      </c>
      <c r="H401" s="2" t="str">
        <f>VLOOKUP(F401,'Message Mapping'!A:L,4,FALSE)</f>
        <v>0;1;2;3</v>
      </c>
      <c r="I401" s="2"/>
      <c r="J401" s="3" t="str">
        <f>VLOOKUP(F401,'Message Mapping'!A:L,12,FALSE)</f>
        <v>Severidade 7</v>
      </c>
      <c r="K401" s="3" t="s">
        <v>1225</v>
      </c>
      <c r="L401" s="3"/>
      <c r="M401" s="3"/>
      <c r="N401" s="3"/>
      <c r="O401" s="3"/>
      <c r="P401" s="3"/>
    </row>
    <row r="402" spans="1:16" x14ac:dyDescent="0.25">
      <c r="A402" s="94" t="s">
        <v>657</v>
      </c>
      <c r="B402" s="2" t="s">
        <v>658</v>
      </c>
      <c r="C402" s="2" t="s">
        <v>11</v>
      </c>
      <c r="D402" s="2" t="s">
        <v>1234</v>
      </c>
      <c r="E402" s="2" t="s">
        <v>1159</v>
      </c>
      <c r="F402" s="2" t="s">
        <v>1195</v>
      </c>
      <c r="G402" s="2" t="str">
        <f>VLOOKUP(F402,'Message Mapping'!A:L,3,FALSE)</f>
        <v>Transit;NORMAL;DEFEITO;Error</v>
      </c>
      <c r="H402" s="2" t="str">
        <f>VLOOKUP(F402,'Message Mapping'!A:L,4,FALSE)</f>
        <v>0;1;2;3</v>
      </c>
      <c r="I402" s="2"/>
      <c r="J402" s="3" t="str">
        <f>VLOOKUP(F402,'Message Mapping'!A:L,12,FALSE)</f>
        <v>Severidade 7</v>
      </c>
      <c r="K402" s="3"/>
      <c r="L402" s="3"/>
      <c r="M402" s="3"/>
      <c r="N402" s="3"/>
      <c r="O402" s="3"/>
      <c r="P402" s="3"/>
    </row>
    <row r="403" spans="1:16" x14ac:dyDescent="0.25">
      <c r="A403" s="94" t="s">
        <v>659</v>
      </c>
      <c r="B403" s="2" t="s">
        <v>660</v>
      </c>
      <c r="C403" s="2" t="s">
        <v>11</v>
      </c>
      <c r="D403" s="2" t="s">
        <v>1234</v>
      </c>
      <c r="E403" s="2" t="s">
        <v>1159</v>
      </c>
      <c r="F403" s="2" t="s">
        <v>1195</v>
      </c>
      <c r="G403" s="2" t="str">
        <f>VLOOKUP(F403,'Message Mapping'!A:L,3,FALSE)</f>
        <v>Transit;NORMAL;DEFEITO;Error</v>
      </c>
      <c r="H403" s="2" t="str">
        <f>VLOOKUP(F403,'Message Mapping'!A:L,4,FALSE)</f>
        <v>0;1;2;3</v>
      </c>
      <c r="I403" s="2"/>
      <c r="J403" s="3" t="str">
        <f>VLOOKUP(F403,'Message Mapping'!A:L,12,FALSE)</f>
        <v>Severidade 7</v>
      </c>
      <c r="K403" s="3"/>
      <c r="L403" s="3"/>
      <c r="M403" s="3"/>
      <c r="N403" s="3"/>
      <c r="O403" s="3"/>
      <c r="P403" s="3"/>
    </row>
    <row r="404" spans="1:16" x14ac:dyDescent="0.25">
      <c r="A404" s="94" t="s">
        <v>661</v>
      </c>
      <c r="B404" s="2" t="s">
        <v>662</v>
      </c>
      <c r="C404" s="2" t="s">
        <v>11</v>
      </c>
      <c r="D404" s="2" t="s">
        <v>1234</v>
      </c>
      <c r="E404" s="2" t="s">
        <v>1159</v>
      </c>
      <c r="F404" s="2" t="s">
        <v>1195</v>
      </c>
      <c r="G404" s="2" t="str">
        <f>VLOOKUP(F404,'Message Mapping'!A:L,3,FALSE)</f>
        <v>Transit;NORMAL;DEFEITO;Error</v>
      </c>
      <c r="H404" s="2" t="str">
        <f>VLOOKUP(F404,'Message Mapping'!A:L,4,FALSE)</f>
        <v>0;1;2;3</v>
      </c>
      <c r="I404" s="2"/>
      <c r="J404" s="3" t="str">
        <f>VLOOKUP(F404,'Message Mapping'!A:L,12,FALSE)</f>
        <v>Severidade 7</v>
      </c>
      <c r="K404" s="3"/>
      <c r="L404" s="3"/>
      <c r="M404" s="3"/>
      <c r="N404" s="3"/>
      <c r="O404" s="3"/>
      <c r="P404" s="3"/>
    </row>
    <row r="405" spans="1:16" x14ac:dyDescent="0.25">
      <c r="A405" s="94" t="s">
        <v>663</v>
      </c>
      <c r="B405" s="2" t="s">
        <v>664</v>
      </c>
      <c r="C405" s="2" t="s">
        <v>11</v>
      </c>
      <c r="D405" s="2" t="s">
        <v>1234</v>
      </c>
      <c r="E405" s="2" t="s">
        <v>1159</v>
      </c>
      <c r="F405" s="2" t="s">
        <v>1195</v>
      </c>
      <c r="G405" s="2" t="str">
        <f>VLOOKUP(F405,'Message Mapping'!A:L,3,FALSE)</f>
        <v>Transit;NORMAL;DEFEITO;Error</v>
      </c>
      <c r="H405" s="2" t="str">
        <f>VLOOKUP(F405,'Message Mapping'!A:L,4,FALSE)</f>
        <v>0;1;2;3</v>
      </c>
      <c r="I405" s="2"/>
      <c r="J405" s="3" t="str">
        <f>VLOOKUP(F405,'Message Mapping'!A:L,12,FALSE)</f>
        <v>Severidade 7</v>
      </c>
      <c r="K405" s="3"/>
      <c r="L405" s="3"/>
      <c r="M405" s="3"/>
      <c r="N405" s="3"/>
      <c r="O405" s="3"/>
      <c r="P405" s="3"/>
    </row>
    <row r="406" spans="1:16" x14ac:dyDescent="0.25">
      <c r="A406" s="94" t="s">
        <v>665</v>
      </c>
      <c r="B406" s="2" t="s">
        <v>666</v>
      </c>
      <c r="C406" s="2" t="s">
        <v>11</v>
      </c>
      <c r="D406" s="2" t="s">
        <v>1234</v>
      </c>
      <c r="E406" s="2" t="s">
        <v>1159</v>
      </c>
      <c r="F406" s="2" t="s">
        <v>1195</v>
      </c>
      <c r="G406" s="2" t="str">
        <f>VLOOKUP(F406,'Message Mapping'!A:L,3,FALSE)</f>
        <v>Transit;NORMAL;DEFEITO;Error</v>
      </c>
      <c r="H406" s="2" t="str">
        <f>VLOOKUP(F406,'Message Mapping'!A:L,4,FALSE)</f>
        <v>0;1;2;3</v>
      </c>
      <c r="I406" s="2"/>
      <c r="J406" s="3" t="str">
        <f>VLOOKUP(F406,'Message Mapping'!A:L,12,FALSE)</f>
        <v>Severidade 7</v>
      </c>
      <c r="K406" s="3"/>
      <c r="L406" s="3"/>
      <c r="M406" s="3"/>
      <c r="N406" s="3"/>
      <c r="O406" s="3"/>
      <c r="P406" s="3"/>
    </row>
    <row r="407" spans="1:16" x14ac:dyDescent="0.25">
      <c r="A407" s="94" t="s">
        <v>667</v>
      </c>
      <c r="B407" s="2" t="s">
        <v>668</v>
      </c>
      <c r="C407" s="2" t="s">
        <v>11</v>
      </c>
      <c r="D407" s="2" t="s">
        <v>1234</v>
      </c>
      <c r="E407" s="2" t="s">
        <v>1159</v>
      </c>
      <c r="F407" s="2" t="s">
        <v>1195</v>
      </c>
      <c r="G407" s="2" t="str">
        <f>VLOOKUP(F407,'Message Mapping'!A:L,3,FALSE)</f>
        <v>Transit;NORMAL;DEFEITO;Error</v>
      </c>
      <c r="H407" s="2" t="str">
        <f>VLOOKUP(F407,'Message Mapping'!A:L,4,FALSE)</f>
        <v>0;1;2;3</v>
      </c>
      <c r="I407" s="2"/>
      <c r="J407" s="3" t="str">
        <f>VLOOKUP(F407,'Message Mapping'!A:L,12,FALSE)</f>
        <v>Severidade 7</v>
      </c>
      <c r="K407" s="3"/>
      <c r="L407" s="3"/>
      <c r="M407" s="3"/>
      <c r="N407" s="3"/>
      <c r="O407" s="3"/>
      <c r="P407" s="3"/>
    </row>
    <row r="408" spans="1:16" x14ac:dyDescent="0.25">
      <c r="A408" s="94" t="s">
        <v>498</v>
      </c>
      <c r="B408" s="2" t="s">
        <v>499</v>
      </c>
      <c r="C408" s="2" t="s">
        <v>11</v>
      </c>
      <c r="D408" s="2" t="s">
        <v>1234</v>
      </c>
      <c r="E408" s="2" t="s">
        <v>1159</v>
      </c>
      <c r="F408" s="2" t="s">
        <v>1195</v>
      </c>
      <c r="G408" s="2" t="str">
        <f>VLOOKUP(F408,'Message Mapping'!A:L,3,FALSE)</f>
        <v>Transit;NORMAL;DEFEITO;Error</v>
      </c>
      <c r="H408" s="2" t="str">
        <f>VLOOKUP(F408,'Message Mapping'!A:L,4,FALSE)</f>
        <v>0;1;2;3</v>
      </c>
      <c r="I408" s="2"/>
      <c r="J408" s="3" t="str">
        <f>VLOOKUP(F408,'Message Mapping'!A:L,12,FALSE)</f>
        <v>Severidade 7</v>
      </c>
      <c r="K408" s="3"/>
      <c r="L408" s="3"/>
      <c r="M408" s="3"/>
      <c r="N408" s="3"/>
      <c r="O408" s="3"/>
      <c r="P408" s="3"/>
    </row>
    <row r="409" spans="1:16" x14ac:dyDescent="0.25">
      <c r="A409" s="94" t="s">
        <v>670</v>
      </c>
      <c r="B409" s="2" t="s">
        <v>671</v>
      </c>
      <c r="C409" s="2" t="s">
        <v>11</v>
      </c>
      <c r="D409" s="2" t="s">
        <v>1234</v>
      </c>
      <c r="E409" s="2" t="s">
        <v>1159</v>
      </c>
      <c r="F409" s="2" t="s">
        <v>1195</v>
      </c>
      <c r="G409" s="2" t="str">
        <f>VLOOKUP(F409,'Message Mapping'!A:L,3,FALSE)</f>
        <v>Transit;NORMAL;DEFEITO;Error</v>
      </c>
      <c r="H409" s="2" t="str">
        <f>VLOOKUP(F409,'Message Mapping'!A:L,4,FALSE)</f>
        <v>0;1;2;3</v>
      </c>
      <c r="I409" s="2"/>
      <c r="J409" s="3" t="str">
        <f>VLOOKUP(F409,'Message Mapping'!A:L,12,FALSE)</f>
        <v>Severidade 7</v>
      </c>
      <c r="K409" s="3"/>
      <c r="L409" s="3"/>
      <c r="M409" s="3"/>
      <c r="N409" s="3"/>
      <c r="O409" s="3"/>
      <c r="P409" s="3"/>
    </row>
    <row r="410" spans="1:16" x14ac:dyDescent="0.25">
      <c r="A410" s="94" t="s">
        <v>672</v>
      </c>
      <c r="B410" s="2" t="s">
        <v>673</v>
      </c>
      <c r="C410" s="2" t="s">
        <v>11</v>
      </c>
      <c r="D410" s="2" t="s">
        <v>1234</v>
      </c>
      <c r="E410" s="2" t="s">
        <v>1159</v>
      </c>
      <c r="F410" s="2" t="s">
        <v>1195</v>
      </c>
      <c r="G410" s="2" t="str">
        <f>VLOOKUP(F410,'Message Mapping'!A:L,3,FALSE)</f>
        <v>Transit;NORMAL;DEFEITO;Error</v>
      </c>
      <c r="H410" s="2" t="str">
        <f>VLOOKUP(F410,'Message Mapping'!A:L,4,FALSE)</f>
        <v>0;1;2;3</v>
      </c>
      <c r="I410" s="2"/>
      <c r="J410" s="3" t="str">
        <f>VLOOKUP(F410,'Message Mapping'!A:L,12,FALSE)</f>
        <v>Severidade 7</v>
      </c>
      <c r="K410" s="3"/>
      <c r="L410" s="3"/>
      <c r="M410" s="3"/>
      <c r="N410" s="3"/>
      <c r="O410" s="3"/>
      <c r="P410" s="3"/>
    </row>
    <row r="411" spans="1:16" x14ac:dyDescent="0.25">
      <c r="A411" s="94" t="s">
        <v>674</v>
      </c>
      <c r="B411" s="2" t="s">
        <v>675</v>
      </c>
      <c r="C411" s="2" t="s">
        <v>11</v>
      </c>
      <c r="D411" s="2" t="s">
        <v>1234</v>
      </c>
      <c r="E411" s="2" t="s">
        <v>1159</v>
      </c>
      <c r="F411" s="2" t="s">
        <v>1195</v>
      </c>
      <c r="G411" s="2" t="str">
        <f>VLOOKUP(F411,'Message Mapping'!A:L,3,FALSE)</f>
        <v>Transit;NORMAL;DEFEITO;Error</v>
      </c>
      <c r="H411" s="2" t="str">
        <f>VLOOKUP(F411,'Message Mapping'!A:L,4,FALSE)</f>
        <v>0;1;2;3</v>
      </c>
      <c r="I411" s="2"/>
      <c r="J411" s="3" t="str">
        <f>VLOOKUP(F411,'Message Mapping'!A:L,12,FALSE)</f>
        <v>Severidade 7</v>
      </c>
      <c r="K411" s="3"/>
      <c r="L411" s="3"/>
      <c r="M411" s="3"/>
      <c r="N411" s="3"/>
      <c r="O411" s="3"/>
      <c r="P411" s="3"/>
    </row>
    <row r="412" spans="1:16" x14ac:dyDescent="0.25">
      <c r="A412" s="94" t="s">
        <v>676</v>
      </c>
      <c r="B412" s="2" t="s">
        <v>677</v>
      </c>
      <c r="C412" s="2" t="s">
        <v>11</v>
      </c>
      <c r="D412" s="2" t="s">
        <v>1234</v>
      </c>
      <c r="E412" s="2" t="s">
        <v>1159</v>
      </c>
      <c r="F412" s="2" t="s">
        <v>1195</v>
      </c>
      <c r="G412" s="2" t="str">
        <f>VLOOKUP(F412,'Message Mapping'!A:L,3,FALSE)</f>
        <v>Transit;NORMAL;DEFEITO;Error</v>
      </c>
      <c r="H412" s="2" t="str">
        <f>VLOOKUP(F412,'Message Mapping'!A:L,4,FALSE)</f>
        <v>0;1;2;3</v>
      </c>
      <c r="I412" s="2"/>
      <c r="J412" s="3" t="str">
        <f>VLOOKUP(F412,'Message Mapping'!A:L,12,FALSE)</f>
        <v>Severidade 7</v>
      </c>
      <c r="K412" s="3"/>
      <c r="L412" s="3"/>
      <c r="M412" s="3"/>
      <c r="N412" s="3"/>
      <c r="O412" s="3"/>
      <c r="P412" s="3"/>
    </row>
    <row r="413" spans="1:16" x14ac:dyDescent="0.25">
      <c r="A413" s="94" t="s">
        <v>678</v>
      </c>
      <c r="B413" s="2" t="s">
        <v>679</v>
      </c>
      <c r="C413" s="2" t="s">
        <v>11</v>
      </c>
      <c r="D413" s="2" t="s">
        <v>1234</v>
      </c>
      <c r="E413" s="2" t="s">
        <v>1159</v>
      </c>
      <c r="F413" s="2" t="s">
        <v>1195</v>
      </c>
      <c r="G413" s="2" t="str">
        <f>VLOOKUP(F413,'Message Mapping'!A:L,3,FALSE)</f>
        <v>Transit;NORMAL;DEFEITO;Error</v>
      </c>
      <c r="H413" s="2" t="str">
        <f>VLOOKUP(F413,'Message Mapping'!A:L,4,FALSE)</f>
        <v>0;1;2;3</v>
      </c>
      <c r="I413" s="2"/>
      <c r="J413" s="3" t="str">
        <f>VLOOKUP(F413,'Message Mapping'!A:L,12,FALSE)</f>
        <v>Severidade 7</v>
      </c>
      <c r="K413" s="3"/>
      <c r="L413" s="3"/>
      <c r="M413" s="3"/>
      <c r="N413" s="3"/>
      <c r="O413" s="3"/>
      <c r="P413" s="3"/>
    </row>
    <row r="414" spans="1:16" x14ac:dyDescent="0.25">
      <c r="A414" s="94" t="s">
        <v>680</v>
      </c>
      <c r="B414" s="2" t="s">
        <v>681</v>
      </c>
      <c r="C414" s="2" t="s">
        <v>11</v>
      </c>
      <c r="D414" s="2" t="s">
        <v>1234</v>
      </c>
      <c r="E414" s="2" t="s">
        <v>1159</v>
      </c>
      <c r="F414" s="2" t="s">
        <v>1195</v>
      </c>
      <c r="G414" s="2" t="str">
        <f>VLOOKUP(F414,'Message Mapping'!A:L,3,FALSE)</f>
        <v>Transit;NORMAL;DEFEITO;Error</v>
      </c>
      <c r="H414" s="2" t="str">
        <f>VLOOKUP(F414,'Message Mapping'!A:L,4,FALSE)</f>
        <v>0;1;2;3</v>
      </c>
      <c r="I414" s="2"/>
      <c r="J414" s="3" t="str">
        <f>VLOOKUP(F414,'Message Mapping'!A:L,12,FALSE)</f>
        <v>Severidade 7</v>
      </c>
      <c r="K414" s="3"/>
      <c r="L414" s="3"/>
      <c r="M414" s="3"/>
      <c r="N414" s="3"/>
      <c r="O414" s="3"/>
      <c r="P414" s="3"/>
    </row>
    <row r="415" spans="1:16" x14ac:dyDescent="0.25">
      <c r="A415" s="94" t="s">
        <v>682</v>
      </c>
      <c r="B415" s="2" t="s">
        <v>683</v>
      </c>
      <c r="C415" s="2" t="s">
        <v>11</v>
      </c>
      <c r="D415" s="2" t="s">
        <v>1234</v>
      </c>
      <c r="E415" s="2" t="s">
        <v>1159</v>
      </c>
      <c r="F415" s="2" t="s">
        <v>1195</v>
      </c>
      <c r="G415" s="2" t="str">
        <f>VLOOKUP(F415,'Message Mapping'!A:L,3,FALSE)</f>
        <v>Transit;NORMAL;DEFEITO;Error</v>
      </c>
      <c r="H415" s="2" t="str">
        <f>VLOOKUP(F415,'Message Mapping'!A:L,4,FALSE)</f>
        <v>0;1;2;3</v>
      </c>
      <c r="I415" s="2"/>
      <c r="J415" s="3" t="str">
        <f>VLOOKUP(F415,'Message Mapping'!A:L,12,FALSE)</f>
        <v>Severidade 7</v>
      </c>
      <c r="K415" s="3"/>
      <c r="L415" s="3"/>
      <c r="M415" s="3"/>
      <c r="N415" s="3"/>
      <c r="O415" s="3"/>
      <c r="P415" s="3"/>
    </row>
    <row r="416" spans="1:16" x14ac:dyDescent="0.25">
      <c r="A416" s="94" t="s">
        <v>685</v>
      </c>
      <c r="B416" s="2" t="s">
        <v>684</v>
      </c>
      <c r="C416" s="2" t="s">
        <v>11</v>
      </c>
      <c r="D416" s="2" t="s">
        <v>1234</v>
      </c>
      <c r="E416" s="2" t="s">
        <v>1159</v>
      </c>
      <c r="F416" s="2" t="s">
        <v>1195</v>
      </c>
      <c r="G416" s="2" t="str">
        <f>VLOOKUP(F416,'Message Mapping'!A:L,3,FALSE)</f>
        <v>Transit;NORMAL;DEFEITO;Error</v>
      </c>
      <c r="H416" s="2" t="str">
        <f>VLOOKUP(F416,'Message Mapping'!A:L,4,FALSE)</f>
        <v>0;1;2;3</v>
      </c>
      <c r="I416" s="2"/>
      <c r="J416" s="3" t="str">
        <f>VLOOKUP(F416,'Message Mapping'!A:L,12,FALSE)</f>
        <v>Severidade 7</v>
      </c>
      <c r="K416" s="3"/>
      <c r="L416" s="3"/>
      <c r="M416" s="3"/>
      <c r="N416" s="3"/>
      <c r="O416" s="3"/>
      <c r="P416" s="3"/>
    </row>
    <row r="417" spans="1:16" x14ac:dyDescent="0.25">
      <c r="A417" s="94" t="s">
        <v>686</v>
      </c>
      <c r="B417" s="2" t="s">
        <v>687</v>
      </c>
      <c r="C417" s="2" t="s">
        <v>11</v>
      </c>
      <c r="D417" s="2" t="s">
        <v>1234</v>
      </c>
      <c r="E417" s="2" t="s">
        <v>1159</v>
      </c>
      <c r="F417" s="2" t="s">
        <v>1195</v>
      </c>
      <c r="G417" s="2" t="str">
        <f>VLOOKUP(F417,'Message Mapping'!A:L,3,FALSE)</f>
        <v>Transit;NORMAL;DEFEITO;Error</v>
      </c>
      <c r="H417" s="2" t="str">
        <f>VLOOKUP(F417,'Message Mapping'!A:L,4,FALSE)</f>
        <v>0;1;2;3</v>
      </c>
      <c r="I417" s="2"/>
      <c r="J417" s="3" t="str">
        <f>VLOOKUP(F417,'Message Mapping'!A:L,12,FALSE)</f>
        <v>Severidade 7</v>
      </c>
      <c r="K417" s="3"/>
      <c r="L417" s="3"/>
      <c r="M417" s="3"/>
      <c r="N417" s="3"/>
      <c r="O417" s="3"/>
      <c r="P417" s="3"/>
    </row>
    <row r="418" spans="1:16" x14ac:dyDescent="0.25">
      <c r="A418" s="94" t="s">
        <v>4331</v>
      </c>
      <c r="B418" s="2" t="s">
        <v>4332</v>
      </c>
      <c r="C418" s="2" t="s">
        <v>11</v>
      </c>
      <c r="D418" s="2" t="s">
        <v>1234</v>
      </c>
      <c r="E418" s="2" t="s">
        <v>1159</v>
      </c>
      <c r="F418" s="2" t="s">
        <v>1195</v>
      </c>
      <c r="G418" s="2" t="str">
        <f>VLOOKUP(F418,'Message Mapping'!A:L,3,FALSE)</f>
        <v>Transit;NORMAL;DEFEITO;Error</v>
      </c>
      <c r="H418" s="2" t="str">
        <f>VLOOKUP(F418,'Message Mapping'!A:L,4,FALSE)</f>
        <v>0;1;2;3</v>
      </c>
      <c r="I418" s="2"/>
      <c r="J418" s="3" t="str">
        <f>VLOOKUP(F418,'Message Mapping'!A:L,12,FALSE)</f>
        <v>Severidade 7</v>
      </c>
      <c r="K418" s="3"/>
      <c r="L418" s="3"/>
      <c r="M418" s="3"/>
      <c r="N418" s="3"/>
      <c r="O418" s="3"/>
      <c r="P418" s="3"/>
    </row>
    <row r="419" spans="1:16" x14ac:dyDescent="0.25">
      <c r="A419" s="94" t="s">
        <v>688</v>
      </c>
      <c r="B419" s="2" t="s">
        <v>689</v>
      </c>
      <c r="C419" s="2" t="s">
        <v>11</v>
      </c>
      <c r="D419" s="2" t="s">
        <v>1234</v>
      </c>
      <c r="E419" s="2" t="s">
        <v>1159</v>
      </c>
      <c r="F419" s="2" t="s">
        <v>1195</v>
      </c>
      <c r="G419" s="2" t="str">
        <f>VLOOKUP(F419,'Message Mapping'!A:L,3,FALSE)</f>
        <v>Transit;NORMAL;DEFEITO;Error</v>
      </c>
      <c r="H419" s="2" t="str">
        <f>VLOOKUP(F419,'Message Mapping'!A:L,4,FALSE)</f>
        <v>0;1;2;3</v>
      </c>
      <c r="I419" s="2"/>
      <c r="J419" s="3" t="str">
        <f>VLOOKUP(F419,'Message Mapping'!A:L,12,FALSE)</f>
        <v>Severidade 7</v>
      </c>
      <c r="K419" s="3"/>
      <c r="L419" s="3"/>
      <c r="M419" s="3"/>
      <c r="N419" s="3"/>
      <c r="O419" s="3"/>
      <c r="P419" s="3"/>
    </row>
    <row r="420" spans="1:16" x14ac:dyDescent="0.25">
      <c r="A420" s="94" t="s">
        <v>690</v>
      </c>
      <c r="B420" s="2" t="s">
        <v>691</v>
      </c>
      <c r="C420" s="2" t="s">
        <v>11</v>
      </c>
      <c r="D420" s="2" t="s">
        <v>1234</v>
      </c>
      <c r="E420" s="2" t="s">
        <v>1159</v>
      </c>
      <c r="F420" s="2" t="s">
        <v>1195</v>
      </c>
      <c r="G420" s="2" t="str">
        <f>VLOOKUP(F420,'Message Mapping'!A:L,3,FALSE)</f>
        <v>Transit;NORMAL;DEFEITO;Error</v>
      </c>
      <c r="H420" s="2" t="str">
        <f>VLOOKUP(F420,'Message Mapping'!A:L,4,FALSE)</f>
        <v>0;1;2;3</v>
      </c>
      <c r="I420" s="2"/>
      <c r="J420" s="3" t="str">
        <f>VLOOKUP(F420,'Message Mapping'!A:L,12,FALSE)</f>
        <v>Severidade 7</v>
      </c>
      <c r="K420" s="3"/>
      <c r="L420" s="3"/>
      <c r="M420" s="3"/>
      <c r="N420" s="3"/>
      <c r="O420" s="3"/>
      <c r="P420" s="3"/>
    </row>
    <row r="421" spans="1:16" x14ac:dyDescent="0.25">
      <c r="A421" s="94" t="s">
        <v>692</v>
      </c>
      <c r="B421" s="2" t="s">
        <v>693</v>
      </c>
      <c r="C421" s="2" t="s">
        <v>11</v>
      </c>
      <c r="D421" s="2" t="s">
        <v>1234</v>
      </c>
      <c r="E421" s="2" t="s">
        <v>1159</v>
      </c>
      <c r="F421" s="2" t="s">
        <v>1195</v>
      </c>
      <c r="G421" s="2" t="str">
        <f>VLOOKUP(F421,'Message Mapping'!A:L,3,FALSE)</f>
        <v>Transit;NORMAL;DEFEITO;Error</v>
      </c>
      <c r="H421" s="2" t="str">
        <f>VLOOKUP(F421,'Message Mapping'!A:L,4,FALSE)</f>
        <v>0;1;2;3</v>
      </c>
      <c r="I421" s="2"/>
      <c r="J421" s="3" t="str">
        <f>VLOOKUP(F421,'Message Mapping'!A:L,12,FALSE)</f>
        <v>Severidade 7</v>
      </c>
      <c r="K421" s="3"/>
      <c r="L421" s="3"/>
      <c r="M421" s="3"/>
      <c r="N421" s="3"/>
      <c r="O421" s="3"/>
      <c r="P421" s="3"/>
    </row>
    <row r="422" spans="1:16" x14ac:dyDescent="0.25">
      <c r="A422" s="94" t="s">
        <v>694</v>
      </c>
      <c r="B422" s="2" t="s">
        <v>695</v>
      </c>
      <c r="C422" s="2" t="s">
        <v>11</v>
      </c>
      <c r="D422" s="2" t="s">
        <v>1234</v>
      </c>
      <c r="E422" s="2" t="s">
        <v>1159</v>
      </c>
      <c r="F422" s="2" t="s">
        <v>1195</v>
      </c>
      <c r="G422" s="2" t="str">
        <f>VLOOKUP(F422,'Message Mapping'!A:L,3,FALSE)</f>
        <v>Transit;NORMAL;DEFEITO;Error</v>
      </c>
      <c r="H422" s="2" t="str">
        <f>VLOOKUP(F422,'Message Mapping'!A:L,4,FALSE)</f>
        <v>0;1;2;3</v>
      </c>
      <c r="I422" s="2"/>
      <c r="J422" s="3" t="str">
        <f>VLOOKUP(F422,'Message Mapping'!A:L,12,FALSE)</f>
        <v>Severidade 7</v>
      </c>
      <c r="K422" s="3"/>
      <c r="L422" s="3"/>
      <c r="M422" s="3"/>
      <c r="N422" s="3"/>
      <c r="O422" s="3"/>
      <c r="P422" s="3"/>
    </row>
    <row r="423" spans="1:16" x14ac:dyDescent="0.25">
      <c r="A423" s="94" t="s">
        <v>696</v>
      </c>
      <c r="B423" s="2" t="s">
        <v>697</v>
      </c>
      <c r="C423" s="2" t="s">
        <v>11</v>
      </c>
      <c r="D423" s="2" t="s">
        <v>1234</v>
      </c>
      <c r="E423" s="2" t="s">
        <v>1159</v>
      </c>
      <c r="F423" s="2" t="s">
        <v>1195</v>
      </c>
      <c r="G423" s="2" t="str">
        <f>VLOOKUP(F423,'Message Mapping'!A:L,3,FALSE)</f>
        <v>Transit;NORMAL;DEFEITO;Error</v>
      </c>
      <c r="H423" s="2" t="str">
        <f>VLOOKUP(F423,'Message Mapping'!A:L,4,FALSE)</f>
        <v>0;1;2;3</v>
      </c>
      <c r="I423" s="2"/>
      <c r="J423" s="3" t="str">
        <f>VLOOKUP(F423,'Message Mapping'!A:L,12,FALSE)</f>
        <v>Severidade 7</v>
      </c>
      <c r="K423" s="3"/>
      <c r="L423" s="3"/>
      <c r="M423" s="3"/>
      <c r="N423" s="3"/>
      <c r="O423" s="3"/>
      <c r="P423" s="3"/>
    </row>
    <row r="424" spans="1:16" s="103" customFormat="1" x14ac:dyDescent="0.25">
      <c r="A424" s="102" t="s">
        <v>698</v>
      </c>
      <c r="B424" s="5" t="s">
        <v>699</v>
      </c>
      <c r="C424" s="5" t="s">
        <v>11</v>
      </c>
      <c r="D424" s="5" t="s">
        <v>1234</v>
      </c>
      <c r="E424" s="5" t="s">
        <v>1159</v>
      </c>
      <c r="F424" s="5" t="s">
        <v>1195</v>
      </c>
      <c r="G424" s="5" t="str">
        <f>VLOOKUP(F424,'Message Mapping'!A:L,3,FALSE)</f>
        <v>Transit;NORMAL;DEFEITO;Error</v>
      </c>
      <c r="H424" s="5" t="str">
        <f>VLOOKUP(F424,'Message Mapping'!A:L,4,FALSE)</f>
        <v>0;1;2;3</v>
      </c>
      <c r="I424" s="5"/>
      <c r="J424" s="8" t="str">
        <f>VLOOKUP(F424,'Message Mapping'!A:L,12,FALSE)</f>
        <v>Severidade 7</v>
      </c>
      <c r="K424" s="8"/>
      <c r="L424" s="8"/>
      <c r="M424" s="8"/>
      <c r="N424" s="8"/>
      <c r="O424" s="8"/>
      <c r="P424" s="8"/>
    </row>
    <row r="425" spans="1:16" x14ac:dyDescent="0.25">
      <c r="A425" s="94" t="s">
        <v>700</v>
      </c>
      <c r="B425" s="2" t="s">
        <v>701</v>
      </c>
      <c r="C425" s="2" t="s">
        <v>11</v>
      </c>
      <c r="D425" s="2" t="s">
        <v>1234</v>
      </c>
      <c r="E425" s="2" t="s">
        <v>1159</v>
      </c>
      <c r="F425" s="2" t="s">
        <v>1195</v>
      </c>
      <c r="G425" s="2" t="str">
        <f>VLOOKUP(F425,'Message Mapping'!A:L,3,FALSE)</f>
        <v>Transit;NORMAL;DEFEITO;Error</v>
      </c>
      <c r="H425" s="2" t="str">
        <f>VLOOKUP(F425,'Message Mapping'!A:L,4,FALSE)</f>
        <v>0;1;2;3</v>
      </c>
      <c r="I425" s="2"/>
      <c r="J425" s="3" t="str">
        <f>VLOOKUP(F425,'Message Mapping'!A:L,12,FALSE)</f>
        <v>Severidade 7</v>
      </c>
      <c r="K425" s="3"/>
      <c r="L425" s="3"/>
      <c r="M425" s="3"/>
      <c r="N425" s="3"/>
      <c r="O425" s="3"/>
      <c r="P425" s="3"/>
    </row>
    <row r="426" spans="1:16" x14ac:dyDescent="0.25">
      <c r="A426" s="94" t="s">
        <v>702</v>
      </c>
      <c r="B426" s="2" t="s">
        <v>703</v>
      </c>
      <c r="C426" s="2" t="s">
        <v>11</v>
      </c>
      <c r="D426" s="2" t="s">
        <v>1172</v>
      </c>
      <c r="E426" s="2" t="s">
        <v>1159</v>
      </c>
      <c r="F426" s="2" t="s">
        <v>133</v>
      </c>
      <c r="G426" s="2" t="str">
        <f>VLOOKUP(F426,'Message Mapping'!A:L,3,FALSE)</f>
        <v>Transit;NORMAL;ATUADO;Error</v>
      </c>
      <c r="H426" s="2" t="str">
        <f>VLOOKUP(F426,'Message Mapping'!A:L,4,FALSE)</f>
        <v>0;1;2;3</v>
      </c>
      <c r="I426" s="2"/>
      <c r="J426" s="3" t="str">
        <f>VLOOKUP(F426,'Message Mapping'!A:L,12,FALSE)</f>
        <v>Severidade 3</v>
      </c>
      <c r="K426" s="3"/>
      <c r="L426" s="3"/>
      <c r="M426" s="3"/>
      <c r="N426" s="3"/>
      <c r="O426" s="3"/>
      <c r="P426" s="3"/>
    </row>
    <row r="427" spans="1:16" x14ac:dyDescent="0.25">
      <c r="A427" s="94" t="s">
        <v>704</v>
      </c>
      <c r="B427" s="2" t="s">
        <v>705</v>
      </c>
      <c r="C427" s="2" t="s">
        <v>11</v>
      </c>
      <c r="D427" s="2" t="s">
        <v>1172</v>
      </c>
      <c r="E427" s="2" t="s">
        <v>1159</v>
      </c>
      <c r="F427" s="2" t="s">
        <v>133</v>
      </c>
      <c r="G427" s="2" t="str">
        <f>VLOOKUP(F427,'Message Mapping'!A:L,3,FALSE)</f>
        <v>Transit;NORMAL;ATUADO;Error</v>
      </c>
      <c r="H427" s="2" t="str">
        <f>VLOOKUP(F427,'Message Mapping'!A:L,4,FALSE)</f>
        <v>0;1;2;3</v>
      </c>
      <c r="I427" s="2"/>
      <c r="J427" s="3" t="str">
        <f>VLOOKUP(F427,'Message Mapping'!A:L,12,FALSE)</f>
        <v>Severidade 3</v>
      </c>
      <c r="K427" s="3"/>
      <c r="L427" s="3"/>
      <c r="M427" s="3"/>
      <c r="N427" s="3"/>
      <c r="O427" s="3"/>
      <c r="P427" s="3"/>
    </row>
    <row r="428" spans="1:16" x14ac:dyDescent="0.25">
      <c r="A428" s="94" t="s">
        <v>706</v>
      </c>
      <c r="B428" s="2" t="s">
        <v>707</v>
      </c>
      <c r="C428" s="2" t="s">
        <v>708</v>
      </c>
      <c r="D428" s="2" t="s">
        <v>1170</v>
      </c>
      <c r="E428" s="2" t="s">
        <v>1159</v>
      </c>
      <c r="F428" s="2" t="s">
        <v>1197</v>
      </c>
      <c r="G428" s="2" t="str">
        <f>VLOOKUP(F428,'Message Mapping'!A:L,3,FALSE)</f>
        <v>Transit;DESLIGADO;LIGADO;Error</v>
      </c>
      <c r="H428" s="2" t="str">
        <f>VLOOKUP(F428,'Message Mapping'!A:L,4,FALSE)</f>
        <v>0;1;2;3</v>
      </c>
      <c r="I428" s="2"/>
      <c r="J428" s="3" t="str">
        <f>VLOOKUP(F428,'Message Mapping'!A:L,12,FALSE)</f>
        <v>Severidade 2</v>
      </c>
      <c r="K428" s="3" t="s">
        <v>1199</v>
      </c>
      <c r="L428" s="3"/>
      <c r="M428" s="3"/>
      <c r="N428" s="3"/>
      <c r="O428" s="3"/>
      <c r="P428" s="3"/>
    </row>
    <row r="429" spans="1:16" x14ac:dyDescent="0.25">
      <c r="A429" s="94" t="s">
        <v>706</v>
      </c>
      <c r="B429" s="2" t="s">
        <v>707</v>
      </c>
      <c r="C429" s="2" t="s">
        <v>708</v>
      </c>
      <c r="D429" s="2" t="s">
        <v>1170</v>
      </c>
      <c r="E429" s="2" t="s">
        <v>1160</v>
      </c>
      <c r="F429" s="2" t="s">
        <v>1196</v>
      </c>
      <c r="G429" s="2" t="str">
        <f>VLOOKUP(F429,'Message Mapping'!A:L,3,FALSE)</f>
        <v>Transit;DESLIGADO;LIGADO;Error</v>
      </c>
      <c r="H429" s="2" t="str">
        <f>VLOOKUP(F429,'Message Mapping'!A:L,4,FALSE)</f>
        <v>0;1;2;3</v>
      </c>
      <c r="I429" s="2"/>
      <c r="J429" s="3" t="str">
        <f>VLOOKUP(F429,'Message Mapping'!A:L,12,FALSE)</f>
        <v>Severidade 2</v>
      </c>
      <c r="K429" s="3"/>
      <c r="L429" s="3"/>
      <c r="M429" s="3"/>
      <c r="N429" s="3"/>
      <c r="O429" s="3"/>
      <c r="P429" s="3"/>
    </row>
    <row r="430" spans="1:16" x14ac:dyDescent="0.25">
      <c r="A430" s="94" t="s">
        <v>710</v>
      </c>
      <c r="B430" s="2" t="s">
        <v>709</v>
      </c>
      <c r="C430" s="2" t="s">
        <v>708</v>
      </c>
      <c r="D430" s="2" t="s">
        <v>1170</v>
      </c>
      <c r="E430" s="2" t="s">
        <v>1159</v>
      </c>
      <c r="F430" s="2" t="s">
        <v>1197</v>
      </c>
      <c r="G430" s="2" t="str">
        <f>VLOOKUP(F430,'Message Mapping'!A:L,3,FALSE)</f>
        <v>Transit;DESLIGADO;LIGADO;Error</v>
      </c>
      <c r="H430" s="2" t="str">
        <f>VLOOKUP(F430,'Message Mapping'!A:L,4,FALSE)</f>
        <v>0;1;2;3</v>
      </c>
      <c r="I430" s="2"/>
      <c r="J430" s="3" t="str">
        <f>VLOOKUP(F430,'Message Mapping'!A:L,12,FALSE)</f>
        <v>Severidade 2</v>
      </c>
      <c r="K430" s="3"/>
      <c r="L430" s="3"/>
      <c r="M430" s="3"/>
      <c r="N430" s="3"/>
      <c r="O430" s="3"/>
      <c r="P430" s="3"/>
    </row>
    <row r="431" spans="1:16" x14ac:dyDescent="0.25">
      <c r="A431" s="94" t="s">
        <v>710</v>
      </c>
      <c r="B431" s="2" t="s">
        <v>709</v>
      </c>
      <c r="C431" s="2" t="s">
        <v>708</v>
      </c>
      <c r="D431" s="2" t="s">
        <v>1170</v>
      </c>
      <c r="E431" s="2" t="s">
        <v>1160</v>
      </c>
      <c r="F431" s="2" t="s">
        <v>1196</v>
      </c>
      <c r="G431" s="2" t="str">
        <f>VLOOKUP(F431,'Message Mapping'!A:L,3,FALSE)</f>
        <v>Transit;DESLIGADO;LIGADO;Error</v>
      </c>
      <c r="H431" s="2" t="str">
        <f>VLOOKUP(F431,'Message Mapping'!A:L,4,FALSE)</f>
        <v>0;1;2;3</v>
      </c>
      <c r="I431" s="2"/>
      <c r="J431" s="3" t="str">
        <f>VLOOKUP(F431,'Message Mapping'!A:L,12,FALSE)</f>
        <v>Severidade 2</v>
      </c>
      <c r="K431" s="3"/>
      <c r="L431" s="3"/>
      <c r="M431" s="3"/>
      <c r="N431" s="3"/>
      <c r="O431" s="3"/>
      <c r="P431" s="3"/>
    </row>
    <row r="432" spans="1:16" x14ac:dyDescent="0.25">
      <c r="A432" s="94" t="s">
        <v>711</v>
      </c>
      <c r="B432" s="2" t="s">
        <v>712</v>
      </c>
      <c r="C432" s="2" t="s">
        <v>11</v>
      </c>
      <c r="D432" s="2" t="s">
        <v>1234</v>
      </c>
      <c r="E432" s="2" t="s">
        <v>1159</v>
      </c>
      <c r="F432" s="2" t="s">
        <v>1198</v>
      </c>
      <c r="G432" s="2" t="str">
        <f>VLOOKUP(F432,'Message Mapping'!A:L,3,FALSE)</f>
        <v>Transit;DESLIGADO;LIGADO;Error</v>
      </c>
      <c r="H432" s="2" t="str">
        <f>VLOOKUP(F432,'Message Mapping'!A:L,4,FALSE)</f>
        <v>0;1;2;3</v>
      </c>
      <c r="I432" s="2"/>
      <c r="J432" s="3" t="str">
        <f>VLOOKUP(F432,'Message Mapping'!A:L,12,FALSE)</f>
        <v>Severidade 7</v>
      </c>
      <c r="K432" s="3"/>
      <c r="L432" s="3"/>
      <c r="M432" s="3"/>
      <c r="N432" s="3"/>
      <c r="O432" s="3"/>
      <c r="P432" s="3"/>
    </row>
    <row r="433" spans="1:16" x14ac:dyDescent="0.25">
      <c r="A433" s="94" t="s">
        <v>713</v>
      </c>
      <c r="B433" s="2" t="s">
        <v>714</v>
      </c>
      <c r="C433" s="2" t="s">
        <v>11</v>
      </c>
      <c r="D433" s="2" t="s">
        <v>1172</v>
      </c>
      <c r="E433" s="2" t="s">
        <v>1159</v>
      </c>
      <c r="F433" s="2" t="s">
        <v>1200</v>
      </c>
      <c r="G433" s="2" t="str">
        <f>VLOOKUP(F433,'Message Mapping'!A:L,3,FALSE)</f>
        <v>Transit;NORMAL;FALHA;Error</v>
      </c>
      <c r="H433" s="2" t="str">
        <f>VLOOKUP(F433,'Message Mapping'!A:L,4,FALSE)</f>
        <v>0;1;2;3</v>
      </c>
      <c r="I433" s="2"/>
      <c r="J433" s="3" t="str">
        <f>VLOOKUP(F433,'Message Mapping'!A:L,12,FALSE)</f>
        <v>Severidade 3</v>
      </c>
      <c r="K433" s="3"/>
      <c r="L433" s="3"/>
      <c r="M433" s="3"/>
      <c r="N433" s="3"/>
      <c r="O433" s="3"/>
      <c r="P433" s="3"/>
    </row>
    <row r="434" spans="1:16" x14ac:dyDescent="0.25">
      <c r="A434" s="99" t="s">
        <v>774</v>
      </c>
      <c r="B434" s="2" t="s">
        <v>4346</v>
      </c>
      <c r="C434" s="2" t="s">
        <v>11</v>
      </c>
      <c r="D434" s="2" t="s">
        <v>1172</v>
      </c>
      <c r="E434" s="2" t="s">
        <v>1159</v>
      </c>
      <c r="F434" s="2" t="s">
        <v>1200</v>
      </c>
      <c r="G434" s="2" t="str">
        <f>VLOOKUP(F434,'Message Mapping'!A:L,3,FALSE)</f>
        <v>Transit;NORMAL;FALHA;Error</v>
      </c>
      <c r="H434" s="2" t="str">
        <f>VLOOKUP(F434,'Message Mapping'!A:L,4,FALSE)</f>
        <v>0;1;2;3</v>
      </c>
      <c r="I434" s="2"/>
      <c r="J434" s="3" t="str">
        <f>VLOOKUP(F434,'Message Mapping'!A:L,12,FALSE)</f>
        <v>Severidade 3</v>
      </c>
      <c r="K434" s="3"/>
      <c r="L434" s="3"/>
      <c r="M434" s="3"/>
      <c r="N434" s="3"/>
      <c r="O434" s="3"/>
      <c r="P434" s="3"/>
    </row>
    <row r="435" spans="1:16" x14ac:dyDescent="0.25">
      <c r="A435" s="99" t="s">
        <v>4341</v>
      </c>
      <c r="B435" s="2" t="s">
        <v>4345</v>
      </c>
      <c r="C435" s="2" t="s">
        <v>11</v>
      </c>
      <c r="D435" s="2" t="s">
        <v>1172</v>
      </c>
      <c r="E435" s="2" t="s">
        <v>1159</v>
      </c>
      <c r="F435" s="2" t="s">
        <v>1200</v>
      </c>
      <c r="G435" s="2" t="str">
        <f>VLOOKUP(F435,'Message Mapping'!A:L,3,FALSE)</f>
        <v>Transit;NORMAL;FALHA;Error</v>
      </c>
      <c r="H435" s="2" t="str">
        <f>VLOOKUP(F435,'Message Mapping'!A:L,4,FALSE)</f>
        <v>0;1;2;3</v>
      </c>
      <c r="I435" s="2"/>
      <c r="J435" s="3" t="str">
        <f>VLOOKUP(F435,'Message Mapping'!A:L,12,FALSE)</f>
        <v>Severidade 3</v>
      </c>
      <c r="K435" s="3"/>
      <c r="L435" s="3"/>
      <c r="M435" s="3"/>
      <c r="N435" s="3"/>
      <c r="O435" s="3"/>
      <c r="P435" s="3"/>
    </row>
    <row r="436" spans="1:16" x14ac:dyDescent="0.25">
      <c r="A436" s="94" t="s">
        <v>596</v>
      </c>
      <c r="B436" s="2" t="s">
        <v>597</v>
      </c>
      <c r="C436" s="2" t="s">
        <v>11</v>
      </c>
      <c r="D436" s="2" t="s">
        <v>12</v>
      </c>
      <c r="E436" s="2" t="s">
        <v>1159</v>
      </c>
      <c r="F436" s="2" t="s">
        <v>13</v>
      </c>
      <c r="G436" s="2" t="str">
        <f>VLOOKUP(F436,'Message Mapping'!A:L,3,FALSE)</f>
        <v>Transit;NORMAL;ATUADO;Error</v>
      </c>
      <c r="H436" s="2" t="str">
        <f>VLOOKUP(F436,'Message Mapping'!A:L,4,FALSE)</f>
        <v>0;1;2;3</v>
      </c>
      <c r="I436" s="2"/>
      <c r="J436" s="3" t="str">
        <f>VLOOKUP(F436,'Message Mapping'!A:L,12,FALSE)</f>
        <v>Severidade 4</v>
      </c>
      <c r="K436" s="3"/>
      <c r="L436" s="3"/>
      <c r="M436" s="3"/>
      <c r="N436" s="3"/>
      <c r="O436" s="3"/>
      <c r="P436" s="3"/>
    </row>
    <row r="437" spans="1:16" x14ac:dyDescent="0.25">
      <c r="A437" s="94" t="s">
        <v>718</v>
      </c>
      <c r="B437" s="2" t="s">
        <v>719</v>
      </c>
      <c r="C437" s="2" t="s">
        <v>11</v>
      </c>
      <c r="D437" s="2" t="s">
        <v>1172</v>
      </c>
      <c r="E437" s="2" t="s">
        <v>1159</v>
      </c>
      <c r="F437" s="2" t="s">
        <v>1200</v>
      </c>
      <c r="G437" s="2" t="str">
        <f>VLOOKUP(F437,'Message Mapping'!A:L,3,FALSE)</f>
        <v>Transit;NORMAL;FALHA;Error</v>
      </c>
      <c r="H437" s="2" t="str">
        <f>VLOOKUP(F437,'Message Mapping'!A:L,4,FALSE)</f>
        <v>0;1;2;3</v>
      </c>
      <c r="I437" s="2"/>
      <c r="J437" s="3" t="str">
        <f>VLOOKUP(F437,'Message Mapping'!A:L,12,FALSE)</f>
        <v>Severidade 3</v>
      </c>
      <c r="K437" s="3"/>
      <c r="L437" s="3"/>
      <c r="M437" s="3"/>
      <c r="N437" s="3"/>
      <c r="O437" s="3"/>
      <c r="P437" s="3"/>
    </row>
    <row r="438" spans="1:16" x14ac:dyDescent="0.25">
      <c r="A438" s="94" t="s">
        <v>720</v>
      </c>
      <c r="B438" s="2" t="s">
        <v>721</v>
      </c>
      <c r="C438" s="2" t="s">
        <v>11</v>
      </c>
      <c r="D438" s="2" t="s">
        <v>1234</v>
      </c>
      <c r="E438" s="2" t="s">
        <v>1159</v>
      </c>
      <c r="F438" s="2" t="s">
        <v>107</v>
      </c>
      <c r="G438" s="2" t="str">
        <f>VLOOKUP(F438,'Message Mapping'!A:L,3,FALSE)</f>
        <v>Transit;NORMAL;FALHA;Error</v>
      </c>
      <c r="H438" s="2" t="str">
        <f>VLOOKUP(F438,'Message Mapping'!A:L,4,FALSE)</f>
        <v>0;1;2;3</v>
      </c>
      <c r="I438" s="2"/>
      <c r="J438" s="3" t="str">
        <f>VLOOKUP(F438,'Message Mapping'!A:L,12,FALSE)</f>
        <v>Severidade 7</v>
      </c>
      <c r="K438" s="3"/>
      <c r="L438" s="3"/>
      <c r="M438" s="3"/>
      <c r="N438" s="3"/>
      <c r="O438" s="3"/>
      <c r="P438" s="3"/>
    </row>
    <row r="439" spans="1:16" x14ac:dyDescent="0.25">
      <c r="A439" s="94" t="s">
        <v>722</v>
      </c>
      <c r="B439" s="2" t="s">
        <v>723</v>
      </c>
      <c r="C439" s="2" t="s">
        <v>11</v>
      </c>
      <c r="D439" s="2" t="s">
        <v>1234</v>
      </c>
      <c r="E439" s="2" t="s">
        <v>1159</v>
      </c>
      <c r="F439" s="2" t="s">
        <v>107</v>
      </c>
      <c r="G439" s="2" t="str">
        <f>VLOOKUP(F439,'Message Mapping'!A:L,3,FALSE)</f>
        <v>Transit;NORMAL;FALHA;Error</v>
      </c>
      <c r="H439" s="2" t="str">
        <f>VLOOKUP(F439,'Message Mapping'!A:L,4,FALSE)</f>
        <v>0;1;2;3</v>
      </c>
      <c r="I439" s="2"/>
      <c r="J439" s="3" t="str">
        <f>VLOOKUP(F439,'Message Mapping'!A:L,12,FALSE)</f>
        <v>Severidade 7</v>
      </c>
      <c r="K439" s="3"/>
      <c r="L439" s="3"/>
      <c r="M439" s="3"/>
      <c r="N439" s="3"/>
      <c r="O439" s="3"/>
      <c r="P439" s="3"/>
    </row>
    <row r="440" spans="1:16" x14ac:dyDescent="0.25">
      <c r="A440" s="94" t="s">
        <v>724</v>
      </c>
      <c r="B440" s="2" t="s">
        <v>725</v>
      </c>
      <c r="C440" s="2" t="s">
        <v>11</v>
      </c>
      <c r="D440" s="2" t="s">
        <v>1234</v>
      </c>
      <c r="E440" s="2" t="s">
        <v>1159</v>
      </c>
      <c r="F440" s="2" t="s">
        <v>107</v>
      </c>
      <c r="G440" s="2" t="str">
        <f>VLOOKUP(F440,'Message Mapping'!A:L,3,FALSE)</f>
        <v>Transit;NORMAL;FALHA;Error</v>
      </c>
      <c r="H440" s="2" t="str">
        <f>VLOOKUP(F440,'Message Mapping'!A:L,4,FALSE)</f>
        <v>0;1;2;3</v>
      </c>
      <c r="I440" s="2"/>
      <c r="J440" s="3" t="str">
        <f>VLOOKUP(F440,'Message Mapping'!A:L,12,FALSE)</f>
        <v>Severidade 7</v>
      </c>
      <c r="K440" s="3"/>
      <c r="L440" s="3"/>
      <c r="M440" s="3"/>
      <c r="N440" s="3"/>
      <c r="O440" s="3"/>
      <c r="P440" s="3"/>
    </row>
    <row r="441" spans="1:16" x14ac:dyDescent="0.25">
      <c r="A441" s="94" t="s">
        <v>726</v>
      </c>
      <c r="B441" s="2" t="s">
        <v>727</v>
      </c>
      <c r="C441" s="2" t="s">
        <v>11</v>
      </c>
      <c r="D441" s="2" t="s">
        <v>1234</v>
      </c>
      <c r="E441" s="2" t="s">
        <v>1159</v>
      </c>
      <c r="F441" s="2" t="s">
        <v>107</v>
      </c>
      <c r="G441" s="2" t="str">
        <f>VLOOKUP(F441,'Message Mapping'!A:L,3,FALSE)</f>
        <v>Transit;NORMAL;FALHA;Error</v>
      </c>
      <c r="H441" s="2" t="str">
        <f>VLOOKUP(F441,'Message Mapping'!A:L,4,FALSE)</f>
        <v>0;1;2;3</v>
      </c>
      <c r="I441" s="2"/>
      <c r="J441" s="3" t="str">
        <f>VLOOKUP(F441,'Message Mapping'!A:L,12,FALSE)</f>
        <v>Severidade 7</v>
      </c>
      <c r="K441" s="3"/>
      <c r="L441" s="3"/>
      <c r="M441" s="3"/>
      <c r="N441" s="3"/>
      <c r="O441" s="3"/>
      <c r="P441" s="3"/>
    </row>
    <row r="442" spans="1:16" x14ac:dyDescent="0.25">
      <c r="A442" s="94" t="s">
        <v>728</v>
      </c>
      <c r="B442" s="2" t="s">
        <v>729</v>
      </c>
      <c r="C442" s="2" t="s">
        <v>11</v>
      </c>
      <c r="D442" s="2" t="s">
        <v>1234</v>
      </c>
      <c r="E442" s="2" t="s">
        <v>1159</v>
      </c>
      <c r="F442" s="2" t="s">
        <v>107</v>
      </c>
      <c r="G442" s="2" t="str">
        <f>VLOOKUP(F442,'Message Mapping'!A:L,3,FALSE)</f>
        <v>Transit;NORMAL;FALHA;Error</v>
      </c>
      <c r="H442" s="2" t="str">
        <f>VLOOKUP(F442,'Message Mapping'!A:L,4,FALSE)</f>
        <v>0;1;2;3</v>
      </c>
      <c r="I442" s="2"/>
      <c r="J442" s="3" t="str">
        <f>VLOOKUP(F442,'Message Mapping'!A:L,12,FALSE)</f>
        <v>Severidade 7</v>
      </c>
      <c r="K442" s="3"/>
      <c r="L442" s="3"/>
      <c r="M442" s="3"/>
      <c r="N442" s="3"/>
      <c r="O442" s="3"/>
      <c r="P442" s="3"/>
    </row>
    <row r="443" spans="1:16" x14ac:dyDescent="0.25">
      <c r="A443" s="94" t="s">
        <v>669</v>
      </c>
      <c r="B443" s="2" t="s">
        <v>730</v>
      </c>
      <c r="C443" s="2" t="s">
        <v>11</v>
      </c>
      <c r="D443" s="2" t="s">
        <v>1234</v>
      </c>
      <c r="E443" s="2" t="s">
        <v>1159</v>
      </c>
      <c r="F443" s="2" t="s">
        <v>107</v>
      </c>
      <c r="G443" s="2" t="str">
        <f>VLOOKUP(F443,'Message Mapping'!A:L,3,FALSE)</f>
        <v>Transit;NORMAL;FALHA;Error</v>
      </c>
      <c r="H443" s="2" t="str">
        <f>VLOOKUP(F443,'Message Mapping'!A:L,4,FALSE)</f>
        <v>0;1;2;3</v>
      </c>
      <c r="I443" s="2"/>
      <c r="J443" s="3" t="str">
        <f>VLOOKUP(F443,'Message Mapping'!A:L,12,FALSE)</f>
        <v>Severidade 7</v>
      </c>
      <c r="K443" s="3"/>
      <c r="L443" s="3"/>
      <c r="M443" s="3"/>
      <c r="N443" s="3"/>
      <c r="O443" s="3"/>
      <c r="P443" s="3"/>
    </row>
    <row r="444" spans="1:16" x14ac:dyDescent="0.25">
      <c r="A444" s="94" t="s">
        <v>731</v>
      </c>
      <c r="B444" s="2" t="s">
        <v>732</v>
      </c>
      <c r="C444" s="2" t="s">
        <v>11</v>
      </c>
      <c r="D444" s="2" t="s">
        <v>1234</v>
      </c>
      <c r="E444" s="2" t="s">
        <v>1159</v>
      </c>
      <c r="F444" s="2" t="s">
        <v>107</v>
      </c>
      <c r="G444" s="2" t="str">
        <f>VLOOKUP(F444,'Message Mapping'!A:L,3,FALSE)</f>
        <v>Transit;NORMAL;FALHA;Error</v>
      </c>
      <c r="H444" s="2" t="str">
        <f>VLOOKUP(F444,'Message Mapping'!A:L,4,FALSE)</f>
        <v>0;1;2;3</v>
      </c>
      <c r="I444" s="2"/>
      <c r="J444" s="3" t="str">
        <f>VLOOKUP(F444,'Message Mapping'!A:L,12,FALSE)</f>
        <v>Severidade 7</v>
      </c>
      <c r="K444" s="3"/>
      <c r="L444" s="3"/>
      <c r="M444" s="3"/>
      <c r="N444" s="3"/>
      <c r="O444" s="3"/>
      <c r="P444" s="3"/>
    </row>
    <row r="445" spans="1:16" x14ac:dyDescent="0.25">
      <c r="A445" s="94" t="s">
        <v>733</v>
      </c>
      <c r="B445" s="2" t="s">
        <v>734</v>
      </c>
      <c r="C445" s="2" t="s">
        <v>11</v>
      </c>
      <c r="D445" s="2" t="s">
        <v>1234</v>
      </c>
      <c r="E445" s="2" t="s">
        <v>1159</v>
      </c>
      <c r="F445" s="2" t="s">
        <v>107</v>
      </c>
      <c r="G445" s="2" t="str">
        <f>VLOOKUP(F445,'Message Mapping'!A:L,3,FALSE)</f>
        <v>Transit;NORMAL;FALHA;Error</v>
      </c>
      <c r="H445" s="2" t="str">
        <f>VLOOKUP(F445,'Message Mapping'!A:L,4,FALSE)</f>
        <v>0;1;2;3</v>
      </c>
      <c r="I445" s="2"/>
      <c r="J445" s="3" t="str">
        <f>VLOOKUP(F445,'Message Mapping'!A:L,12,FALSE)</f>
        <v>Severidade 7</v>
      </c>
      <c r="K445" s="3"/>
      <c r="L445" s="3"/>
      <c r="M445" s="3"/>
      <c r="N445" s="3"/>
      <c r="O445" s="3"/>
      <c r="P445" s="3"/>
    </row>
    <row r="446" spans="1:16" x14ac:dyDescent="0.25">
      <c r="A446" s="94" t="s">
        <v>456</v>
      </c>
      <c r="B446" s="2" t="s">
        <v>735</v>
      </c>
      <c r="C446" s="2" t="s">
        <v>11</v>
      </c>
      <c r="D446" s="2" t="s">
        <v>1234</v>
      </c>
      <c r="E446" s="2" t="s">
        <v>1159</v>
      </c>
      <c r="F446" s="2" t="s">
        <v>107</v>
      </c>
      <c r="G446" s="2" t="str">
        <f>VLOOKUP(F446,'Message Mapping'!A:L,3,FALSE)</f>
        <v>Transit;NORMAL;FALHA;Error</v>
      </c>
      <c r="H446" s="2" t="str">
        <f>VLOOKUP(F446,'Message Mapping'!A:L,4,FALSE)</f>
        <v>0;1;2;3</v>
      </c>
      <c r="I446" s="2"/>
      <c r="J446" s="3" t="str">
        <f>VLOOKUP(F446,'Message Mapping'!A:L,12,FALSE)</f>
        <v>Severidade 7</v>
      </c>
      <c r="K446" s="3"/>
      <c r="L446" s="3"/>
      <c r="M446" s="3"/>
      <c r="N446" s="3"/>
      <c r="O446" s="3"/>
      <c r="P446" s="3"/>
    </row>
    <row r="447" spans="1:16" x14ac:dyDescent="0.25">
      <c r="A447" s="94" t="s">
        <v>737</v>
      </c>
      <c r="B447" s="2" t="s">
        <v>738</v>
      </c>
      <c r="C447" s="2" t="s">
        <v>11</v>
      </c>
      <c r="D447" s="2" t="s">
        <v>1234</v>
      </c>
      <c r="E447" s="2" t="s">
        <v>1159</v>
      </c>
      <c r="F447" s="2" t="s">
        <v>107</v>
      </c>
      <c r="G447" s="2" t="str">
        <f>VLOOKUP(F447,'Message Mapping'!A:L,3,FALSE)</f>
        <v>Transit;NORMAL;FALHA;Error</v>
      </c>
      <c r="H447" s="2" t="str">
        <f>VLOOKUP(F447,'Message Mapping'!A:L,4,FALSE)</f>
        <v>0;1;2;3</v>
      </c>
      <c r="I447" s="2"/>
      <c r="J447" s="3" t="str">
        <f>VLOOKUP(F447,'Message Mapping'!A:L,12,FALSE)</f>
        <v>Severidade 7</v>
      </c>
      <c r="K447" s="3"/>
      <c r="L447" s="3"/>
      <c r="M447" s="3"/>
      <c r="N447" s="3"/>
      <c r="O447" s="3"/>
      <c r="P447" s="3"/>
    </row>
    <row r="448" spans="1:16" x14ac:dyDescent="0.25">
      <c r="A448" s="94" t="s">
        <v>739</v>
      </c>
      <c r="B448" s="2" t="s">
        <v>740</v>
      </c>
      <c r="C448" s="2" t="s">
        <v>11</v>
      </c>
      <c r="D448" s="2" t="s">
        <v>1234</v>
      </c>
      <c r="E448" s="2" t="s">
        <v>1159</v>
      </c>
      <c r="F448" s="2" t="s">
        <v>107</v>
      </c>
      <c r="G448" s="2" t="str">
        <f>VLOOKUP(F448,'Message Mapping'!A:L,3,FALSE)</f>
        <v>Transit;NORMAL;FALHA;Error</v>
      </c>
      <c r="H448" s="2" t="str">
        <f>VLOOKUP(F448,'Message Mapping'!A:L,4,FALSE)</f>
        <v>0;1;2;3</v>
      </c>
      <c r="I448" s="2"/>
      <c r="J448" s="3" t="str">
        <f>VLOOKUP(F448,'Message Mapping'!A:L,12,FALSE)</f>
        <v>Severidade 7</v>
      </c>
      <c r="K448" s="3"/>
      <c r="L448" s="3"/>
      <c r="M448" s="3"/>
      <c r="N448" s="3"/>
      <c r="O448" s="3"/>
      <c r="P448" s="3"/>
    </row>
    <row r="449" spans="1:16" x14ac:dyDescent="0.25">
      <c r="A449" s="94" t="s">
        <v>742</v>
      </c>
      <c r="B449" s="2" t="s">
        <v>741</v>
      </c>
      <c r="C449" s="2" t="s">
        <v>11</v>
      </c>
      <c r="D449" s="2" t="s">
        <v>1234</v>
      </c>
      <c r="E449" s="2" t="s">
        <v>1159</v>
      </c>
      <c r="F449" s="2" t="s">
        <v>107</v>
      </c>
      <c r="G449" s="2" t="str">
        <f>VLOOKUP(F449,'Message Mapping'!A:L,3,FALSE)</f>
        <v>Transit;NORMAL;FALHA;Error</v>
      </c>
      <c r="H449" s="2" t="str">
        <f>VLOOKUP(F449,'Message Mapping'!A:L,4,FALSE)</f>
        <v>0;1;2;3</v>
      </c>
      <c r="I449" s="2"/>
      <c r="J449" s="3" t="str">
        <f>VLOOKUP(F449,'Message Mapping'!A:L,12,FALSE)</f>
        <v>Severidade 7</v>
      </c>
      <c r="K449" s="3"/>
      <c r="L449" s="3"/>
      <c r="M449" s="3"/>
      <c r="N449" s="3"/>
      <c r="O449" s="3"/>
      <c r="P449" s="3"/>
    </row>
    <row r="450" spans="1:16" x14ac:dyDescent="0.25">
      <c r="A450" s="94" t="s">
        <v>744</v>
      </c>
      <c r="B450" s="2" t="s">
        <v>743</v>
      </c>
      <c r="C450" s="2" t="s">
        <v>11</v>
      </c>
      <c r="D450" s="2" t="s">
        <v>1234</v>
      </c>
      <c r="E450" s="2" t="s">
        <v>1159</v>
      </c>
      <c r="F450" s="2" t="s">
        <v>107</v>
      </c>
      <c r="G450" s="2" t="str">
        <f>VLOOKUP(F450,'Message Mapping'!A:L,3,FALSE)</f>
        <v>Transit;NORMAL;FALHA;Error</v>
      </c>
      <c r="H450" s="2" t="str">
        <f>VLOOKUP(F450,'Message Mapping'!A:L,4,FALSE)</f>
        <v>0;1;2;3</v>
      </c>
      <c r="I450" s="2"/>
      <c r="J450" s="3" t="str">
        <f>VLOOKUP(F450,'Message Mapping'!A:L,12,FALSE)</f>
        <v>Severidade 7</v>
      </c>
      <c r="K450" s="3"/>
      <c r="L450" s="3"/>
      <c r="M450" s="3"/>
      <c r="N450" s="3"/>
      <c r="O450" s="3"/>
      <c r="P450" s="3"/>
    </row>
    <row r="451" spans="1:16" x14ac:dyDescent="0.25">
      <c r="A451" s="94" t="s">
        <v>745</v>
      </c>
      <c r="B451" s="2" t="s">
        <v>746</v>
      </c>
      <c r="C451" s="2" t="s">
        <v>11</v>
      </c>
      <c r="D451" s="2" t="s">
        <v>1234</v>
      </c>
      <c r="E451" s="2" t="s">
        <v>1159</v>
      </c>
      <c r="F451" s="2" t="s">
        <v>107</v>
      </c>
      <c r="G451" s="2" t="str">
        <f>VLOOKUP(F451,'Message Mapping'!A:L,3,FALSE)</f>
        <v>Transit;NORMAL;FALHA;Error</v>
      </c>
      <c r="H451" s="2" t="str">
        <f>VLOOKUP(F451,'Message Mapping'!A:L,4,FALSE)</f>
        <v>0;1;2;3</v>
      </c>
      <c r="I451" s="2"/>
      <c r="J451" s="3" t="str">
        <f>VLOOKUP(F451,'Message Mapping'!A:L,12,FALSE)</f>
        <v>Severidade 7</v>
      </c>
      <c r="K451" s="3"/>
      <c r="L451" s="3"/>
      <c r="M451" s="3"/>
      <c r="N451" s="3"/>
      <c r="O451" s="3"/>
      <c r="P451" s="3"/>
    </row>
    <row r="452" spans="1:16" x14ac:dyDescent="0.25">
      <c r="A452" s="94" t="s">
        <v>747</v>
      </c>
      <c r="B452" s="2" t="s">
        <v>748</v>
      </c>
      <c r="C452" s="2" t="s">
        <v>11</v>
      </c>
      <c r="D452" s="2" t="s">
        <v>1234</v>
      </c>
      <c r="E452" s="2" t="s">
        <v>1159</v>
      </c>
      <c r="F452" s="2" t="s">
        <v>107</v>
      </c>
      <c r="G452" s="2" t="str">
        <f>VLOOKUP(F452,'Message Mapping'!A:L,3,FALSE)</f>
        <v>Transit;NORMAL;FALHA;Error</v>
      </c>
      <c r="H452" s="2" t="str">
        <f>VLOOKUP(F452,'Message Mapping'!A:L,4,FALSE)</f>
        <v>0;1;2;3</v>
      </c>
      <c r="I452" s="2"/>
      <c r="J452" s="3" t="str">
        <f>VLOOKUP(F452,'Message Mapping'!A:L,12,FALSE)</f>
        <v>Severidade 7</v>
      </c>
      <c r="K452" s="3"/>
      <c r="L452" s="3"/>
      <c r="M452" s="3"/>
      <c r="N452" s="3"/>
      <c r="O452" s="3"/>
      <c r="P452" s="3"/>
    </row>
    <row r="453" spans="1:16" x14ac:dyDescent="0.25">
      <c r="A453" s="94" t="s">
        <v>716</v>
      </c>
      <c r="B453" s="2" t="s">
        <v>717</v>
      </c>
      <c r="C453" s="2" t="s">
        <v>11</v>
      </c>
      <c r="D453" s="2" t="s">
        <v>1172</v>
      </c>
      <c r="E453" s="2" t="s">
        <v>1159</v>
      </c>
      <c r="F453" s="2" t="s">
        <v>1200</v>
      </c>
      <c r="G453" s="2" t="str">
        <f>VLOOKUP(F453,'Message Mapping'!A:L,3,FALSE)</f>
        <v>Transit;NORMAL;FALHA;Error</v>
      </c>
      <c r="H453" s="2" t="str">
        <f>VLOOKUP(F453,'Message Mapping'!A:L,4,FALSE)</f>
        <v>0;1;2;3</v>
      </c>
      <c r="I453" s="2"/>
      <c r="J453" s="3" t="str">
        <f>VLOOKUP(F453,'Message Mapping'!A:L,12,FALSE)</f>
        <v>Severidade 3</v>
      </c>
      <c r="K453" s="3"/>
      <c r="L453" s="3"/>
      <c r="M453" s="3"/>
      <c r="N453" s="3"/>
      <c r="O453" s="3"/>
      <c r="P453" s="3"/>
    </row>
    <row r="454" spans="1:16" x14ac:dyDescent="0.25">
      <c r="A454" s="94" t="s">
        <v>751</v>
      </c>
      <c r="B454" s="2" t="s">
        <v>752</v>
      </c>
      <c r="C454" s="2" t="s">
        <v>11</v>
      </c>
      <c r="D454" s="2" t="s">
        <v>1234</v>
      </c>
      <c r="E454" s="2" t="s">
        <v>1159</v>
      </c>
      <c r="F454" s="2" t="s">
        <v>107</v>
      </c>
      <c r="G454" s="2" t="str">
        <f>VLOOKUP(F454,'Message Mapping'!A:L,3,FALSE)</f>
        <v>Transit;NORMAL;FALHA;Error</v>
      </c>
      <c r="H454" s="2" t="str">
        <f>VLOOKUP(F454,'Message Mapping'!A:L,4,FALSE)</f>
        <v>0;1;2;3</v>
      </c>
      <c r="I454" s="2"/>
      <c r="J454" s="3" t="str">
        <f>VLOOKUP(F454,'Message Mapping'!A:L,12,FALSE)</f>
        <v>Severidade 7</v>
      </c>
      <c r="K454" s="3"/>
      <c r="L454" s="3"/>
      <c r="M454" s="3"/>
      <c r="N454" s="3"/>
      <c r="O454" s="3"/>
      <c r="P454" s="3"/>
    </row>
    <row r="455" spans="1:16" x14ac:dyDescent="0.25">
      <c r="A455" s="94" t="s">
        <v>753</v>
      </c>
      <c r="B455" s="2" t="s">
        <v>754</v>
      </c>
      <c r="C455" s="2" t="s">
        <v>11</v>
      </c>
      <c r="D455" s="2" t="s">
        <v>1234</v>
      </c>
      <c r="E455" s="2" t="s">
        <v>1159</v>
      </c>
      <c r="F455" s="2" t="s">
        <v>107</v>
      </c>
      <c r="G455" s="2" t="str">
        <f>VLOOKUP(F455,'Message Mapping'!A:L,3,FALSE)</f>
        <v>Transit;NORMAL;FALHA;Error</v>
      </c>
      <c r="H455" s="2" t="str">
        <f>VLOOKUP(F455,'Message Mapping'!A:L,4,FALSE)</f>
        <v>0;1;2;3</v>
      </c>
      <c r="I455" s="2"/>
      <c r="J455" s="3" t="str">
        <f>VLOOKUP(F455,'Message Mapping'!A:L,12,FALSE)</f>
        <v>Severidade 7</v>
      </c>
      <c r="K455" s="3"/>
      <c r="L455" s="3"/>
      <c r="M455" s="3"/>
      <c r="N455" s="3"/>
      <c r="O455" s="3"/>
      <c r="P455" s="3"/>
    </row>
    <row r="456" spans="1:16" x14ac:dyDescent="0.25">
      <c r="A456" s="94" t="s">
        <v>755</v>
      </c>
      <c r="B456" s="2" t="s">
        <v>756</v>
      </c>
      <c r="C456" s="2" t="s">
        <v>11</v>
      </c>
      <c r="D456" s="2" t="s">
        <v>1234</v>
      </c>
      <c r="E456" s="2" t="s">
        <v>1159</v>
      </c>
      <c r="F456" s="2" t="s">
        <v>107</v>
      </c>
      <c r="G456" s="2" t="str">
        <f>VLOOKUP(F456,'Message Mapping'!A:L,3,FALSE)</f>
        <v>Transit;NORMAL;FALHA;Error</v>
      </c>
      <c r="H456" s="2" t="str">
        <f>VLOOKUP(F456,'Message Mapping'!A:L,4,FALSE)</f>
        <v>0;1;2;3</v>
      </c>
      <c r="I456" s="2"/>
      <c r="J456" s="3" t="str">
        <f>VLOOKUP(F456,'Message Mapping'!A:L,12,FALSE)</f>
        <v>Severidade 7</v>
      </c>
      <c r="K456" s="3"/>
      <c r="L456" s="3"/>
      <c r="M456" s="3"/>
      <c r="N456" s="3"/>
      <c r="O456" s="3"/>
      <c r="P456" s="3"/>
    </row>
    <row r="457" spans="1:16" x14ac:dyDescent="0.25">
      <c r="A457" s="94" t="s">
        <v>757</v>
      </c>
      <c r="B457" s="2" t="s">
        <v>758</v>
      </c>
      <c r="C457" s="2" t="s">
        <v>11</v>
      </c>
      <c r="D457" s="2" t="s">
        <v>1234</v>
      </c>
      <c r="E457" s="2" t="s">
        <v>1159</v>
      </c>
      <c r="F457" s="2" t="s">
        <v>107</v>
      </c>
      <c r="G457" s="2" t="str">
        <f>VLOOKUP(F457,'Message Mapping'!A:L,3,FALSE)</f>
        <v>Transit;NORMAL;FALHA;Error</v>
      </c>
      <c r="H457" s="2" t="str">
        <f>VLOOKUP(F457,'Message Mapping'!A:L,4,FALSE)</f>
        <v>0;1;2;3</v>
      </c>
      <c r="I457" s="2"/>
      <c r="J457" s="3" t="str">
        <f>VLOOKUP(F457,'Message Mapping'!A:L,12,FALSE)</f>
        <v>Severidade 7</v>
      </c>
      <c r="K457" s="3"/>
      <c r="L457" s="3"/>
      <c r="M457" s="3"/>
      <c r="N457" s="3"/>
      <c r="O457" s="3"/>
      <c r="P457" s="3"/>
    </row>
    <row r="458" spans="1:16" x14ac:dyDescent="0.25">
      <c r="A458" s="94" t="s">
        <v>759</v>
      </c>
      <c r="B458" s="2" t="s">
        <v>736</v>
      </c>
      <c r="C458" s="2" t="s">
        <v>11</v>
      </c>
      <c r="D458" s="2" t="s">
        <v>1234</v>
      </c>
      <c r="E458" s="2" t="s">
        <v>1159</v>
      </c>
      <c r="F458" s="2" t="s">
        <v>107</v>
      </c>
      <c r="G458" s="2" t="str">
        <f>VLOOKUP(F458,'Message Mapping'!A:L,3,FALSE)</f>
        <v>Transit;NORMAL;FALHA;Error</v>
      </c>
      <c r="H458" s="2" t="str">
        <f>VLOOKUP(F458,'Message Mapping'!A:L,4,FALSE)</f>
        <v>0;1;2;3</v>
      </c>
      <c r="I458" s="2"/>
      <c r="J458" s="3" t="str">
        <f>VLOOKUP(F458,'Message Mapping'!A:L,12,FALSE)</f>
        <v>Severidade 7</v>
      </c>
      <c r="K458" s="3"/>
      <c r="L458" s="3"/>
      <c r="M458" s="3"/>
      <c r="N458" s="3"/>
      <c r="O458" s="3"/>
      <c r="P458" s="3"/>
    </row>
    <row r="459" spans="1:16" x14ac:dyDescent="0.25">
      <c r="A459" s="94" t="s">
        <v>760</v>
      </c>
      <c r="B459" s="2" t="s">
        <v>761</v>
      </c>
      <c r="C459" s="2" t="s">
        <v>11</v>
      </c>
      <c r="D459" s="2" t="s">
        <v>1234</v>
      </c>
      <c r="E459" s="2" t="s">
        <v>1159</v>
      </c>
      <c r="F459" s="2" t="s">
        <v>107</v>
      </c>
      <c r="G459" s="2" t="str">
        <f>VLOOKUP(F459,'Message Mapping'!A:L,3,FALSE)</f>
        <v>Transit;NORMAL;FALHA;Error</v>
      </c>
      <c r="H459" s="2" t="str">
        <f>VLOOKUP(F459,'Message Mapping'!A:L,4,FALSE)</f>
        <v>0;1;2;3</v>
      </c>
      <c r="I459" s="2"/>
      <c r="J459" s="3" t="str">
        <f>VLOOKUP(F459,'Message Mapping'!A:L,12,FALSE)</f>
        <v>Severidade 7</v>
      </c>
      <c r="K459" s="3"/>
      <c r="L459" s="3"/>
      <c r="M459" s="3"/>
      <c r="N459" s="3"/>
      <c r="O459" s="3"/>
      <c r="P459" s="3"/>
    </row>
    <row r="460" spans="1:16" x14ac:dyDescent="0.25">
      <c r="A460" s="94" t="s">
        <v>762</v>
      </c>
      <c r="B460" s="2" t="s">
        <v>763</v>
      </c>
      <c r="C460" s="2" t="s">
        <v>11</v>
      </c>
      <c r="D460" s="2" t="s">
        <v>1234</v>
      </c>
      <c r="E460" s="2" t="s">
        <v>1159</v>
      </c>
      <c r="F460" s="2" t="s">
        <v>107</v>
      </c>
      <c r="G460" s="2" t="str">
        <f>VLOOKUP(F460,'Message Mapping'!A:L,3,FALSE)</f>
        <v>Transit;NORMAL;FALHA;Error</v>
      </c>
      <c r="H460" s="2" t="str">
        <f>VLOOKUP(F460,'Message Mapping'!A:L,4,FALSE)</f>
        <v>0;1;2;3</v>
      </c>
      <c r="I460" s="2"/>
      <c r="J460" s="3" t="str">
        <f>VLOOKUP(F460,'Message Mapping'!A:L,12,FALSE)</f>
        <v>Severidade 7</v>
      </c>
      <c r="K460" s="3"/>
      <c r="L460" s="3"/>
      <c r="M460" s="3"/>
      <c r="N460" s="3"/>
      <c r="O460" s="3"/>
      <c r="P460" s="3"/>
    </row>
    <row r="461" spans="1:16" x14ac:dyDescent="0.25">
      <c r="A461" s="94" t="s">
        <v>764</v>
      </c>
      <c r="B461" s="2" t="s">
        <v>765</v>
      </c>
      <c r="C461" s="2" t="s">
        <v>11</v>
      </c>
      <c r="D461" s="2" t="s">
        <v>1234</v>
      </c>
      <c r="E461" s="2" t="s">
        <v>1159</v>
      </c>
      <c r="F461" s="2" t="s">
        <v>107</v>
      </c>
      <c r="G461" s="2" t="str">
        <f>VLOOKUP(F461,'Message Mapping'!A:L,3,FALSE)</f>
        <v>Transit;NORMAL;FALHA;Error</v>
      </c>
      <c r="H461" s="2" t="str">
        <f>VLOOKUP(F461,'Message Mapping'!A:L,4,FALSE)</f>
        <v>0;1;2;3</v>
      </c>
      <c r="I461" s="2"/>
      <c r="J461" s="3" t="str">
        <f>VLOOKUP(F461,'Message Mapping'!A:L,12,FALSE)</f>
        <v>Severidade 7</v>
      </c>
      <c r="K461" s="3"/>
      <c r="L461" s="3"/>
      <c r="M461" s="3"/>
      <c r="N461" s="3"/>
      <c r="O461" s="3"/>
      <c r="P461" s="3"/>
    </row>
    <row r="462" spans="1:16" x14ac:dyDescent="0.25">
      <c r="A462" s="94" t="s">
        <v>766</v>
      </c>
      <c r="B462" s="2" t="s">
        <v>767</v>
      </c>
      <c r="C462" s="2" t="s">
        <v>11</v>
      </c>
      <c r="D462" s="2" t="s">
        <v>1172</v>
      </c>
      <c r="E462" s="2" t="s">
        <v>1159</v>
      </c>
      <c r="F462" s="2" t="s">
        <v>1200</v>
      </c>
      <c r="G462" s="2" t="str">
        <f>VLOOKUP(F462,'Message Mapping'!A:L,3,FALSE)</f>
        <v>Transit;NORMAL;FALHA;Error</v>
      </c>
      <c r="H462" s="2" t="str">
        <f>VLOOKUP(F462,'Message Mapping'!A:L,4,FALSE)</f>
        <v>0;1;2;3</v>
      </c>
      <c r="I462" s="2"/>
      <c r="J462" s="3" t="str">
        <f>VLOOKUP(F462,'Message Mapping'!A:L,12,FALSE)</f>
        <v>Severidade 3</v>
      </c>
      <c r="K462" s="3"/>
      <c r="L462" s="3"/>
      <c r="M462" s="3"/>
      <c r="N462" s="3"/>
      <c r="O462" s="3"/>
      <c r="P462" s="3"/>
    </row>
    <row r="463" spans="1:16" x14ac:dyDescent="0.25">
      <c r="A463" s="94" t="s">
        <v>768</v>
      </c>
      <c r="B463" s="2" t="s">
        <v>769</v>
      </c>
      <c r="C463" s="2" t="s">
        <v>11</v>
      </c>
      <c r="D463" s="2" t="s">
        <v>1172</v>
      </c>
      <c r="E463" s="2" t="s">
        <v>1159</v>
      </c>
      <c r="F463" s="2" t="s">
        <v>1200</v>
      </c>
      <c r="G463" s="2" t="str">
        <f>VLOOKUP(F463,'Message Mapping'!A:L,3,FALSE)</f>
        <v>Transit;NORMAL;FALHA;Error</v>
      </c>
      <c r="H463" s="2" t="str">
        <f>VLOOKUP(F463,'Message Mapping'!A:L,4,FALSE)</f>
        <v>0;1;2;3</v>
      </c>
      <c r="I463" s="2"/>
      <c r="J463" s="3" t="str">
        <f>VLOOKUP(F463,'Message Mapping'!A:L,12,FALSE)</f>
        <v>Severidade 3</v>
      </c>
      <c r="K463" s="3"/>
      <c r="L463" s="3"/>
      <c r="M463" s="3"/>
      <c r="N463" s="3"/>
      <c r="O463" s="3"/>
      <c r="P463" s="3"/>
    </row>
    <row r="464" spans="1:16" x14ac:dyDescent="0.25">
      <c r="A464" s="94" t="s">
        <v>770</v>
      </c>
      <c r="B464" s="2" t="s">
        <v>771</v>
      </c>
      <c r="C464" s="2" t="s">
        <v>11</v>
      </c>
      <c r="D464" s="2" t="s">
        <v>1172</v>
      </c>
      <c r="E464" s="2" t="s">
        <v>1159</v>
      </c>
      <c r="F464" s="2" t="s">
        <v>1200</v>
      </c>
      <c r="G464" s="2" t="str">
        <f>VLOOKUP(F464,'Message Mapping'!A:L,3,FALSE)</f>
        <v>Transit;NORMAL;FALHA;Error</v>
      </c>
      <c r="H464" s="2" t="str">
        <f>VLOOKUP(F464,'Message Mapping'!A:L,4,FALSE)</f>
        <v>0;1;2;3</v>
      </c>
      <c r="I464" s="2"/>
      <c r="J464" s="3" t="str">
        <f>VLOOKUP(F464,'Message Mapping'!A:L,12,FALSE)</f>
        <v>Severidade 3</v>
      </c>
      <c r="K464" s="3"/>
      <c r="L464" s="3"/>
      <c r="M464" s="3"/>
      <c r="N464" s="3"/>
      <c r="O464" s="3"/>
      <c r="P464" s="3"/>
    </row>
    <row r="465" spans="1:16" x14ac:dyDescent="0.25">
      <c r="A465" s="94" t="s">
        <v>772</v>
      </c>
      <c r="B465" s="2" t="s">
        <v>773</v>
      </c>
      <c r="C465" s="2" t="s">
        <v>11</v>
      </c>
      <c r="D465" s="2" t="s">
        <v>1172</v>
      </c>
      <c r="E465" s="2" t="s">
        <v>1159</v>
      </c>
      <c r="F465" s="2" t="s">
        <v>1200</v>
      </c>
      <c r="G465" s="2" t="str">
        <f>VLOOKUP(F465,'Message Mapping'!A:L,3,FALSE)</f>
        <v>Transit;NORMAL;FALHA;Error</v>
      </c>
      <c r="H465" s="2" t="str">
        <f>VLOOKUP(F465,'Message Mapping'!A:L,4,FALSE)</f>
        <v>0;1;2;3</v>
      </c>
      <c r="I465" s="2"/>
      <c r="J465" s="3" t="str">
        <f>VLOOKUP(F465,'Message Mapping'!A:L,12,FALSE)</f>
        <v>Severidade 3</v>
      </c>
      <c r="K465" s="3"/>
      <c r="L465" s="3"/>
      <c r="M465" s="3"/>
      <c r="N465" s="3"/>
      <c r="O465" s="3"/>
      <c r="P465" s="3"/>
    </row>
    <row r="466" spans="1:16" x14ac:dyDescent="0.25">
      <c r="A466" s="94" t="s">
        <v>774</v>
      </c>
      <c r="B466" s="2" t="s">
        <v>775</v>
      </c>
      <c r="C466" s="2" t="s">
        <v>11</v>
      </c>
      <c r="D466" s="2" t="s">
        <v>1172</v>
      </c>
      <c r="E466" s="2" t="s">
        <v>1159</v>
      </c>
      <c r="F466" s="2" t="s">
        <v>1200</v>
      </c>
      <c r="G466" s="2" t="str">
        <f>VLOOKUP(F466,'Message Mapping'!A:L,3,FALSE)</f>
        <v>Transit;NORMAL;FALHA;Error</v>
      </c>
      <c r="H466" s="2" t="str">
        <f>VLOOKUP(F466,'Message Mapping'!A:L,4,FALSE)</f>
        <v>0;1;2;3</v>
      </c>
      <c r="I466" s="2"/>
      <c r="J466" s="3" t="str">
        <f>VLOOKUP(F466,'Message Mapping'!A:L,12,FALSE)</f>
        <v>Severidade 3</v>
      </c>
      <c r="K466" s="3"/>
      <c r="L466" s="3"/>
      <c r="M466" s="3"/>
      <c r="N466" s="3"/>
      <c r="O466" s="3"/>
      <c r="P466" s="3"/>
    </row>
    <row r="467" spans="1:16" x14ac:dyDescent="0.25">
      <c r="A467" s="94" t="s">
        <v>776</v>
      </c>
      <c r="B467" s="2" t="s">
        <v>778</v>
      </c>
      <c r="C467" s="2" t="s">
        <v>11</v>
      </c>
      <c r="D467" s="2" t="s">
        <v>1172</v>
      </c>
      <c r="E467" s="2" t="s">
        <v>1159</v>
      </c>
      <c r="F467" s="2" t="s">
        <v>1200</v>
      </c>
      <c r="G467" s="2" t="str">
        <f>VLOOKUP(F467,'Message Mapping'!A:L,3,FALSE)</f>
        <v>Transit;NORMAL;FALHA;Error</v>
      </c>
      <c r="H467" s="2" t="str">
        <f>VLOOKUP(F467,'Message Mapping'!A:L,4,FALSE)</f>
        <v>0;1;2;3</v>
      </c>
      <c r="I467" s="2"/>
      <c r="J467" s="3" t="str">
        <f>VLOOKUP(F467,'Message Mapping'!A:L,12,FALSE)</f>
        <v>Severidade 3</v>
      </c>
      <c r="K467" s="3"/>
      <c r="L467" s="3"/>
      <c r="M467" s="3"/>
      <c r="N467" s="3"/>
      <c r="O467" s="3"/>
      <c r="P467" s="3"/>
    </row>
    <row r="468" spans="1:16" x14ac:dyDescent="0.25">
      <c r="A468" s="94" t="s">
        <v>779</v>
      </c>
      <c r="B468" s="2" t="s">
        <v>777</v>
      </c>
      <c r="C468" s="2" t="s">
        <v>11</v>
      </c>
      <c r="D468" s="2" t="s">
        <v>1172</v>
      </c>
      <c r="E468" s="2" t="s">
        <v>1159</v>
      </c>
      <c r="F468" s="2" t="s">
        <v>1200</v>
      </c>
      <c r="G468" s="2" t="str">
        <f>VLOOKUP(F468,'Message Mapping'!A:L,3,FALSE)</f>
        <v>Transit;NORMAL;FALHA;Error</v>
      </c>
      <c r="H468" s="2" t="str">
        <f>VLOOKUP(F468,'Message Mapping'!A:L,4,FALSE)</f>
        <v>0;1;2;3</v>
      </c>
      <c r="I468" s="2"/>
      <c r="J468" s="3" t="str">
        <f>VLOOKUP(F468,'Message Mapping'!A:L,12,FALSE)</f>
        <v>Severidade 3</v>
      </c>
      <c r="K468" s="3"/>
      <c r="L468" s="3"/>
      <c r="M468" s="3"/>
      <c r="N468" s="3"/>
      <c r="O468" s="3"/>
      <c r="P468" s="3"/>
    </row>
    <row r="469" spans="1:16" x14ac:dyDescent="0.25">
      <c r="A469" s="94" t="s">
        <v>780</v>
      </c>
      <c r="B469" s="2" t="s">
        <v>781</v>
      </c>
      <c r="C469" s="2" t="s">
        <v>11</v>
      </c>
      <c r="D469" s="2" t="s">
        <v>1172</v>
      </c>
      <c r="E469" s="2" t="s">
        <v>1159</v>
      </c>
      <c r="F469" s="2" t="s">
        <v>1200</v>
      </c>
      <c r="G469" s="2" t="str">
        <f>VLOOKUP(F469,'Message Mapping'!A:L,3,FALSE)</f>
        <v>Transit;NORMAL;FALHA;Error</v>
      </c>
      <c r="H469" s="2" t="str">
        <f>VLOOKUP(F469,'Message Mapping'!A:L,4,FALSE)</f>
        <v>0;1;2;3</v>
      </c>
      <c r="I469" s="2"/>
      <c r="J469" s="3" t="str">
        <f>VLOOKUP(F469,'Message Mapping'!A:L,12,FALSE)</f>
        <v>Severidade 3</v>
      </c>
      <c r="K469" s="3"/>
      <c r="L469" s="3"/>
      <c r="M469" s="3"/>
      <c r="N469" s="3"/>
      <c r="O469" s="3"/>
      <c r="P469" s="3"/>
    </row>
    <row r="470" spans="1:16" x14ac:dyDescent="0.25">
      <c r="A470" s="94" t="s">
        <v>782</v>
      </c>
      <c r="B470" s="2" t="s">
        <v>783</v>
      </c>
      <c r="C470" s="2" t="s">
        <v>11</v>
      </c>
      <c r="D470" s="2" t="s">
        <v>1172</v>
      </c>
      <c r="E470" s="2" t="s">
        <v>1159</v>
      </c>
      <c r="F470" s="2" t="s">
        <v>1200</v>
      </c>
      <c r="G470" s="2" t="str">
        <f>VLOOKUP(F470,'Message Mapping'!A:L,3,FALSE)</f>
        <v>Transit;NORMAL;FALHA;Error</v>
      </c>
      <c r="H470" s="2" t="str">
        <f>VLOOKUP(F470,'Message Mapping'!A:L,4,FALSE)</f>
        <v>0;1;2;3</v>
      </c>
      <c r="I470" s="2"/>
      <c r="J470" s="3" t="str">
        <f>VLOOKUP(F470,'Message Mapping'!A:L,12,FALSE)</f>
        <v>Severidade 3</v>
      </c>
      <c r="K470" s="3"/>
      <c r="L470" s="3"/>
      <c r="M470" s="3"/>
      <c r="N470" s="3"/>
      <c r="O470" s="3"/>
      <c r="P470" s="3"/>
    </row>
    <row r="471" spans="1:16" x14ac:dyDescent="0.25">
      <c r="A471" s="94" t="s">
        <v>784</v>
      </c>
      <c r="B471" s="2" t="s">
        <v>785</v>
      </c>
      <c r="C471" s="2" t="s">
        <v>11</v>
      </c>
      <c r="D471" s="2" t="s">
        <v>1234</v>
      </c>
      <c r="E471" s="2" t="s">
        <v>1159</v>
      </c>
      <c r="F471" s="2" t="s">
        <v>107</v>
      </c>
      <c r="G471" s="2" t="str">
        <f>VLOOKUP(F471,'Message Mapping'!A:L,3,FALSE)</f>
        <v>Transit;NORMAL;FALHA;Error</v>
      </c>
      <c r="H471" s="2" t="str">
        <f>VLOOKUP(F471,'Message Mapping'!A:L,4,FALSE)</f>
        <v>0;1;2;3</v>
      </c>
      <c r="I471" s="2"/>
      <c r="J471" s="3" t="str">
        <f>VLOOKUP(F471,'Message Mapping'!A:L,12,FALSE)</f>
        <v>Severidade 7</v>
      </c>
      <c r="K471" s="3"/>
      <c r="L471" s="3"/>
      <c r="M471" s="3"/>
      <c r="N471" s="3"/>
      <c r="O471" s="3"/>
      <c r="P471" s="3"/>
    </row>
    <row r="472" spans="1:16" x14ac:dyDescent="0.25">
      <c r="A472" s="94" t="s">
        <v>786</v>
      </c>
      <c r="B472" s="2" t="s">
        <v>787</v>
      </c>
      <c r="C472" s="2" t="s">
        <v>11</v>
      </c>
      <c r="D472" s="2" t="s">
        <v>1234</v>
      </c>
      <c r="E472" s="2" t="s">
        <v>1159</v>
      </c>
      <c r="F472" s="2" t="s">
        <v>107</v>
      </c>
      <c r="G472" s="2" t="str">
        <f>VLOOKUP(F472,'Message Mapping'!A:L,3,FALSE)</f>
        <v>Transit;NORMAL;FALHA;Error</v>
      </c>
      <c r="H472" s="2" t="str">
        <f>VLOOKUP(F472,'Message Mapping'!A:L,4,FALSE)</f>
        <v>0;1;2;3</v>
      </c>
      <c r="I472" s="2"/>
      <c r="J472" s="3" t="str">
        <f>VLOOKUP(F472,'Message Mapping'!A:L,12,FALSE)</f>
        <v>Severidade 7</v>
      </c>
      <c r="K472" s="3"/>
      <c r="L472" s="3"/>
      <c r="M472" s="3"/>
      <c r="N472" s="3"/>
      <c r="O472" s="3"/>
      <c r="P472" s="3"/>
    </row>
    <row r="473" spans="1:16" x14ac:dyDescent="0.25">
      <c r="A473" s="94" t="s">
        <v>749</v>
      </c>
      <c r="B473" s="2" t="s">
        <v>750</v>
      </c>
      <c r="C473" s="2" t="s">
        <v>11</v>
      </c>
      <c r="D473" s="2" t="s">
        <v>1234</v>
      </c>
      <c r="E473" s="2" t="s">
        <v>1159</v>
      </c>
      <c r="F473" s="2" t="s">
        <v>107</v>
      </c>
      <c r="G473" s="2" t="str">
        <f>VLOOKUP(F473,'Message Mapping'!A:L,3,FALSE)</f>
        <v>Transit;NORMAL;FALHA;Error</v>
      </c>
      <c r="H473" s="2" t="str">
        <f>VLOOKUP(F473,'Message Mapping'!A:L,4,FALSE)</f>
        <v>0;1;2;3</v>
      </c>
      <c r="I473" s="2"/>
      <c r="J473" s="3" t="str">
        <f>VLOOKUP(F473,'Message Mapping'!A:L,12,FALSE)</f>
        <v>Severidade 7</v>
      </c>
      <c r="K473" s="3"/>
      <c r="L473" s="3"/>
      <c r="M473" s="3"/>
      <c r="N473" s="3"/>
      <c r="O473" s="3"/>
      <c r="P473" s="3"/>
    </row>
    <row r="474" spans="1:16" x14ac:dyDescent="0.25">
      <c r="A474" s="94" t="s">
        <v>791</v>
      </c>
      <c r="B474" s="2" t="s">
        <v>792</v>
      </c>
      <c r="C474" s="2" t="s">
        <v>11</v>
      </c>
      <c r="D474" s="2" t="s">
        <v>1234</v>
      </c>
      <c r="E474" s="2" t="s">
        <v>1159</v>
      </c>
      <c r="F474" s="2" t="s">
        <v>107</v>
      </c>
      <c r="G474" s="2" t="str">
        <f>VLOOKUP(F474,'Message Mapping'!A:L,3,FALSE)</f>
        <v>Transit;NORMAL;FALHA;Error</v>
      </c>
      <c r="H474" s="2" t="str">
        <f>VLOOKUP(F474,'Message Mapping'!A:L,4,FALSE)</f>
        <v>0;1;2;3</v>
      </c>
      <c r="I474" s="2"/>
      <c r="J474" s="3" t="str">
        <f>VLOOKUP(F474,'Message Mapping'!A:L,12,FALSE)</f>
        <v>Severidade 7</v>
      </c>
      <c r="K474" s="3"/>
      <c r="L474" s="3"/>
      <c r="M474" s="3"/>
      <c r="N474" s="3"/>
      <c r="O474" s="3"/>
      <c r="P474" s="3"/>
    </row>
    <row r="475" spans="1:16" x14ac:dyDescent="0.25">
      <c r="A475" s="94" t="s">
        <v>793</v>
      </c>
      <c r="B475" s="2" t="s">
        <v>794</v>
      </c>
      <c r="C475" s="2" t="s">
        <v>11</v>
      </c>
      <c r="D475" s="2" t="s">
        <v>1172</v>
      </c>
      <c r="E475" s="2" t="s">
        <v>1159</v>
      </c>
      <c r="F475" s="2" t="s">
        <v>1200</v>
      </c>
      <c r="G475" s="2" t="str">
        <f>VLOOKUP(F475,'Message Mapping'!A:L,3,FALSE)</f>
        <v>Transit;NORMAL;FALHA;Error</v>
      </c>
      <c r="H475" s="2" t="str">
        <f>VLOOKUP(F475,'Message Mapping'!A:L,4,FALSE)</f>
        <v>0;1;2;3</v>
      </c>
      <c r="I475" s="2"/>
      <c r="J475" s="3" t="str">
        <f>VLOOKUP(F475,'Message Mapping'!A:L,12,FALSE)</f>
        <v>Severidade 3</v>
      </c>
      <c r="K475" s="3"/>
      <c r="L475" s="3"/>
      <c r="M475" s="3"/>
      <c r="N475" s="3"/>
      <c r="O475" s="3"/>
      <c r="P475" s="3"/>
    </row>
    <row r="476" spans="1:16" x14ac:dyDescent="0.25">
      <c r="A476" s="94" t="s">
        <v>795</v>
      </c>
      <c r="B476" s="2" t="s">
        <v>788</v>
      </c>
      <c r="C476" s="2" t="s">
        <v>11</v>
      </c>
      <c r="D476" s="2" t="s">
        <v>1234</v>
      </c>
      <c r="E476" s="2" t="s">
        <v>1159</v>
      </c>
      <c r="F476" s="2" t="s">
        <v>107</v>
      </c>
      <c r="G476" s="2" t="str">
        <f>VLOOKUP(F476,'Message Mapping'!A:L,3,FALSE)</f>
        <v>Transit;NORMAL;FALHA;Error</v>
      </c>
      <c r="H476" s="2" t="str">
        <f>VLOOKUP(F476,'Message Mapping'!A:L,4,FALSE)</f>
        <v>0;1;2;3</v>
      </c>
      <c r="I476" s="2"/>
      <c r="J476" s="3" t="str">
        <f>VLOOKUP(F476,'Message Mapping'!A:L,12,FALSE)</f>
        <v>Severidade 7</v>
      </c>
      <c r="K476" s="3"/>
      <c r="L476" s="3"/>
      <c r="M476" s="3"/>
      <c r="N476" s="3"/>
      <c r="O476" s="3"/>
      <c r="P476" s="3"/>
    </row>
    <row r="477" spans="1:16" x14ac:dyDescent="0.25">
      <c r="A477" s="94" t="s">
        <v>796</v>
      </c>
      <c r="B477" s="2" t="s">
        <v>108</v>
      </c>
      <c r="C477" s="2" t="s">
        <v>11</v>
      </c>
      <c r="D477" s="2" t="s">
        <v>1234</v>
      </c>
      <c r="E477" s="2" t="s">
        <v>1159</v>
      </c>
      <c r="F477" s="2" t="s">
        <v>107</v>
      </c>
      <c r="G477" s="2" t="str">
        <f>VLOOKUP(F477,'Message Mapping'!A:L,3,FALSE)</f>
        <v>Transit;NORMAL;FALHA;Error</v>
      </c>
      <c r="H477" s="2" t="str">
        <f>VLOOKUP(F477,'Message Mapping'!A:L,4,FALSE)</f>
        <v>0;1;2;3</v>
      </c>
      <c r="I477" s="2"/>
      <c r="J477" s="3" t="str">
        <f>VLOOKUP(F477,'Message Mapping'!A:L,12,FALSE)</f>
        <v>Severidade 7</v>
      </c>
      <c r="K477" s="3"/>
      <c r="L477" s="3"/>
      <c r="M477" s="3"/>
      <c r="N477" s="3"/>
      <c r="O477" s="3"/>
      <c r="P477" s="3"/>
    </row>
    <row r="478" spans="1:16" x14ac:dyDescent="0.25">
      <c r="A478" s="94" t="s">
        <v>797</v>
      </c>
      <c r="B478" s="2" t="s">
        <v>798</v>
      </c>
      <c r="C478" s="2" t="s">
        <v>11</v>
      </c>
      <c r="D478" s="2" t="s">
        <v>1172</v>
      </c>
      <c r="E478" s="2" t="s">
        <v>1159</v>
      </c>
      <c r="F478" s="2" t="s">
        <v>1200</v>
      </c>
      <c r="G478" s="2" t="str">
        <f>VLOOKUP(F478,'Message Mapping'!A:L,3,FALSE)</f>
        <v>Transit;NORMAL;FALHA;Error</v>
      </c>
      <c r="H478" s="2" t="str">
        <f>VLOOKUP(F478,'Message Mapping'!A:L,4,FALSE)</f>
        <v>0;1;2;3</v>
      </c>
      <c r="I478" s="2"/>
      <c r="J478" s="3" t="str">
        <f>VLOOKUP(F478,'Message Mapping'!A:L,12,FALSE)</f>
        <v>Severidade 3</v>
      </c>
      <c r="K478" s="3"/>
      <c r="L478" s="3"/>
      <c r="M478" s="3"/>
      <c r="N478" s="3"/>
      <c r="O478" s="3"/>
      <c r="P478" s="3"/>
    </row>
    <row r="479" spans="1:16" x14ac:dyDescent="0.25">
      <c r="A479" s="94" t="s">
        <v>799</v>
      </c>
      <c r="B479" s="2" t="s">
        <v>800</v>
      </c>
      <c r="C479" s="2" t="s">
        <v>11</v>
      </c>
      <c r="D479" s="2" t="s">
        <v>1172</v>
      </c>
      <c r="E479" s="2" t="s">
        <v>1159</v>
      </c>
      <c r="F479" s="2" t="s">
        <v>1200</v>
      </c>
      <c r="G479" s="2" t="str">
        <f>VLOOKUP(F479,'Message Mapping'!A:L,3,FALSE)</f>
        <v>Transit;NORMAL;FALHA;Error</v>
      </c>
      <c r="H479" s="2" t="str">
        <f>VLOOKUP(F479,'Message Mapping'!A:L,4,FALSE)</f>
        <v>0;1;2;3</v>
      </c>
      <c r="I479" s="2"/>
      <c r="J479" s="3" t="str">
        <f>VLOOKUP(F479,'Message Mapping'!A:L,12,FALSE)</f>
        <v>Severidade 3</v>
      </c>
      <c r="K479" s="3"/>
      <c r="L479" s="3"/>
      <c r="M479" s="3"/>
      <c r="N479" s="3"/>
      <c r="O479" s="3"/>
      <c r="P479" s="3"/>
    </row>
    <row r="480" spans="1:16" x14ac:dyDescent="0.25">
      <c r="A480" s="94" t="s">
        <v>801</v>
      </c>
      <c r="B480" s="2" t="s">
        <v>802</v>
      </c>
      <c r="C480" s="2" t="s">
        <v>11</v>
      </c>
      <c r="D480" s="2" t="s">
        <v>1172</v>
      </c>
      <c r="E480" s="2" t="s">
        <v>1159</v>
      </c>
      <c r="F480" s="2" t="s">
        <v>1200</v>
      </c>
      <c r="G480" s="2" t="str">
        <f>VLOOKUP(F480,'Message Mapping'!A:L,3,FALSE)</f>
        <v>Transit;NORMAL;FALHA;Error</v>
      </c>
      <c r="H480" s="2" t="str">
        <f>VLOOKUP(F480,'Message Mapping'!A:L,4,FALSE)</f>
        <v>0;1;2;3</v>
      </c>
      <c r="I480" s="2"/>
      <c r="J480" s="3" t="str">
        <f>VLOOKUP(F480,'Message Mapping'!A:L,12,FALSE)</f>
        <v>Severidade 3</v>
      </c>
      <c r="K480" s="3"/>
      <c r="L480" s="3"/>
      <c r="M480" s="3"/>
      <c r="N480" s="3"/>
      <c r="O480" s="3"/>
      <c r="P480" s="3"/>
    </row>
    <row r="481" spans="1:16" x14ac:dyDescent="0.25">
      <c r="A481" s="94" t="s">
        <v>803</v>
      </c>
      <c r="B481" s="2" t="s">
        <v>804</v>
      </c>
      <c r="C481" s="2" t="s">
        <v>11</v>
      </c>
      <c r="D481" s="2" t="s">
        <v>12</v>
      </c>
      <c r="E481" s="2" t="s">
        <v>1159</v>
      </c>
      <c r="F481" s="2" t="s">
        <v>1202</v>
      </c>
      <c r="G481" s="2" t="str">
        <f>VLOOKUP(F481,'Message Mapping'!A:L,3,FALSE)</f>
        <v>Transit;NORMAL;FALTA;Error</v>
      </c>
      <c r="H481" s="2" t="str">
        <f>VLOOKUP(F481,'Message Mapping'!A:L,4,FALSE)</f>
        <v>0;1;2;3</v>
      </c>
      <c r="I481" s="2"/>
      <c r="J481" s="3" t="str">
        <f>VLOOKUP(F481,'Message Mapping'!A:L,12,FALSE)</f>
        <v>Severidade 4</v>
      </c>
      <c r="K481" s="3"/>
      <c r="L481" s="3"/>
      <c r="M481" s="3"/>
      <c r="N481" s="3"/>
      <c r="O481" s="3"/>
      <c r="P481" s="3"/>
    </row>
    <row r="482" spans="1:16" x14ac:dyDescent="0.25">
      <c r="A482" s="94" t="s">
        <v>805</v>
      </c>
      <c r="B482" s="2" t="s">
        <v>806</v>
      </c>
      <c r="C482" s="2" t="s">
        <v>11</v>
      </c>
      <c r="D482" s="2" t="s">
        <v>12</v>
      </c>
      <c r="E482" s="2" t="s">
        <v>1159</v>
      </c>
      <c r="F482" s="2" t="s">
        <v>1202</v>
      </c>
      <c r="G482" s="2" t="str">
        <f>VLOOKUP(F482,'Message Mapping'!A:L,3,FALSE)</f>
        <v>Transit;NORMAL;FALTA;Error</v>
      </c>
      <c r="H482" s="2" t="str">
        <f>VLOOKUP(F482,'Message Mapping'!A:L,4,FALSE)</f>
        <v>0;1;2;3</v>
      </c>
      <c r="I482" s="2"/>
      <c r="J482" s="3" t="str">
        <f>VLOOKUP(F482,'Message Mapping'!A:L,12,FALSE)</f>
        <v>Severidade 4</v>
      </c>
      <c r="K482" s="3"/>
      <c r="L482" s="3"/>
      <c r="M482" s="3"/>
      <c r="N482" s="3"/>
      <c r="O482" s="3"/>
      <c r="P482" s="3"/>
    </row>
    <row r="483" spans="1:16" x14ac:dyDescent="0.25">
      <c r="A483" s="94" t="s">
        <v>807</v>
      </c>
      <c r="B483" s="2" t="s">
        <v>808</v>
      </c>
      <c r="C483" s="2" t="s">
        <v>11</v>
      </c>
      <c r="D483" s="2" t="s">
        <v>12</v>
      </c>
      <c r="E483" s="2" t="s">
        <v>1159</v>
      </c>
      <c r="F483" s="2" t="s">
        <v>1202</v>
      </c>
      <c r="G483" s="2" t="str">
        <f>VLOOKUP(F483,'Message Mapping'!A:L,3,FALSE)</f>
        <v>Transit;NORMAL;FALTA;Error</v>
      </c>
      <c r="H483" s="2" t="str">
        <f>VLOOKUP(F483,'Message Mapping'!A:L,4,FALSE)</f>
        <v>0;1;2;3</v>
      </c>
      <c r="I483" s="2"/>
      <c r="J483" s="3" t="str">
        <f>VLOOKUP(F483,'Message Mapping'!A:L,12,FALSE)</f>
        <v>Severidade 4</v>
      </c>
      <c r="K483" s="3"/>
      <c r="L483" s="3"/>
      <c r="M483" s="3"/>
      <c r="N483" s="3"/>
      <c r="O483" s="3"/>
      <c r="P483" s="3"/>
    </row>
    <row r="484" spans="1:16" x14ac:dyDescent="0.25">
      <c r="A484" s="94" t="s">
        <v>809</v>
      </c>
      <c r="B484" s="2" t="s">
        <v>810</v>
      </c>
      <c r="C484" s="2" t="s">
        <v>11</v>
      </c>
      <c r="D484" s="2" t="s">
        <v>12</v>
      </c>
      <c r="E484" s="2" t="s">
        <v>1159</v>
      </c>
      <c r="F484" s="2" t="s">
        <v>1202</v>
      </c>
      <c r="G484" s="2" t="str">
        <f>VLOOKUP(F484,'Message Mapping'!A:L,3,FALSE)</f>
        <v>Transit;NORMAL;FALTA;Error</v>
      </c>
      <c r="H484" s="2" t="str">
        <f>VLOOKUP(F484,'Message Mapping'!A:L,4,FALSE)</f>
        <v>0;1;2;3</v>
      </c>
      <c r="I484" s="2"/>
      <c r="J484" s="3" t="str">
        <f>VLOOKUP(F484,'Message Mapping'!A:L,12,FALSE)</f>
        <v>Severidade 4</v>
      </c>
      <c r="K484" s="3"/>
      <c r="L484" s="3"/>
      <c r="M484" s="3"/>
      <c r="N484" s="3"/>
      <c r="O484" s="3"/>
      <c r="P484" s="3"/>
    </row>
    <row r="485" spans="1:16" x14ac:dyDescent="0.25">
      <c r="A485" s="94" t="s">
        <v>811</v>
      </c>
      <c r="B485" s="2" t="s">
        <v>812</v>
      </c>
      <c r="C485" s="2" t="s">
        <v>11</v>
      </c>
      <c r="D485" s="2" t="s">
        <v>12</v>
      </c>
      <c r="E485" s="2" t="s">
        <v>1159</v>
      </c>
      <c r="F485" s="2" t="s">
        <v>1202</v>
      </c>
      <c r="G485" s="2" t="str">
        <f>VLOOKUP(F485,'Message Mapping'!A:L,3,FALSE)</f>
        <v>Transit;NORMAL;FALTA;Error</v>
      </c>
      <c r="H485" s="2" t="str">
        <f>VLOOKUP(F485,'Message Mapping'!A:L,4,FALSE)</f>
        <v>0;1;2;3</v>
      </c>
      <c r="I485" s="2"/>
      <c r="J485" s="3" t="str">
        <f>VLOOKUP(F485,'Message Mapping'!A:L,12,FALSE)</f>
        <v>Severidade 4</v>
      </c>
      <c r="K485" s="3"/>
      <c r="L485" s="3"/>
      <c r="M485" s="3"/>
      <c r="N485" s="3"/>
      <c r="O485" s="3"/>
      <c r="P485" s="3"/>
    </row>
    <row r="486" spans="1:16" x14ac:dyDescent="0.25">
      <c r="A486" s="94" t="s">
        <v>813</v>
      </c>
      <c r="B486" s="2" t="s">
        <v>814</v>
      </c>
      <c r="C486" s="2" t="s">
        <v>11</v>
      </c>
      <c r="D486" s="2" t="s">
        <v>12</v>
      </c>
      <c r="E486" s="2" t="s">
        <v>1159</v>
      </c>
      <c r="F486" s="2" t="s">
        <v>1202</v>
      </c>
      <c r="G486" s="2" t="str">
        <f>VLOOKUP(F486,'Message Mapping'!A:L,3,FALSE)</f>
        <v>Transit;NORMAL;FALTA;Error</v>
      </c>
      <c r="H486" s="2" t="str">
        <f>VLOOKUP(F486,'Message Mapping'!A:L,4,FALSE)</f>
        <v>0;1;2;3</v>
      </c>
      <c r="I486" s="2"/>
      <c r="J486" s="3" t="str">
        <f>VLOOKUP(F486,'Message Mapping'!A:L,12,FALSE)</f>
        <v>Severidade 4</v>
      </c>
      <c r="K486" s="3"/>
      <c r="L486" s="3"/>
      <c r="M486" s="3"/>
      <c r="N486" s="3"/>
      <c r="O486" s="3"/>
      <c r="P486" s="3"/>
    </row>
    <row r="487" spans="1:16" x14ac:dyDescent="0.25">
      <c r="A487" s="94" t="s">
        <v>815</v>
      </c>
      <c r="B487" s="2" t="s">
        <v>816</v>
      </c>
      <c r="C487" s="2" t="s">
        <v>11</v>
      </c>
      <c r="D487" s="2" t="s">
        <v>12</v>
      </c>
      <c r="E487" s="2" t="s">
        <v>1159</v>
      </c>
      <c r="F487" s="2" t="s">
        <v>1202</v>
      </c>
      <c r="G487" s="2" t="str">
        <f>VLOOKUP(F487,'Message Mapping'!A:L,3,FALSE)</f>
        <v>Transit;NORMAL;FALTA;Error</v>
      </c>
      <c r="H487" s="2" t="str">
        <f>VLOOKUP(F487,'Message Mapping'!A:L,4,FALSE)</f>
        <v>0;1;2;3</v>
      </c>
      <c r="I487" s="2"/>
      <c r="J487" s="3" t="str">
        <f>VLOOKUP(F487,'Message Mapping'!A:L,12,FALSE)</f>
        <v>Severidade 4</v>
      </c>
      <c r="K487" s="3"/>
      <c r="L487" s="3"/>
      <c r="M487" s="3"/>
      <c r="N487" s="3"/>
      <c r="O487" s="3"/>
      <c r="P487" s="3"/>
    </row>
    <row r="488" spans="1:16" x14ac:dyDescent="0.25">
      <c r="A488" s="94" t="s">
        <v>817</v>
      </c>
      <c r="B488" s="2" t="s">
        <v>818</v>
      </c>
      <c r="C488" s="2" t="s">
        <v>11</v>
      </c>
      <c r="D488" s="2" t="s">
        <v>1234</v>
      </c>
      <c r="E488" s="2" t="s">
        <v>1159</v>
      </c>
      <c r="F488" s="2" t="s">
        <v>104</v>
      </c>
      <c r="G488" s="2" t="str">
        <f>VLOOKUP(F488,'Message Mapping'!A:L,3,FALSE)</f>
        <v>Transit;NORMAL;FALTA;Error</v>
      </c>
      <c r="H488" s="2" t="str">
        <f>VLOOKUP(F488,'Message Mapping'!A:L,4,FALSE)</f>
        <v>0;1;2;3</v>
      </c>
      <c r="I488" s="2"/>
      <c r="J488" s="3" t="str">
        <f>VLOOKUP(F488,'Message Mapping'!A:L,12,FALSE)</f>
        <v>Severidade 7</v>
      </c>
      <c r="K488" s="3"/>
      <c r="L488" s="3"/>
      <c r="M488" s="3"/>
      <c r="N488" s="3"/>
      <c r="O488" s="3"/>
      <c r="P488" s="3"/>
    </row>
    <row r="489" spans="1:16" x14ac:dyDescent="0.25">
      <c r="A489" s="94" t="s">
        <v>819</v>
      </c>
      <c r="B489" s="2" t="s">
        <v>820</v>
      </c>
      <c r="C489" s="2" t="s">
        <v>11</v>
      </c>
      <c r="D489" s="2" t="s">
        <v>1234</v>
      </c>
      <c r="E489" s="2" t="s">
        <v>1159</v>
      </c>
      <c r="F489" s="2" t="s">
        <v>104</v>
      </c>
      <c r="G489" s="2" t="str">
        <f>VLOOKUP(F489,'Message Mapping'!A:L,3,FALSE)</f>
        <v>Transit;NORMAL;FALTA;Error</v>
      </c>
      <c r="H489" s="2" t="str">
        <f>VLOOKUP(F489,'Message Mapping'!A:L,4,FALSE)</f>
        <v>0;1;2;3</v>
      </c>
      <c r="I489" s="2"/>
      <c r="J489" s="3" t="str">
        <f>VLOOKUP(F489,'Message Mapping'!A:L,12,FALSE)</f>
        <v>Severidade 7</v>
      </c>
      <c r="K489" s="3"/>
      <c r="L489" s="3"/>
      <c r="M489" s="3"/>
      <c r="N489" s="3"/>
      <c r="O489" s="3"/>
      <c r="P489" s="3"/>
    </row>
    <row r="490" spans="1:16" x14ac:dyDescent="0.25">
      <c r="A490" s="94" t="s">
        <v>821</v>
      </c>
      <c r="B490" s="2" t="s">
        <v>822</v>
      </c>
      <c r="C490" s="2" t="s">
        <v>11</v>
      </c>
      <c r="D490" s="2" t="s">
        <v>1234</v>
      </c>
      <c r="E490" s="2" t="s">
        <v>1159</v>
      </c>
      <c r="F490" s="2" t="s">
        <v>104</v>
      </c>
      <c r="G490" s="2" t="str">
        <f>VLOOKUP(F490,'Message Mapping'!A:L,3,FALSE)</f>
        <v>Transit;NORMAL;FALTA;Error</v>
      </c>
      <c r="H490" s="2" t="str">
        <f>VLOOKUP(F490,'Message Mapping'!A:L,4,FALSE)</f>
        <v>0;1;2;3</v>
      </c>
      <c r="I490" s="2"/>
      <c r="J490" s="3" t="str">
        <f>VLOOKUP(F490,'Message Mapping'!A:L,12,FALSE)</f>
        <v>Severidade 7</v>
      </c>
      <c r="K490" s="3"/>
      <c r="L490" s="3"/>
      <c r="M490" s="3"/>
      <c r="N490" s="3"/>
      <c r="O490" s="3"/>
      <c r="P490" s="3"/>
    </row>
    <row r="491" spans="1:16" x14ac:dyDescent="0.25">
      <c r="A491" s="94" t="s">
        <v>823</v>
      </c>
      <c r="B491" s="2" t="s">
        <v>824</v>
      </c>
      <c r="C491" s="2" t="s">
        <v>11</v>
      </c>
      <c r="D491" s="2" t="s">
        <v>1234</v>
      </c>
      <c r="E491" s="2" t="s">
        <v>1159</v>
      </c>
      <c r="F491" s="2" t="s">
        <v>104</v>
      </c>
      <c r="G491" s="2" t="str">
        <f>VLOOKUP(F491,'Message Mapping'!A:L,3,FALSE)</f>
        <v>Transit;NORMAL;FALTA;Error</v>
      </c>
      <c r="H491" s="2" t="str">
        <f>VLOOKUP(F491,'Message Mapping'!A:L,4,FALSE)</f>
        <v>0;1;2;3</v>
      </c>
      <c r="I491" s="2"/>
      <c r="J491" s="3" t="str">
        <f>VLOOKUP(F491,'Message Mapping'!A:L,12,FALSE)</f>
        <v>Severidade 7</v>
      </c>
      <c r="K491" s="3"/>
      <c r="L491" s="3"/>
      <c r="M491" s="3"/>
      <c r="N491" s="3"/>
      <c r="O491" s="3"/>
      <c r="P491" s="3"/>
    </row>
    <row r="492" spans="1:16" x14ac:dyDescent="0.25">
      <c r="A492" s="94" t="s">
        <v>4248</v>
      </c>
      <c r="B492" s="2" t="s">
        <v>4247</v>
      </c>
      <c r="C492" s="2" t="s">
        <v>11</v>
      </c>
      <c r="D492" s="2" t="s">
        <v>1234</v>
      </c>
      <c r="E492" s="2" t="s">
        <v>1159</v>
      </c>
      <c r="F492" s="2" t="s">
        <v>104</v>
      </c>
      <c r="G492" s="2" t="str">
        <f>VLOOKUP(F492,'Message Mapping'!A:L,3,FALSE)</f>
        <v>Transit;NORMAL;FALTA;Error</v>
      </c>
      <c r="H492" s="2" t="str">
        <f>VLOOKUP(F492,'Message Mapping'!A:L,4,FALSE)</f>
        <v>0;1;2;3</v>
      </c>
      <c r="I492" s="2"/>
      <c r="J492" s="3" t="str">
        <f>VLOOKUP(F492,'Message Mapping'!A:L,12,FALSE)</f>
        <v>Severidade 7</v>
      </c>
      <c r="K492" s="3"/>
      <c r="L492" s="3"/>
      <c r="M492" s="3"/>
      <c r="N492" s="3"/>
      <c r="O492" s="3"/>
      <c r="P492" s="3"/>
    </row>
    <row r="493" spans="1:16" x14ac:dyDescent="0.25">
      <c r="A493" s="94" t="s">
        <v>825</v>
      </c>
      <c r="B493" s="2" t="s">
        <v>826</v>
      </c>
      <c r="C493" s="2" t="s">
        <v>11</v>
      </c>
      <c r="D493" s="2" t="s">
        <v>1234</v>
      </c>
      <c r="E493" s="2" t="s">
        <v>1159</v>
      </c>
      <c r="F493" s="2" t="s">
        <v>104</v>
      </c>
      <c r="G493" s="2" t="str">
        <f>VLOOKUP(F493,'Message Mapping'!A:L,3,FALSE)</f>
        <v>Transit;NORMAL;FALTA;Error</v>
      </c>
      <c r="H493" s="2" t="str">
        <f>VLOOKUP(F493,'Message Mapping'!A:L,4,FALSE)</f>
        <v>0;1;2;3</v>
      </c>
      <c r="I493" s="2"/>
      <c r="J493" s="3" t="str">
        <f>VLOOKUP(F493,'Message Mapping'!A:L,12,FALSE)</f>
        <v>Severidade 7</v>
      </c>
      <c r="K493" s="3"/>
      <c r="L493" s="3"/>
      <c r="M493" s="3"/>
      <c r="N493" s="3"/>
      <c r="O493" s="3"/>
      <c r="P493" s="3"/>
    </row>
    <row r="494" spans="1:16" x14ac:dyDescent="0.25">
      <c r="A494" s="94" t="s">
        <v>828</v>
      </c>
      <c r="B494" s="2" t="s">
        <v>2806</v>
      </c>
      <c r="C494" s="2" t="s">
        <v>11</v>
      </c>
      <c r="D494" s="2" t="s">
        <v>1234</v>
      </c>
      <c r="E494" s="2" t="s">
        <v>1159</v>
      </c>
      <c r="F494" s="2" t="s">
        <v>104</v>
      </c>
      <c r="G494" s="2" t="str">
        <f>VLOOKUP(F494,'Message Mapping'!A:L,3,FALSE)</f>
        <v>Transit;NORMAL;FALTA;Error</v>
      </c>
      <c r="H494" s="2" t="str">
        <f>VLOOKUP(F494,'Message Mapping'!A:L,4,FALSE)</f>
        <v>0;1;2;3</v>
      </c>
      <c r="I494" s="2"/>
      <c r="J494" s="3" t="str">
        <f>VLOOKUP(F494,'Message Mapping'!A:L,12,FALSE)</f>
        <v>Severidade 7</v>
      </c>
      <c r="K494" s="3"/>
      <c r="L494" s="3"/>
      <c r="M494" s="3"/>
      <c r="N494" s="3"/>
      <c r="O494" s="3"/>
      <c r="P494" s="3"/>
    </row>
    <row r="495" spans="1:16" x14ac:dyDescent="0.25">
      <c r="A495" s="94" t="s">
        <v>829</v>
      </c>
      <c r="B495" s="2" t="s">
        <v>827</v>
      </c>
      <c r="C495" s="2" t="s">
        <v>11</v>
      </c>
      <c r="D495" s="2" t="s">
        <v>1234</v>
      </c>
      <c r="E495" s="2" t="s">
        <v>1159</v>
      </c>
      <c r="F495" s="2" t="s">
        <v>104</v>
      </c>
      <c r="G495" s="2" t="str">
        <f>VLOOKUP(F495,'Message Mapping'!A:L,3,FALSE)</f>
        <v>Transit;NORMAL;FALTA;Error</v>
      </c>
      <c r="H495" s="2" t="str">
        <f>VLOOKUP(F495,'Message Mapping'!A:L,4,FALSE)</f>
        <v>0;1;2;3</v>
      </c>
      <c r="I495" s="2"/>
      <c r="J495" s="3" t="str">
        <f>VLOOKUP(F495,'Message Mapping'!A:L,12,FALSE)</f>
        <v>Severidade 7</v>
      </c>
      <c r="K495" s="3"/>
      <c r="L495" s="3"/>
      <c r="M495" s="3"/>
      <c r="N495" s="3"/>
      <c r="O495" s="3"/>
      <c r="P495" s="3"/>
    </row>
    <row r="496" spans="1:16" x14ac:dyDescent="0.25">
      <c r="A496" s="94" t="s">
        <v>830</v>
      </c>
      <c r="B496" s="2" t="s">
        <v>831</v>
      </c>
      <c r="C496" s="2" t="s">
        <v>11</v>
      </c>
      <c r="D496" s="2" t="s">
        <v>1234</v>
      </c>
      <c r="E496" s="2" t="s">
        <v>1159</v>
      </c>
      <c r="F496" s="2" t="s">
        <v>104</v>
      </c>
      <c r="G496" s="2" t="str">
        <f>VLOOKUP(F496,'Message Mapping'!A:L,3,FALSE)</f>
        <v>Transit;NORMAL;FALTA;Error</v>
      </c>
      <c r="H496" s="2" t="str">
        <f>VLOOKUP(F496,'Message Mapping'!A:L,4,FALSE)</f>
        <v>0;1;2;3</v>
      </c>
      <c r="I496" s="2"/>
      <c r="J496" s="3" t="str">
        <f>VLOOKUP(F496,'Message Mapping'!A:L,12,FALSE)</f>
        <v>Severidade 7</v>
      </c>
      <c r="K496" s="3"/>
      <c r="L496" s="3"/>
      <c r="M496" s="3"/>
      <c r="N496" s="3"/>
      <c r="O496" s="3"/>
      <c r="P496" s="3"/>
    </row>
    <row r="497" spans="1:16" x14ac:dyDescent="0.25">
      <c r="A497" s="94" t="s">
        <v>832</v>
      </c>
      <c r="B497" s="2" t="s">
        <v>833</v>
      </c>
      <c r="C497" s="2" t="s">
        <v>11</v>
      </c>
      <c r="D497" s="2" t="s">
        <v>1234</v>
      </c>
      <c r="E497" s="2" t="s">
        <v>1159</v>
      </c>
      <c r="F497" s="2" t="s">
        <v>104</v>
      </c>
      <c r="G497" s="2" t="str">
        <f>VLOOKUP(F497,'Message Mapping'!A:L,3,FALSE)</f>
        <v>Transit;NORMAL;FALTA;Error</v>
      </c>
      <c r="H497" s="2" t="str">
        <f>VLOOKUP(F497,'Message Mapping'!A:L,4,FALSE)</f>
        <v>0;1;2;3</v>
      </c>
      <c r="I497" s="2"/>
      <c r="J497" s="3" t="str">
        <f>VLOOKUP(F497,'Message Mapping'!A:L,12,FALSE)</f>
        <v>Severidade 7</v>
      </c>
      <c r="K497" s="3"/>
      <c r="L497" s="3"/>
      <c r="M497" s="3"/>
      <c r="N497" s="3"/>
      <c r="O497" s="3"/>
      <c r="P497" s="3"/>
    </row>
    <row r="498" spans="1:16" x14ac:dyDescent="0.25">
      <c r="A498" s="94" t="s">
        <v>4359</v>
      </c>
      <c r="B498" s="2" t="s">
        <v>4361</v>
      </c>
      <c r="C498" s="2" t="s">
        <v>11</v>
      </c>
      <c r="D498" s="2" t="s">
        <v>1172</v>
      </c>
      <c r="E498" s="2" t="s">
        <v>1159</v>
      </c>
      <c r="F498" s="2" t="s">
        <v>1200</v>
      </c>
      <c r="G498" s="2" t="str">
        <f>VLOOKUP(F498,'Message Mapping'!A:L,3,FALSE)</f>
        <v>Transit;NORMAL;FALHA;Error</v>
      </c>
      <c r="H498" s="2" t="str">
        <f>VLOOKUP(F498,'Message Mapping'!A:L,4,FALSE)</f>
        <v>0;1;2;3</v>
      </c>
      <c r="I498" s="2"/>
      <c r="J498" s="3" t="str">
        <f>VLOOKUP(F498,'Message Mapping'!A:L,12,FALSE)</f>
        <v>Severidade 3</v>
      </c>
      <c r="K498" s="3"/>
      <c r="L498" s="3"/>
      <c r="M498" s="3"/>
      <c r="N498" s="3"/>
      <c r="O498" s="3"/>
      <c r="P498" s="3"/>
    </row>
    <row r="499" spans="1:16" x14ac:dyDescent="0.25">
      <c r="A499" s="94" t="s">
        <v>4360</v>
      </c>
      <c r="B499" s="2" t="s">
        <v>4362</v>
      </c>
      <c r="C499" s="2" t="s">
        <v>11</v>
      </c>
      <c r="D499" s="2" t="s">
        <v>1172</v>
      </c>
      <c r="E499" s="2" t="s">
        <v>1159</v>
      </c>
      <c r="F499" s="2" t="s">
        <v>1200</v>
      </c>
      <c r="G499" s="2" t="str">
        <f>VLOOKUP(F499,'Message Mapping'!A:L,3,FALSE)</f>
        <v>Transit;NORMAL;FALHA;Error</v>
      </c>
      <c r="H499" s="2" t="str">
        <f>VLOOKUP(F499,'Message Mapping'!A:L,4,FALSE)</f>
        <v>0;1;2;3</v>
      </c>
      <c r="I499" s="2"/>
      <c r="J499" s="3" t="str">
        <f>VLOOKUP(F499,'Message Mapping'!A:L,12,FALSE)</f>
        <v>Severidade 3</v>
      </c>
      <c r="K499" s="3"/>
      <c r="L499" s="3"/>
      <c r="M499" s="3"/>
      <c r="N499" s="3"/>
      <c r="O499" s="3"/>
      <c r="P499" s="3"/>
    </row>
    <row r="500" spans="1:16" x14ac:dyDescent="0.25">
      <c r="A500" s="94" t="s">
        <v>4366</v>
      </c>
      <c r="B500" s="2" t="s">
        <v>4367</v>
      </c>
      <c r="C500" s="2" t="s">
        <v>11</v>
      </c>
      <c r="D500" s="2" t="s">
        <v>1172</v>
      </c>
      <c r="E500" s="2" t="s">
        <v>1159</v>
      </c>
      <c r="F500" s="2" t="s">
        <v>1200</v>
      </c>
      <c r="G500" s="2" t="str">
        <f>VLOOKUP(F500,'Message Mapping'!A:L,3,FALSE)</f>
        <v>Transit;NORMAL;FALHA;Error</v>
      </c>
      <c r="H500" s="2" t="str">
        <f>VLOOKUP(F500,'Message Mapping'!A:L,4,FALSE)</f>
        <v>0;1;2;3</v>
      </c>
      <c r="I500" s="2"/>
      <c r="J500" s="3" t="str">
        <f>VLOOKUP(F500,'Message Mapping'!A:L,12,FALSE)</f>
        <v>Severidade 3</v>
      </c>
      <c r="K500" s="3"/>
      <c r="L500" s="3"/>
      <c r="M500" s="3"/>
      <c r="N500" s="3"/>
      <c r="O500" s="3"/>
      <c r="P500" s="3"/>
    </row>
    <row r="501" spans="1:16" x14ac:dyDescent="0.25">
      <c r="A501" s="94" t="s">
        <v>835</v>
      </c>
      <c r="B501" s="2" t="s">
        <v>836</v>
      </c>
      <c r="C501" s="2" t="s">
        <v>11</v>
      </c>
      <c r="D501" s="2" t="s">
        <v>1234</v>
      </c>
      <c r="E501" s="2" t="s">
        <v>1159</v>
      </c>
      <c r="F501" s="2" t="s">
        <v>104</v>
      </c>
      <c r="G501" s="2" t="str">
        <f>VLOOKUP(F501,'Message Mapping'!A:L,3,FALSE)</f>
        <v>Transit;NORMAL;FALTA;Error</v>
      </c>
      <c r="H501" s="2" t="str">
        <f>VLOOKUP(F501,'Message Mapping'!A:L,4,FALSE)</f>
        <v>0;1;2;3</v>
      </c>
      <c r="I501" s="2"/>
      <c r="J501" s="3" t="str">
        <f>VLOOKUP(F501,'Message Mapping'!A:L,12,FALSE)</f>
        <v>Severidade 7</v>
      </c>
      <c r="K501" s="3"/>
      <c r="L501" s="3"/>
      <c r="M501" s="3"/>
      <c r="N501" s="3"/>
      <c r="O501" s="3"/>
      <c r="P501" s="3"/>
    </row>
    <row r="502" spans="1:16" x14ac:dyDescent="0.25">
      <c r="A502" s="94" t="s">
        <v>837</v>
      </c>
      <c r="B502" s="2" t="s">
        <v>838</v>
      </c>
      <c r="C502" s="2" t="s">
        <v>11</v>
      </c>
      <c r="D502" s="2" t="s">
        <v>1234</v>
      </c>
      <c r="E502" s="2" t="s">
        <v>1159</v>
      </c>
      <c r="F502" s="2" t="s">
        <v>104</v>
      </c>
      <c r="G502" s="2" t="str">
        <f>VLOOKUP(F502,'Message Mapping'!A:L,3,FALSE)</f>
        <v>Transit;NORMAL;FALTA;Error</v>
      </c>
      <c r="H502" s="2" t="str">
        <f>VLOOKUP(F502,'Message Mapping'!A:L,4,FALSE)</f>
        <v>0;1;2;3</v>
      </c>
      <c r="I502" s="2"/>
      <c r="J502" s="3" t="str">
        <f>VLOOKUP(F502,'Message Mapping'!A:L,12,FALSE)</f>
        <v>Severidade 7</v>
      </c>
      <c r="K502" s="3"/>
      <c r="L502" s="3"/>
      <c r="M502" s="3"/>
      <c r="N502" s="3"/>
      <c r="O502" s="3"/>
      <c r="P502" s="3"/>
    </row>
    <row r="503" spans="1:16" x14ac:dyDescent="0.25">
      <c r="A503" s="94" t="s">
        <v>840</v>
      </c>
      <c r="B503" s="2" t="s">
        <v>841</v>
      </c>
      <c r="C503" s="2" t="s">
        <v>11</v>
      </c>
      <c r="D503" s="2" t="s">
        <v>1234</v>
      </c>
      <c r="E503" s="2" t="s">
        <v>1159</v>
      </c>
      <c r="F503" s="2" t="s">
        <v>104</v>
      </c>
      <c r="G503" s="2" t="str">
        <f>VLOOKUP(F503,'Message Mapping'!A:L,3,FALSE)</f>
        <v>Transit;NORMAL;FALTA;Error</v>
      </c>
      <c r="H503" s="2" t="str">
        <f>VLOOKUP(F503,'Message Mapping'!A:L,4,FALSE)</f>
        <v>0;1;2;3</v>
      </c>
      <c r="I503" s="2"/>
      <c r="J503" s="3" t="str">
        <f>VLOOKUP(F503,'Message Mapping'!A:L,12,FALSE)</f>
        <v>Severidade 7</v>
      </c>
      <c r="K503" s="3"/>
      <c r="L503" s="3"/>
      <c r="M503" s="3"/>
      <c r="N503" s="3"/>
      <c r="O503" s="3"/>
      <c r="P503" s="3"/>
    </row>
    <row r="504" spans="1:16" x14ac:dyDescent="0.25">
      <c r="A504" s="94" t="s">
        <v>842</v>
      </c>
      <c r="B504" s="2" t="s">
        <v>843</v>
      </c>
      <c r="C504" s="2" t="s">
        <v>11</v>
      </c>
      <c r="D504" s="2" t="s">
        <v>1234</v>
      </c>
      <c r="E504" s="2" t="s">
        <v>1159</v>
      </c>
      <c r="F504" s="2" t="s">
        <v>104</v>
      </c>
      <c r="G504" s="2" t="str">
        <f>VLOOKUP(F504,'Message Mapping'!A:L,3,FALSE)</f>
        <v>Transit;NORMAL;FALTA;Error</v>
      </c>
      <c r="H504" s="2" t="str">
        <f>VLOOKUP(F504,'Message Mapping'!A:L,4,FALSE)</f>
        <v>0;1;2;3</v>
      </c>
      <c r="I504" s="2"/>
      <c r="J504" s="3" t="str">
        <f>VLOOKUP(F504,'Message Mapping'!A:L,12,FALSE)</f>
        <v>Severidade 7</v>
      </c>
      <c r="K504" s="3"/>
      <c r="L504" s="3"/>
      <c r="M504" s="3"/>
      <c r="N504" s="3"/>
      <c r="O504" s="3"/>
      <c r="P504" s="3"/>
    </row>
    <row r="505" spans="1:16" x14ac:dyDescent="0.25">
      <c r="A505" s="94" t="s">
        <v>844</v>
      </c>
      <c r="B505" s="2" t="s">
        <v>845</v>
      </c>
      <c r="C505" s="2" t="s">
        <v>11</v>
      </c>
      <c r="D505" s="2" t="s">
        <v>1234</v>
      </c>
      <c r="E505" s="2" t="s">
        <v>1159</v>
      </c>
      <c r="F505" s="2" t="s">
        <v>104</v>
      </c>
      <c r="G505" s="2" t="str">
        <f>VLOOKUP(F505,'Message Mapping'!A:L,3,FALSE)</f>
        <v>Transit;NORMAL;FALTA;Error</v>
      </c>
      <c r="H505" s="2" t="str">
        <f>VLOOKUP(F505,'Message Mapping'!A:L,4,FALSE)</f>
        <v>0;1;2;3</v>
      </c>
      <c r="I505" s="2"/>
      <c r="J505" s="3" t="str">
        <f>VLOOKUP(F505,'Message Mapping'!A:L,12,FALSE)</f>
        <v>Severidade 7</v>
      </c>
      <c r="K505" s="3"/>
      <c r="L505" s="3"/>
      <c r="M505" s="3"/>
      <c r="N505" s="3"/>
      <c r="O505" s="3"/>
      <c r="P505" s="3"/>
    </row>
    <row r="506" spans="1:16" x14ac:dyDescent="0.25">
      <c r="A506" s="94" t="s">
        <v>846</v>
      </c>
      <c r="B506" s="2" t="s">
        <v>847</v>
      </c>
      <c r="C506" s="2" t="s">
        <v>11</v>
      </c>
      <c r="D506" s="2" t="s">
        <v>1234</v>
      </c>
      <c r="E506" s="2" t="s">
        <v>1159</v>
      </c>
      <c r="F506" s="2" t="s">
        <v>104</v>
      </c>
      <c r="G506" s="2" t="str">
        <f>VLOOKUP(F506,'Message Mapping'!A:L,3,FALSE)</f>
        <v>Transit;NORMAL;FALTA;Error</v>
      </c>
      <c r="H506" s="2" t="str">
        <f>VLOOKUP(F506,'Message Mapping'!A:L,4,FALSE)</f>
        <v>0;1;2;3</v>
      </c>
      <c r="I506" s="2"/>
      <c r="J506" s="3" t="str">
        <f>VLOOKUP(F506,'Message Mapping'!A:L,12,FALSE)</f>
        <v>Severidade 7</v>
      </c>
      <c r="K506" s="3"/>
      <c r="L506" s="3"/>
      <c r="M506" s="3"/>
      <c r="N506" s="3"/>
      <c r="O506" s="3"/>
      <c r="P506" s="3"/>
    </row>
    <row r="507" spans="1:16" x14ac:dyDescent="0.25">
      <c r="A507" s="94" t="s">
        <v>848</v>
      </c>
      <c r="B507" s="2" t="s">
        <v>849</v>
      </c>
      <c r="C507" s="2" t="s">
        <v>11</v>
      </c>
      <c r="D507" s="2" t="s">
        <v>1234</v>
      </c>
      <c r="E507" s="2" t="s">
        <v>1159</v>
      </c>
      <c r="F507" s="2" t="s">
        <v>104</v>
      </c>
      <c r="G507" s="2" t="str">
        <f>VLOOKUP(F507,'Message Mapping'!A:L,3,FALSE)</f>
        <v>Transit;NORMAL;FALTA;Error</v>
      </c>
      <c r="H507" s="2" t="str">
        <f>VLOOKUP(F507,'Message Mapping'!A:L,4,FALSE)</f>
        <v>0;1;2;3</v>
      </c>
      <c r="I507" s="2"/>
      <c r="J507" s="3" t="str">
        <f>VLOOKUP(F507,'Message Mapping'!A:L,12,FALSE)</f>
        <v>Severidade 7</v>
      </c>
      <c r="K507" s="3"/>
      <c r="L507" s="3"/>
      <c r="M507" s="3"/>
      <c r="N507" s="3"/>
      <c r="O507" s="3"/>
      <c r="P507" s="3"/>
    </row>
    <row r="508" spans="1:16" x14ac:dyDescent="0.25">
      <c r="A508" s="94" t="s">
        <v>850</v>
      </c>
      <c r="B508" s="2" t="s">
        <v>851</v>
      </c>
      <c r="C508" s="2" t="s">
        <v>11</v>
      </c>
      <c r="D508" s="2" t="s">
        <v>1234</v>
      </c>
      <c r="E508" s="2" t="s">
        <v>1159</v>
      </c>
      <c r="F508" s="2" t="s">
        <v>104</v>
      </c>
      <c r="G508" s="2" t="str">
        <f>VLOOKUP(F508,'Message Mapping'!A:L,3,FALSE)</f>
        <v>Transit;NORMAL;FALTA;Error</v>
      </c>
      <c r="H508" s="2" t="str">
        <f>VLOOKUP(F508,'Message Mapping'!A:L,4,FALSE)</f>
        <v>0;1;2;3</v>
      </c>
      <c r="I508" s="2"/>
      <c r="J508" s="3" t="str">
        <f>VLOOKUP(F508,'Message Mapping'!A:L,12,FALSE)</f>
        <v>Severidade 7</v>
      </c>
      <c r="K508" s="3"/>
      <c r="L508" s="3"/>
      <c r="M508" s="3"/>
      <c r="N508" s="3"/>
      <c r="O508" s="3"/>
      <c r="P508" s="3"/>
    </row>
    <row r="509" spans="1:16" x14ac:dyDescent="0.25">
      <c r="A509" s="94" t="s">
        <v>852</v>
      </c>
      <c r="B509" s="2" t="s">
        <v>853</v>
      </c>
      <c r="C509" s="2" t="s">
        <v>11</v>
      </c>
      <c r="D509" s="2" t="s">
        <v>1234</v>
      </c>
      <c r="E509" s="2" t="s">
        <v>1159</v>
      </c>
      <c r="F509" s="2" t="s">
        <v>104</v>
      </c>
      <c r="G509" s="2" t="str">
        <f>VLOOKUP(F509,'Message Mapping'!A:L,3,FALSE)</f>
        <v>Transit;NORMAL;FALTA;Error</v>
      </c>
      <c r="H509" s="2" t="str">
        <f>VLOOKUP(F509,'Message Mapping'!A:L,4,FALSE)</f>
        <v>0;1;2;3</v>
      </c>
      <c r="I509" s="2"/>
      <c r="J509" s="3" t="str">
        <f>VLOOKUP(F509,'Message Mapping'!A:L,12,FALSE)</f>
        <v>Severidade 7</v>
      </c>
      <c r="K509" s="3"/>
      <c r="L509" s="3"/>
      <c r="M509" s="3"/>
      <c r="N509" s="3"/>
      <c r="O509" s="3"/>
      <c r="P509" s="3"/>
    </row>
    <row r="510" spans="1:16" x14ac:dyDescent="0.25">
      <c r="A510" s="94" t="s">
        <v>854</v>
      </c>
      <c r="B510" s="2" t="s">
        <v>855</v>
      </c>
      <c r="C510" s="2" t="s">
        <v>11</v>
      </c>
      <c r="D510" s="2" t="s">
        <v>1234</v>
      </c>
      <c r="E510" s="2" t="s">
        <v>1159</v>
      </c>
      <c r="F510" s="2" t="s">
        <v>104</v>
      </c>
      <c r="G510" s="2" t="str">
        <f>VLOOKUP(F510,'Message Mapping'!A:L,3,FALSE)</f>
        <v>Transit;NORMAL;FALTA;Error</v>
      </c>
      <c r="H510" s="2" t="str">
        <f>VLOOKUP(F510,'Message Mapping'!A:L,4,FALSE)</f>
        <v>0;1;2;3</v>
      </c>
      <c r="I510" s="2"/>
      <c r="J510" s="3" t="str">
        <f>VLOOKUP(F510,'Message Mapping'!A:L,12,FALSE)</f>
        <v>Severidade 7</v>
      </c>
      <c r="K510" s="3"/>
      <c r="L510" s="3"/>
      <c r="M510" s="3"/>
      <c r="N510" s="3"/>
      <c r="O510" s="3"/>
      <c r="P510" s="3"/>
    </row>
    <row r="511" spans="1:16" x14ac:dyDescent="0.25">
      <c r="A511" s="94" t="s">
        <v>856</v>
      </c>
      <c r="B511" s="2" t="s">
        <v>857</v>
      </c>
      <c r="C511" s="2" t="s">
        <v>11</v>
      </c>
      <c r="D511" s="2" t="s">
        <v>1234</v>
      </c>
      <c r="E511" s="2" t="s">
        <v>1159</v>
      </c>
      <c r="F511" s="2" t="s">
        <v>104</v>
      </c>
      <c r="G511" s="2" t="str">
        <f>VLOOKUP(F511,'Message Mapping'!A:L,3,FALSE)</f>
        <v>Transit;NORMAL;FALTA;Error</v>
      </c>
      <c r="H511" s="2" t="str">
        <f>VLOOKUP(F511,'Message Mapping'!A:L,4,FALSE)</f>
        <v>0;1;2;3</v>
      </c>
      <c r="I511" s="2"/>
      <c r="J511" s="3" t="str">
        <f>VLOOKUP(F511,'Message Mapping'!A:L,12,FALSE)</f>
        <v>Severidade 7</v>
      </c>
      <c r="K511" s="3"/>
      <c r="L511" s="3"/>
      <c r="M511" s="3"/>
      <c r="N511" s="3"/>
      <c r="O511" s="3"/>
      <c r="P511" s="3"/>
    </row>
    <row r="512" spans="1:16" x14ac:dyDescent="0.25">
      <c r="A512" s="94" t="s">
        <v>858</v>
      </c>
      <c r="B512" s="2" t="s">
        <v>859</v>
      </c>
      <c r="C512" s="2" t="s">
        <v>11</v>
      </c>
      <c r="D512" s="2" t="s">
        <v>1234</v>
      </c>
      <c r="E512" s="2" t="s">
        <v>1159</v>
      </c>
      <c r="F512" s="2" t="s">
        <v>104</v>
      </c>
      <c r="G512" s="2" t="str">
        <f>VLOOKUP(F512,'Message Mapping'!A:L,3,FALSE)</f>
        <v>Transit;NORMAL;FALTA;Error</v>
      </c>
      <c r="H512" s="2" t="str">
        <f>VLOOKUP(F512,'Message Mapping'!A:L,4,FALSE)</f>
        <v>0;1;2;3</v>
      </c>
      <c r="I512" s="2"/>
      <c r="J512" s="3" t="str">
        <f>VLOOKUP(F512,'Message Mapping'!A:L,12,FALSE)</f>
        <v>Severidade 7</v>
      </c>
      <c r="K512" s="3"/>
      <c r="L512" s="3"/>
      <c r="M512" s="3"/>
      <c r="N512" s="3"/>
      <c r="O512" s="3"/>
      <c r="P512" s="3"/>
    </row>
    <row r="513" spans="1:16" x14ac:dyDescent="0.25">
      <c r="A513" s="94" t="s">
        <v>860</v>
      </c>
      <c r="B513" s="2" t="s">
        <v>861</v>
      </c>
      <c r="C513" s="2" t="s">
        <v>11</v>
      </c>
      <c r="D513" s="2" t="s">
        <v>1234</v>
      </c>
      <c r="E513" s="2" t="s">
        <v>1159</v>
      </c>
      <c r="F513" s="2" t="s">
        <v>104</v>
      </c>
      <c r="G513" s="2" t="str">
        <f>VLOOKUP(F513,'Message Mapping'!A:L,3,FALSE)</f>
        <v>Transit;NORMAL;FALTA;Error</v>
      </c>
      <c r="H513" s="2" t="str">
        <f>VLOOKUP(F513,'Message Mapping'!A:L,4,FALSE)</f>
        <v>0;1;2;3</v>
      </c>
      <c r="I513" s="2"/>
      <c r="J513" s="3" t="str">
        <f>VLOOKUP(F513,'Message Mapping'!A:L,12,FALSE)</f>
        <v>Severidade 7</v>
      </c>
      <c r="K513" s="3"/>
      <c r="L513" s="3"/>
      <c r="M513" s="3"/>
      <c r="N513" s="3"/>
      <c r="O513" s="3"/>
      <c r="P513" s="3"/>
    </row>
    <row r="514" spans="1:16" x14ac:dyDescent="0.25">
      <c r="A514" s="94" t="s">
        <v>834</v>
      </c>
      <c r="B514" s="2" t="s">
        <v>1155</v>
      </c>
      <c r="C514" s="2" t="s">
        <v>11</v>
      </c>
      <c r="D514" s="2" t="s">
        <v>1234</v>
      </c>
      <c r="E514" s="2" t="s">
        <v>1159</v>
      </c>
      <c r="F514" s="2" t="s">
        <v>104</v>
      </c>
      <c r="G514" s="2" t="str">
        <f>VLOOKUP(F514,'Message Mapping'!A:L,3,FALSE)</f>
        <v>Transit;NORMAL;FALTA;Error</v>
      </c>
      <c r="H514" s="2" t="str">
        <f>VLOOKUP(F514,'Message Mapping'!A:L,4,FALSE)</f>
        <v>0;1;2;3</v>
      </c>
      <c r="I514" s="2"/>
      <c r="J514" s="3" t="str">
        <f>VLOOKUP(F514,'Message Mapping'!A:L,12,FALSE)</f>
        <v>Severidade 7</v>
      </c>
      <c r="K514" s="3"/>
      <c r="L514" s="3"/>
      <c r="M514" s="3"/>
      <c r="N514" s="3"/>
      <c r="O514" s="3"/>
      <c r="P514" s="3"/>
    </row>
    <row r="515" spans="1:16" x14ac:dyDescent="0.25">
      <c r="A515" s="94" t="s">
        <v>862</v>
      </c>
      <c r="B515" s="2" t="s">
        <v>863</v>
      </c>
      <c r="C515" s="2" t="s">
        <v>11</v>
      </c>
      <c r="D515" s="2" t="s">
        <v>1234</v>
      </c>
      <c r="E515" s="2" t="s">
        <v>1159</v>
      </c>
      <c r="F515" s="2" t="s">
        <v>104</v>
      </c>
      <c r="G515" s="2" t="str">
        <f>VLOOKUP(F515,'Message Mapping'!A:L,3,FALSE)</f>
        <v>Transit;NORMAL;FALTA;Error</v>
      </c>
      <c r="H515" s="2" t="str">
        <f>VLOOKUP(F515,'Message Mapping'!A:L,4,FALSE)</f>
        <v>0;1;2;3</v>
      </c>
      <c r="I515" s="2"/>
      <c r="J515" s="3" t="str">
        <f>VLOOKUP(F515,'Message Mapping'!A:L,12,FALSE)</f>
        <v>Severidade 7</v>
      </c>
      <c r="K515" s="3"/>
      <c r="L515" s="3"/>
      <c r="M515" s="3"/>
      <c r="N515" s="3"/>
      <c r="O515" s="3"/>
      <c r="P515" s="3"/>
    </row>
    <row r="516" spans="1:16" x14ac:dyDescent="0.25">
      <c r="A516" s="94" t="s">
        <v>864</v>
      </c>
      <c r="B516" s="2" t="s">
        <v>865</v>
      </c>
      <c r="C516" s="2" t="s">
        <v>11</v>
      </c>
      <c r="D516" s="2" t="s">
        <v>1234</v>
      </c>
      <c r="E516" s="2" t="s">
        <v>1159</v>
      </c>
      <c r="F516" s="2" t="s">
        <v>104</v>
      </c>
      <c r="G516" s="2" t="str">
        <f>VLOOKUP(F516,'Message Mapping'!A:L,3,FALSE)</f>
        <v>Transit;NORMAL;FALTA;Error</v>
      </c>
      <c r="H516" s="2" t="str">
        <f>VLOOKUP(F516,'Message Mapping'!A:L,4,FALSE)</f>
        <v>0;1;2;3</v>
      </c>
      <c r="I516" s="2"/>
      <c r="J516" s="3" t="str">
        <f>VLOOKUP(F516,'Message Mapping'!A:L,12,FALSE)</f>
        <v>Severidade 7</v>
      </c>
      <c r="K516" s="3"/>
      <c r="L516" s="3"/>
      <c r="M516" s="3"/>
      <c r="N516" s="3"/>
      <c r="O516" s="3"/>
      <c r="P516" s="3"/>
    </row>
    <row r="517" spans="1:16" x14ac:dyDescent="0.25">
      <c r="A517" s="94" t="s">
        <v>866</v>
      </c>
      <c r="B517" s="2" t="s">
        <v>867</v>
      </c>
      <c r="C517" s="2" t="s">
        <v>11</v>
      </c>
      <c r="D517" s="2" t="s">
        <v>1234</v>
      </c>
      <c r="E517" s="2" t="s">
        <v>1159</v>
      </c>
      <c r="F517" s="2" t="s">
        <v>104</v>
      </c>
      <c r="G517" s="2" t="str">
        <f>VLOOKUP(F517,'Message Mapping'!A:L,3,FALSE)</f>
        <v>Transit;NORMAL;FALTA;Error</v>
      </c>
      <c r="H517" s="2" t="str">
        <f>VLOOKUP(F517,'Message Mapping'!A:L,4,FALSE)</f>
        <v>0;1;2;3</v>
      </c>
      <c r="I517" s="2"/>
      <c r="J517" s="3" t="str">
        <f>VLOOKUP(F517,'Message Mapping'!A:L,12,FALSE)</f>
        <v>Severidade 7</v>
      </c>
      <c r="K517" s="3"/>
      <c r="L517" s="3"/>
      <c r="M517" s="3"/>
      <c r="N517" s="3"/>
      <c r="O517" s="3"/>
      <c r="P517" s="3"/>
    </row>
    <row r="518" spans="1:16" x14ac:dyDescent="0.25">
      <c r="A518" s="94" t="s">
        <v>868</v>
      </c>
      <c r="B518" s="2" t="s">
        <v>869</v>
      </c>
      <c r="C518" s="2" t="s">
        <v>39</v>
      </c>
      <c r="D518" s="2" t="s">
        <v>12</v>
      </c>
      <c r="E518" s="2" t="s">
        <v>1159</v>
      </c>
      <c r="F518" s="2" t="s">
        <v>40</v>
      </c>
      <c r="G518" s="2" t="str">
        <f>VLOOKUP(F518,'Message Mapping'!A:L,3,FALSE)</f>
        <v>Transit;NORMAL;ATUADO;Error</v>
      </c>
      <c r="H518" s="2" t="str">
        <f>VLOOKUP(F518,'Message Mapping'!A:L,4,FALSE)</f>
        <v>0;1;2;3</v>
      </c>
      <c r="I518" s="2"/>
      <c r="J518" s="3" t="str">
        <f>VLOOKUP(F518,'Message Mapping'!A:L,12,FALSE)</f>
        <v>Severidade 4</v>
      </c>
      <c r="K518" s="3"/>
      <c r="L518" s="3"/>
      <c r="M518" s="3"/>
      <c r="N518" s="3"/>
      <c r="O518" s="3"/>
      <c r="P518" s="3"/>
    </row>
    <row r="519" spans="1:16" x14ac:dyDescent="0.25">
      <c r="A519" s="94" t="s">
        <v>870</v>
      </c>
      <c r="B519" s="2" t="s">
        <v>871</v>
      </c>
      <c r="C519" s="2" t="s">
        <v>39</v>
      </c>
      <c r="D519" s="2" t="s">
        <v>12</v>
      </c>
      <c r="E519" s="2" t="s">
        <v>1159</v>
      </c>
      <c r="F519" s="2" t="s">
        <v>40</v>
      </c>
      <c r="G519" s="2" t="str">
        <f>VLOOKUP(F519,'Message Mapping'!A:L,3,FALSE)</f>
        <v>Transit;NORMAL;ATUADO;Error</v>
      </c>
      <c r="H519" s="2" t="str">
        <f>VLOOKUP(F519,'Message Mapping'!A:L,4,FALSE)</f>
        <v>0;1;2;3</v>
      </c>
      <c r="I519" s="2"/>
      <c r="J519" s="3" t="str">
        <f>VLOOKUP(F519,'Message Mapping'!A:L,12,FALSE)</f>
        <v>Severidade 4</v>
      </c>
      <c r="K519" s="3"/>
      <c r="L519" s="3"/>
      <c r="M519" s="3"/>
      <c r="N519" s="3"/>
      <c r="O519" s="3"/>
      <c r="P519" s="3"/>
    </row>
    <row r="520" spans="1:16" x14ac:dyDescent="0.25">
      <c r="A520" s="94" t="s">
        <v>872</v>
      </c>
      <c r="B520" s="2" t="s">
        <v>873</v>
      </c>
      <c r="C520" s="2" t="s">
        <v>39</v>
      </c>
      <c r="D520" s="2" t="s">
        <v>12</v>
      </c>
      <c r="E520" s="2" t="s">
        <v>1159</v>
      </c>
      <c r="F520" s="2" t="s">
        <v>40</v>
      </c>
      <c r="G520" s="2" t="str">
        <f>VLOOKUP(F520,'Message Mapping'!A:L,3,FALSE)</f>
        <v>Transit;NORMAL;ATUADO;Error</v>
      </c>
      <c r="H520" s="2" t="str">
        <f>VLOOKUP(F520,'Message Mapping'!A:L,4,FALSE)</f>
        <v>0;1;2;3</v>
      </c>
      <c r="I520" s="2"/>
      <c r="J520" s="3" t="str">
        <f>VLOOKUP(F520,'Message Mapping'!A:L,12,FALSE)</f>
        <v>Severidade 4</v>
      </c>
      <c r="K520" s="3"/>
      <c r="L520" s="3"/>
      <c r="M520" s="3"/>
      <c r="N520" s="3"/>
      <c r="O520" s="3"/>
      <c r="P520" s="3"/>
    </row>
    <row r="521" spans="1:16" x14ac:dyDescent="0.25">
      <c r="A521" s="94" t="s">
        <v>874</v>
      </c>
      <c r="B521" s="2" t="s">
        <v>875</v>
      </c>
      <c r="C521" s="2" t="s">
        <v>11</v>
      </c>
      <c r="D521" s="2" t="s">
        <v>12</v>
      </c>
      <c r="E521" s="2" t="s">
        <v>1159</v>
      </c>
      <c r="F521" s="2" t="s">
        <v>13</v>
      </c>
      <c r="G521" s="2" t="str">
        <f>VLOOKUP(F521,'Message Mapping'!A:L,3,FALSE)</f>
        <v>Transit;NORMAL;ATUADO;Error</v>
      </c>
      <c r="H521" s="2" t="str">
        <f>VLOOKUP(F521,'Message Mapping'!A:L,4,FALSE)</f>
        <v>0;1;2;3</v>
      </c>
      <c r="I521" s="2"/>
      <c r="J521" s="3" t="str">
        <f>VLOOKUP(F521,'Message Mapping'!A:L,12,FALSE)</f>
        <v>Severidade 4</v>
      </c>
      <c r="K521" s="3"/>
      <c r="L521" s="3"/>
      <c r="M521" s="3"/>
      <c r="N521" s="3"/>
      <c r="O521" s="3"/>
      <c r="P521" s="3"/>
    </row>
    <row r="522" spans="1:16" x14ac:dyDescent="0.25">
      <c r="A522" s="94" t="s">
        <v>876</v>
      </c>
      <c r="B522" s="2" t="s">
        <v>877</v>
      </c>
      <c r="C522" s="2" t="s">
        <v>11</v>
      </c>
      <c r="D522" s="2" t="s">
        <v>12</v>
      </c>
      <c r="E522" s="2" t="s">
        <v>1159</v>
      </c>
      <c r="F522" s="2" t="s">
        <v>13</v>
      </c>
      <c r="G522" s="2" t="str">
        <f>VLOOKUP(F522,'Message Mapping'!A:L,3,FALSE)</f>
        <v>Transit;NORMAL;ATUADO;Error</v>
      </c>
      <c r="H522" s="2" t="str">
        <f>VLOOKUP(F522,'Message Mapping'!A:L,4,FALSE)</f>
        <v>0;1;2;3</v>
      </c>
      <c r="I522" s="2"/>
      <c r="J522" s="3" t="str">
        <f>VLOOKUP(F522,'Message Mapping'!A:L,12,FALSE)</f>
        <v>Severidade 4</v>
      </c>
      <c r="K522" s="3"/>
      <c r="L522" s="3"/>
      <c r="M522" s="3"/>
      <c r="N522" s="3"/>
      <c r="O522" s="3"/>
      <c r="P522" s="3"/>
    </row>
    <row r="523" spans="1:16" x14ac:dyDescent="0.25">
      <c r="A523" s="94" t="s">
        <v>878</v>
      </c>
      <c r="B523" s="2" t="s">
        <v>879</v>
      </c>
      <c r="C523" s="2" t="s">
        <v>11</v>
      </c>
      <c r="D523" s="2" t="s">
        <v>12</v>
      </c>
      <c r="E523" s="2" t="s">
        <v>1159</v>
      </c>
      <c r="F523" s="2" t="s">
        <v>13</v>
      </c>
      <c r="G523" s="2" t="str">
        <f>VLOOKUP(F523,'Message Mapping'!A:L,3,FALSE)</f>
        <v>Transit;NORMAL;ATUADO;Error</v>
      </c>
      <c r="H523" s="2" t="str">
        <f>VLOOKUP(F523,'Message Mapping'!A:L,4,FALSE)</f>
        <v>0;1;2;3</v>
      </c>
      <c r="I523" s="2"/>
      <c r="J523" s="3" t="str">
        <f>VLOOKUP(F523,'Message Mapping'!A:L,12,FALSE)</f>
        <v>Severidade 4</v>
      </c>
      <c r="K523" s="3"/>
      <c r="L523" s="3"/>
      <c r="M523" s="3"/>
      <c r="N523" s="3"/>
      <c r="O523" s="3"/>
      <c r="P523" s="3"/>
    </row>
    <row r="524" spans="1:16" x14ac:dyDescent="0.25">
      <c r="A524" s="94" t="s">
        <v>880</v>
      </c>
      <c r="B524" s="2" t="s">
        <v>881</v>
      </c>
      <c r="C524" s="2" t="s">
        <v>11</v>
      </c>
      <c r="D524" s="2" t="s">
        <v>1234</v>
      </c>
      <c r="E524" s="2" t="s">
        <v>1159</v>
      </c>
      <c r="F524" s="2" t="s">
        <v>118</v>
      </c>
      <c r="G524" s="2" t="str">
        <f>VLOOKUP(F524,'Message Mapping'!A:L,3,FALSE)</f>
        <v>Transit;NORMAL;ATUADO;Error</v>
      </c>
      <c r="H524" s="2" t="str">
        <f>VLOOKUP(F524,'Message Mapping'!A:L,4,FALSE)</f>
        <v>0;1;2;3</v>
      </c>
      <c r="I524" s="2"/>
      <c r="J524" s="3" t="str">
        <f>VLOOKUP(F524,'Message Mapping'!A:L,12,FALSE)</f>
        <v>Severidade 7</v>
      </c>
      <c r="K524" s="3"/>
      <c r="L524" s="3"/>
      <c r="M524" s="3"/>
      <c r="N524" s="3"/>
      <c r="O524" s="3"/>
      <c r="P524" s="3"/>
    </row>
    <row r="525" spans="1:16" x14ac:dyDescent="0.25">
      <c r="A525" s="94" t="s">
        <v>882</v>
      </c>
      <c r="B525" s="2" t="s">
        <v>883</v>
      </c>
      <c r="C525" s="2" t="s">
        <v>34</v>
      </c>
      <c r="D525" s="2" t="s">
        <v>35</v>
      </c>
      <c r="E525" s="2" t="s">
        <v>1159</v>
      </c>
      <c r="F525" s="2" t="s">
        <v>1203</v>
      </c>
      <c r="G525" s="2" t="str">
        <f>VLOOKUP(F525,'Message Mapping'!A:L,3,FALSE)</f>
        <v>Transit;INCLUIDO;EXCLUIDO;Error</v>
      </c>
      <c r="H525" s="2" t="str">
        <f>VLOOKUP(F525,'Message Mapping'!A:L,4,FALSE)</f>
        <v>0;1;2;3</v>
      </c>
      <c r="I525" s="2"/>
      <c r="J525" s="3" t="str">
        <f>VLOOKUP(F525,'Message Mapping'!A:L,12,FALSE)</f>
        <v>Severidade 8</v>
      </c>
      <c r="K525" s="3"/>
      <c r="L525" s="3"/>
      <c r="M525" s="3"/>
      <c r="N525" s="3"/>
      <c r="O525" s="3"/>
      <c r="P525" s="3"/>
    </row>
    <row r="526" spans="1:16" x14ac:dyDescent="0.25">
      <c r="A526" s="94" t="s">
        <v>789</v>
      </c>
      <c r="B526" s="2" t="s">
        <v>790</v>
      </c>
      <c r="C526" s="2" t="s">
        <v>11</v>
      </c>
      <c r="D526" s="2" t="s">
        <v>12</v>
      </c>
      <c r="E526" s="2" t="s">
        <v>1159</v>
      </c>
      <c r="F526" s="2" t="s">
        <v>1201</v>
      </c>
      <c r="G526" s="2" t="str">
        <f>VLOOKUP(F526,'Message Mapping'!A:L,3,FALSE)</f>
        <v>Transit;NORMAL;FALHA;Error</v>
      </c>
      <c r="H526" s="2" t="str">
        <f>VLOOKUP(F526,'Message Mapping'!A:L,4,FALSE)</f>
        <v>0;1;2;3</v>
      </c>
      <c r="I526" s="2"/>
      <c r="J526" s="3" t="str">
        <f>VLOOKUP(F526,'Message Mapping'!A:L,12,FALSE)</f>
        <v>Severidade 4</v>
      </c>
      <c r="K526" s="3"/>
      <c r="L526" s="3"/>
      <c r="M526" s="3"/>
      <c r="N526" s="3"/>
      <c r="O526" s="3"/>
      <c r="P526" s="3"/>
    </row>
    <row r="527" spans="1:16" x14ac:dyDescent="0.25">
      <c r="A527" s="94" t="s">
        <v>886</v>
      </c>
      <c r="B527" s="2" t="s">
        <v>887</v>
      </c>
      <c r="C527" s="2" t="s">
        <v>34</v>
      </c>
      <c r="D527" s="2" t="s">
        <v>35</v>
      </c>
      <c r="E527" s="2" t="s">
        <v>1159</v>
      </c>
      <c r="F527" s="2" t="s">
        <v>1203</v>
      </c>
      <c r="G527" s="2" t="str">
        <f>VLOOKUP(F527,'Message Mapping'!A:L,3,FALSE)</f>
        <v>Transit;INCLUIDO;EXCLUIDO;Error</v>
      </c>
      <c r="H527" s="2" t="str">
        <f>VLOOKUP(F527,'Message Mapping'!A:L,4,FALSE)</f>
        <v>0;1;2;3</v>
      </c>
      <c r="I527" s="2"/>
      <c r="J527" s="3" t="str">
        <f>VLOOKUP(F527,'Message Mapping'!A:L,12,FALSE)</f>
        <v>Severidade 8</v>
      </c>
      <c r="K527" s="3"/>
      <c r="L527" s="3"/>
      <c r="M527" s="3"/>
      <c r="N527" s="3"/>
      <c r="O527" s="3"/>
      <c r="P527" s="3"/>
    </row>
    <row r="528" spans="1:16" x14ac:dyDescent="0.25">
      <c r="A528" s="94" t="s">
        <v>886</v>
      </c>
      <c r="B528" s="2" t="s">
        <v>887</v>
      </c>
      <c r="C528" s="2" t="s">
        <v>34</v>
      </c>
      <c r="D528" s="2" t="s">
        <v>35</v>
      </c>
      <c r="E528" s="2" t="s">
        <v>1160</v>
      </c>
      <c r="F528" s="2" t="s">
        <v>113</v>
      </c>
      <c r="G528" s="2" t="str">
        <f>VLOOKUP(F528,'Message Mapping'!A:L,3,FALSE)</f>
        <v>Transit;INCLUIDO;EXCLUIDO;Error</v>
      </c>
      <c r="H528" s="2" t="str">
        <f>VLOOKUP(F528,'Message Mapping'!A:L,4,FALSE)</f>
        <v>0;1;2;3</v>
      </c>
      <c r="I528" s="2"/>
      <c r="J528" s="3" t="str">
        <f>VLOOKUP(F528,'Message Mapping'!A:L,12,FALSE)</f>
        <v>Severidade 8</v>
      </c>
      <c r="K528" s="3"/>
      <c r="L528" s="3"/>
      <c r="M528" s="3"/>
      <c r="N528" s="3"/>
      <c r="O528" s="3"/>
      <c r="P528" s="3"/>
    </row>
    <row r="529" spans="1:16" x14ac:dyDescent="0.25">
      <c r="A529" s="94" t="s">
        <v>888</v>
      </c>
      <c r="B529" s="2" t="s">
        <v>889</v>
      </c>
      <c r="C529" s="2" t="s">
        <v>34</v>
      </c>
      <c r="D529" s="2" t="s">
        <v>35</v>
      </c>
      <c r="E529" s="2" t="s">
        <v>1160</v>
      </c>
      <c r="F529" s="2" t="s">
        <v>113</v>
      </c>
      <c r="G529" s="2" t="str">
        <f>VLOOKUP(F529,'Message Mapping'!A:L,3,FALSE)</f>
        <v>Transit;INCLUIDO;EXCLUIDO;Error</v>
      </c>
      <c r="H529" s="2" t="str">
        <f>VLOOKUP(F529,'Message Mapping'!A:L,4,FALSE)</f>
        <v>0;1;2;3</v>
      </c>
      <c r="I529" s="2"/>
      <c r="J529" s="3" t="str">
        <f>VLOOKUP(F529,'Message Mapping'!A:L,12,FALSE)</f>
        <v>Severidade 8</v>
      </c>
      <c r="K529" s="3"/>
      <c r="L529" s="3"/>
      <c r="M529" s="3"/>
      <c r="N529" s="3"/>
      <c r="O529" s="3"/>
      <c r="P529" s="3"/>
    </row>
    <row r="530" spans="1:16" x14ac:dyDescent="0.25">
      <c r="A530" s="94" t="s">
        <v>890</v>
      </c>
      <c r="B530" s="2" t="s">
        <v>891</v>
      </c>
      <c r="C530" s="2" t="s">
        <v>11</v>
      </c>
      <c r="D530" s="2" t="s">
        <v>123</v>
      </c>
      <c r="E530" s="2" t="s">
        <v>1164</v>
      </c>
      <c r="F530" s="2" t="s">
        <v>1205</v>
      </c>
      <c r="G530" s="2" t="str">
        <f>VLOOKUP(F530,'Message Mapping'!A:L,3,FALSE)</f>
        <v>Transit;;;Error</v>
      </c>
      <c r="H530" s="2" t="str">
        <f>VLOOKUP(F530,'Message Mapping'!A:L,4,FALSE)</f>
        <v>0;1;2;3</v>
      </c>
      <c r="I530" s="2"/>
      <c r="J530" s="3" t="str">
        <f>VLOOKUP(F530,'Message Mapping'!A:L,12,FALSE)</f>
        <v>Severidade 5</v>
      </c>
      <c r="K530" s="3"/>
      <c r="L530" s="3"/>
      <c r="M530" s="3"/>
      <c r="N530" s="3"/>
      <c r="O530" s="3"/>
      <c r="P530" s="3"/>
    </row>
    <row r="531" spans="1:16" x14ac:dyDescent="0.25">
      <c r="A531" s="94" t="s">
        <v>892</v>
      </c>
      <c r="B531" s="2" t="s">
        <v>893</v>
      </c>
      <c r="C531" s="2" t="s">
        <v>11</v>
      </c>
      <c r="D531" s="2" t="s">
        <v>123</v>
      </c>
      <c r="E531" s="2" t="s">
        <v>1159</v>
      </c>
      <c r="F531" s="2" t="s">
        <v>1168</v>
      </c>
      <c r="G531" s="2" t="str">
        <f>VLOOKUP(F531,'Message Mapping'!A:L,3,FALSE)</f>
        <v>Transit;DESATIVADO;ATIVADO;Error</v>
      </c>
      <c r="H531" s="2" t="str">
        <f>VLOOKUP(F531,'Message Mapping'!A:L,4,FALSE)</f>
        <v>0;1;2;3</v>
      </c>
      <c r="I531" s="2"/>
      <c r="J531" s="3" t="str">
        <f>VLOOKUP(F531,'Message Mapping'!A:L,12,FALSE)</f>
        <v>Severidade 5</v>
      </c>
      <c r="K531" s="3"/>
      <c r="L531" s="3"/>
      <c r="M531" s="3"/>
      <c r="N531" s="3"/>
      <c r="O531" s="3"/>
      <c r="P531" s="3"/>
    </row>
    <row r="532" spans="1:16" x14ac:dyDescent="0.25">
      <c r="A532" s="94" t="s">
        <v>892</v>
      </c>
      <c r="B532" s="2" t="s">
        <v>893</v>
      </c>
      <c r="C532" s="2" t="s">
        <v>11</v>
      </c>
      <c r="D532" s="2" t="s">
        <v>123</v>
      </c>
      <c r="E532" s="2" t="s">
        <v>1160</v>
      </c>
      <c r="F532" s="2" t="s">
        <v>124</v>
      </c>
      <c r="G532" s="2" t="str">
        <f>VLOOKUP(F532,'Message Mapping'!A:L,3,FALSE)</f>
        <v>Transit;DESATIVADO;ATIVADO;Error</v>
      </c>
      <c r="H532" s="2" t="str">
        <f>VLOOKUP(F532,'Message Mapping'!A:L,4,FALSE)</f>
        <v>0;1;2;3</v>
      </c>
      <c r="I532" s="2"/>
      <c r="J532" s="3" t="str">
        <f>VLOOKUP(F532,'Message Mapping'!A:L,12,FALSE)</f>
        <v>Severidade 5</v>
      </c>
      <c r="K532" s="3"/>
      <c r="L532" s="3"/>
      <c r="M532" s="3"/>
      <c r="N532" s="3"/>
      <c r="O532" s="3"/>
      <c r="P532" s="3"/>
    </row>
    <row r="533" spans="1:16" x14ac:dyDescent="0.25">
      <c r="A533" s="94" t="s">
        <v>894</v>
      </c>
      <c r="B533" s="2" t="s">
        <v>895</v>
      </c>
      <c r="C533" s="2" t="s">
        <v>11</v>
      </c>
      <c r="D533" s="2" t="s">
        <v>123</v>
      </c>
      <c r="E533" s="2" t="s">
        <v>1159</v>
      </c>
      <c r="F533" s="2" t="s">
        <v>1168</v>
      </c>
      <c r="G533" s="2" t="str">
        <f>VLOOKUP(F533,'Message Mapping'!A:L,3,FALSE)</f>
        <v>Transit;DESATIVADO;ATIVADO;Error</v>
      </c>
      <c r="H533" s="2" t="str">
        <f>VLOOKUP(F533,'Message Mapping'!A:L,4,FALSE)</f>
        <v>0;1;2;3</v>
      </c>
      <c r="I533" s="2"/>
      <c r="J533" s="3" t="str">
        <f>VLOOKUP(F533,'Message Mapping'!A:L,12,FALSE)</f>
        <v>Severidade 5</v>
      </c>
      <c r="K533" s="3"/>
      <c r="L533" s="3"/>
      <c r="M533" s="3"/>
      <c r="N533" s="3"/>
      <c r="O533" s="3"/>
      <c r="P533" s="3"/>
    </row>
    <row r="534" spans="1:16" x14ac:dyDescent="0.25">
      <c r="A534" s="94" t="s">
        <v>894</v>
      </c>
      <c r="B534" s="2" t="s">
        <v>895</v>
      </c>
      <c r="C534" s="2" t="s">
        <v>11</v>
      </c>
      <c r="D534" s="2" t="s">
        <v>123</v>
      </c>
      <c r="E534" s="2" t="s">
        <v>1160</v>
      </c>
      <c r="F534" s="2" t="s">
        <v>124</v>
      </c>
      <c r="G534" s="2" t="str">
        <f>VLOOKUP(F534,'Message Mapping'!A:L,3,FALSE)</f>
        <v>Transit;DESATIVADO;ATIVADO;Error</v>
      </c>
      <c r="H534" s="2" t="str">
        <f>VLOOKUP(F534,'Message Mapping'!A:L,4,FALSE)</f>
        <v>0;1;2;3</v>
      </c>
      <c r="I534" s="2"/>
      <c r="J534" s="3" t="str">
        <f>VLOOKUP(F534,'Message Mapping'!A:L,12,FALSE)</f>
        <v>Severidade 5</v>
      </c>
      <c r="K534" s="3"/>
      <c r="L534" s="3"/>
      <c r="M534" s="3"/>
      <c r="N534" s="3"/>
      <c r="O534" s="3"/>
      <c r="P534" s="3"/>
    </row>
    <row r="535" spans="1:16" x14ac:dyDescent="0.25">
      <c r="A535" s="94" t="s">
        <v>896</v>
      </c>
      <c r="B535" s="2" t="s">
        <v>897</v>
      </c>
      <c r="C535" s="2" t="s">
        <v>11</v>
      </c>
      <c r="D535" s="2" t="s">
        <v>123</v>
      </c>
      <c r="E535" s="2" t="s">
        <v>1159</v>
      </c>
      <c r="F535" s="2" t="s">
        <v>1168</v>
      </c>
      <c r="G535" s="2" t="str">
        <f>VLOOKUP(F535,'Message Mapping'!A:L,3,FALSE)</f>
        <v>Transit;DESATIVADO;ATIVADO;Error</v>
      </c>
      <c r="H535" s="2" t="str">
        <f>VLOOKUP(F535,'Message Mapping'!A:L,4,FALSE)</f>
        <v>0;1;2;3</v>
      </c>
      <c r="I535" s="2"/>
      <c r="J535" s="3" t="str">
        <f>VLOOKUP(F535,'Message Mapping'!A:L,12,FALSE)</f>
        <v>Severidade 5</v>
      </c>
      <c r="K535" s="3"/>
      <c r="L535" s="3"/>
      <c r="M535" s="3"/>
      <c r="N535" s="3"/>
      <c r="O535" s="3"/>
      <c r="P535" s="3"/>
    </row>
    <row r="536" spans="1:16" x14ac:dyDescent="0.25">
      <c r="A536" s="94" t="s">
        <v>896</v>
      </c>
      <c r="B536" s="2" t="s">
        <v>897</v>
      </c>
      <c r="C536" s="2" t="s">
        <v>11</v>
      </c>
      <c r="D536" s="2" t="s">
        <v>123</v>
      </c>
      <c r="E536" s="2" t="s">
        <v>1160</v>
      </c>
      <c r="F536" s="2" t="s">
        <v>124</v>
      </c>
      <c r="G536" s="2" t="str">
        <f>VLOOKUP(F536,'Message Mapping'!A:L,3,FALSE)</f>
        <v>Transit;DESATIVADO;ATIVADO;Error</v>
      </c>
      <c r="H536" s="2" t="str">
        <f>VLOOKUP(F536,'Message Mapping'!A:L,4,FALSE)</f>
        <v>0;1;2;3</v>
      </c>
      <c r="I536" s="2"/>
      <c r="J536" s="3" t="str">
        <f>VLOOKUP(F536,'Message Mapping'!A:L,12,FALSE)</f>
        <v>Severidade 5</v>
      </c>
      <c r="K536" s="3"/>
      <c r="L536" s="3"/>
      <c r="M536" s="3"/>
      <c r="N536" s="3"/>
      <c r="O536" s="3"/>
      <c r="P536" s="3"/>
    </row>
    <row r="537" spans="1:16" x14ac:dyDescent="0.25">
      <c r="A537" s="94" t="s">
        <v>898</v>
      </c>
      <c r="B537" s="2" t="s">
        <v>899</v>
      </c>
      <c r="C537" s="2" t="s">
        <v>11</v>
      </c>
      <c r="D537" s="2" t="s">
        <v>123</v>
      </c>
      <c r="E537" s="2" t="s">
        <v>1159</v>
      </c>
      <c r="F537" s="2" t="s">
        <v>1168</v>
      </c>
      <c r="G537" s="2" t="str">
        <f>VLOOKUP(F537,'Message Mapping'!A:L,3,FALSE)</f>
        <v>Transit;DESATIVADO;ATIVADO;Error</v>
      </c>
      <c r="H537" s="2" t="str">
        <f>VLOOKUP(F537,'Message Mapping'!A:L,4,FALSE)</f>
        <v>0;1;2;3</v>
      </c>
      <c r="I537" s="2"/>
      <c r="J537" s="3" t="str">
        <f>VLOOKUP(F537,'Message Mapping'!A:L,12,FALSE)</f>
        <v>Severidade 5</v>
      </c>
      <c r="K537" s="3"/>
      <c r="L537" s="3"/>
      <c r="M537" s="3"/>
      <c r="N537" s="3"/>
      <c r="O537" s="3"/>
      <c r="P537" s="3"/>
    </row>
    <row r="538" spans="1:16" x14ac:dyDescent="0.25">
      <c r="A538" s="94" t="s">
        <v>898</v>
      </c>
      <c r="B538" s="2" t="s">
        <v>899</v>
      </c>
      <c r="C538" s="2" t="s">
        <v>11</v>
      </c>
      <c r="D538" s="2" t="s">
        <v>123</v>
      </c>
      <c r="E538" s="2" t="s">
        <v>1160</v>
      </c>
      <c r="F538" s="2" t="s">
        <v>124</v>
      </c>
      <c r="G538" s="2" t="str">
        <f>VLOOKUP(F538,'Message Mapping'!A:L,3,FALSE)</f>
        <v>Transit;DESATIVADO;ATIVADO;Error</v>
      </c>
      <c r="H538" s="2" t="str">
        <f>VLOOKUP(F538,'Message Mapping'!A:L,4,FALSE)</f>
        <v>0;1;2;3</v>
      </c>
      <c r="I538" s="2"/>
      <c r="J538" s="3" t="str">
        <f>VLOOKUP(F538,'Message Mapping'!A:L,12,FALSE)</f>
        <v>Severidade 5</v>
      </c>
      <c r="K538" s="3"/>
      <c r="L538" s="3"/>
      <c r="M538" s="3"/>
      <c r="N538" s="3"/>
      <c r="O538" s="3"/>
      <c r="P538" s="3"/>
    </row>
    <row r="539" spans="1:16" x14ac:dyDescent="0.25">
      <c r="A539" s="94" t="s">
        <v>900</v>
      </c>
      <c r="B539" s="2" t="s">
        <v>901</v>
      </c>
      <c r="C539" s="2" t="s">
        <v>11</v>
      </c>
      <c r="D539" s="2" t="s">
        <v>123</v>
      </c>
      <c r="E539" s="2" t="s">
        <v>1159</v>
      </c>
      <c r="F539" s="2" t="s">
        <v>1168</v>
      </c>
      <c r="G539" s="2" t="str">
        <f>VLOOKUP(F539,'Message Mapping'!A:L,3,FALSE)</f>
        <v>Transit;DESATIVADO;ATIVADO;Error</v>
      </c>
      <c r="H539" s="2" t="str">
        <f>VLOOKUP(F539,'Message Mapping'!A:L,4,FALSE)</f>
        <v>0;1;2;3</v>
      </c>
      <c r="I539" s="2"/>
      <c r="J539" s="3" t="str">
        <f>VLOOKUP(F539,'Message Mapping'!A:L,12,FALSE)</f>
        <v>Severidade 5</v>
      </c>
      <c r="K539" s="3"/>
      <c r="L539" s="3"/>
      <c r="M539" s="3"/>
      <c r="N539" s="3"/>
      <c r="O539" s="3"/>
      <c r="P539" s="3"/>
    </row>
    <row r="540" spans="1:16" x14ac:dyDescent="0.25">
      <c r="A540" s="94" t="s">
        <v>900</v>
      </c>
      <c r="B540" s="2" t="s">
        <v>901</v>
      </c>
      <c r="C540" s="2" t="s">
        <v>11</v>
      </c>
      <c r="D540" s="2" t="s">
        <v>123</v>
      </c>
      <c r="E540" s="2" t="s">
        <v>1160</v>
      </c>
      <c r="F540" s="2" t="s">
        <v>124</v>
      </c>
      <c r="G540" s="2" t="str">
        <f>VLOOKUP(F540,'Message Mapping'!A:L,3,FALSE)</f>
        <v>Transit;DESATIVADO;ATIVADO;Error</v>
      </c>
      <c r="H540" s="2" t="str">
        <f>VLOOKUP(F540,'Message Mapping'!A:L,4,FALSE)</f>
        <v>0;1;2;3</v>
      </c>
      <c r="I540" s="2"/>
      <c r="J540" s="3" t="str">
        <f>VLOOKUP(F540,'Message Mapping'!A:L,12,FALSE)</f>
        <v>Severidade 5</v>
      </c>
      <c r="K540" s="3"/>
      <c r="L540" s="3"/>
      <c r="M540" s="3"/>
      <c r="N540" s="3"/>
      <c r="O540" s="3"/>
      <c r="P540" s="3"/>
    </row>
    <row r="541" spans="1:16" x14ac:dyDescent="0.25">
      <c r="A541" s="94" t="s">
        <v>902</v>
      </c>
      <c r="B541" s="2" t="s">
        <v>903</v>
      </c>
      <c r="C541" s="2" t="s">
        <v>11</v>
      </c>
      <c r="D541" s="2" t="s">
        <v>123</v>
      </c>
      <c r="E541" s="2" t="s">
        <v>1159</v>
      </c>
      <c r="F541" s="2" t="s">
        <v>1168</v>
      </c>
      <c r="G541" s="2" t="str">
        <f>VLOOKUP(F541,'Message Mapping'!A:L,3,FALSE)</f>
        <v>Transit;DESATIVADO;ATIVADO;Error</v>
      </c>
      <c r="H541" s="2" t="str">
        <f>VLOOKUP(F541,'Message Mapping'!A:L,4,FALSE)</f>
        <v>0;1;2;3</v>
      </c>
      <c r="I541" s="2"/>
      <c r="J541" s="3" t="str">
        <f>VLOOKUP(F541,'Message Mapping'!A:L,12,FALSE)</f>
        <v>Severidade 5</v>
      </c>
      <c r="K541" s="3"/>
      <c r="L541" s="3"/>
      <c r="M541" s="3"/>
      <c r="N541" s="3"/>
      <c r="O541" s="3"/>
      <c r="P541" s="3"/>
    </row>
    <row r="542" spans="1:16" x14ac:dyDescent="0.25">
      <c r="A542" s="94" t="s">
        <v>902</v>
      </c>
      <c r="B542" s="2" t="s">
        <v>903</v>
      </c>
      <c r="C542" s="2" t="s">
        <v>11</v>
      </c>
      <c r="D542" s="2" t="s">
        <v>123</v>
      </c>
      <c r="E542" s="2" t="s">
        <v>1160</v>
      </c>
      <c r="F542" s="2" t="s">
        <v>124</v>
      </c>
      <c r="G542" s="2" t="str">
        <f>VLOOKUP(F542,'Message Mapping'!A:L,3,FALSE)</f>
        <v>Transit;DESATIVADO;ATIVADO;Error</v>
      </c>
      <c r="H542" s="2" t="str">
        <f>VLOOKUP(F542,'Message Mapping'!A:L,4,FALSE)</f>
        <v>0;1;2;3</v>
      </c>
      <c r="I542" s="2"/>
      <c r="J542" s="3" t="str">
        <f>VLOOKUP(F542,'Message Mapping'!A:L,12,FALSE)</f>
        <v>Severidade 5</v>
      </c>
      <c r="K542" s="3"/>
      <c r="L542" s="3"/>
      <c r="M542" s="3"/>
      <c r="N542" s="3"/>
      <c r="O542" s="3"/>
      <c r="P542" s="3"/>
    </row>
    <row r="543" spans="1:16" x14ac:dyDescent="0.25">
      <c r="A543" s="94" t="s">
        <v>904</v>
      </c>
      <c r="B543" s="2" t="s">
        <v>905</v>
      </c>
      <c r="C543" s="2" t="s">
        <v>11</v>
      </c>
      <c r="D543" s="2" t="s">
        <v>123</v>
      </c>
      <c r="E543" s="2" t="s">
        <v>1164</v>
      </c>
      <c r="F543" s="2" t="s">
        <v>1205</v>
      </c>
      <c r="G543" s="2" t="str">
        <f>VLOOKUP(F543,'Message Mapping'!A:L,3,FALSE)</f>
        <v>Transit;;;Error</v>
      </c>
      <c r="H543" s="2" t="str">
        <f>VLOOKUP(F543,'Message Mapping'!A:L,4,FALSE)</f>
        <v>0;1;2;3</v>
      </c>
      <c r="I543" s="2"/>
      <c r="J543" s="3" t="str">
        <f>VLOOKUP(F543,'Message Mapping'!A:L,12,FALSE)</f>
        <v>Severidade 5</v>
      </c>
      <c r="K543" s="3"/>
      <c r="L543" s="3"/>
      <c r="M543" s="3"/>
      <c r="N543" s="3"/>
      <c r="O543" s="3"/>
      <c r="P543" s="3"/>
    </row>
    <row r="544" spans="1:16" x14ac:dyDescent="0.25">
      <c r="A544" s="94" t="s">
        <v>906</v>
      </c>
      <c r="B544" s="2" t="s">
        <v>1279</v>
      </c>
      <c r="C544" s="2" t="s">
        <v>11</v>
      </c>
      <c r="D544" s="2" t="s">
        <v>123</v>
      </c>
      <c r="E544" s="2" t="s">
        <v>1160</v>
      </c>
      <c r="F544" s="2" t="s">
        <v>1206</v>
      </c>
      <c r="G544" s="2" t="str">
        <f>VLOOKUP(F544,'Message Mapping'!A:L,3,FALSE)</f>
        <v>Transit;NORMAL;ALTERNATIVO;Error</v>
      </c>
      <c r="H544" s="2" t="str">
        <f>VLOOKUP(F544,'Message Mapping'!A:L,4,FALSE)</f>
        <v>0;1;2;3</v>
      </c>
      <c r="I544" s="2"/>
      <c r="J544" s="3" t="str">
        <f>VLOOKUP(F544,'Message Mapping'!A:L,12,FALSE)</f>
        <v>Severidade 5</v>
      </c>
      <c r="K544" s="3" t="s">
        <v>1280</v>
      </c>
      <c r="L544" s="3"/>
      <c r="M544" s="3"/>
      <c r="N544" s="3"/>
      <c r="O544" s="3"/>
      <c r="P544" s="3"/>
    </row>
    <row r="545" spans="1:16" x14ac:dyDescent="0.25">
      <c r="A545" s="94" t="s">
        <v>907</v>
      </c>
      <c r="B545" s="2" t="s">
        <v>908</v>
      </c>
      <c r="C545" s="2" t="s">
        <v>11</v>
      </c>
      <c r="D545" s="2" t="s">
        <v>123</v>
      </c>
      <c r="E545" s="2" t="s">
        <v>1160</v>
      </c>
      <c r="F545" s="2" t="s">
        <v>1207</v>
      </c>
      <c r="G545" s="2" t="str">
        <f>VLOOKUP(F545,'Message Mapping'!A:L,3,FALSE)</f>
        <v>Transit;GRUPO 1;GRUPO 2;Error</v>
      </c>
      <c r="H545" s="2" t="str">
        <f>VLOOKUP(F545,'Message Mapping'!A:L,4,FALSE)</f>
        <v>0;1;2;3</v>
      </c>
      <c r="I545" s="2"/>
      <c r="J545" s="3" t="str">
        <f>VLOOKUP(F545,'Message Mapping'!A:L,12,FALSE)</f>
        <v>Severidade 5</v>
      </c>
      <c r="K545" s="3" t="s">
        <v>1281</v>
      </c>
      <c r="L545" s="3"/>
      <c r="M545" s="3"/>
      <c r="N545" s="3"/>
      <c r="O545" s="3"/>
      <c r="P545" s="3"/>
    </row>
    <row r="546" spans="1:16" ht="25.5" x14ac:dyDescent="0.25">
      <c r="A546" s="94" t="s">
        <v>910</v>
      </c>
      <c r="B546" s="2" t="s">
        <v>911</v>
      </c>
      <c r="C546" s="2" t="s">
        <v>912</v>
      </c>
      <c r="D546" s="2" t="s">
        <v>35</v>
      </c>
      <c r="E546" s="2" t="s">
        <v>1159</v>
      </c>
      <c r="F546" s="2" t="s">
        <v>913</v>
      </c>
      <c r="G546" s="2" t="str">
        <f>VLOOKUP(F546,'Message Mapping'!A:L,3,FALSE)</f>
        <v>Transit;DESABILITADO;HABILITADO;Error</v>
      </c>
      <c r="H546" s="2" t="str">
        <f>VLOOKUP(F546,'Message Mapping'!A:L,4,FALSE)</f>
        <v>0;1;2;3</v>
      </c>
      <c r="I546" s="2"/>
      <c r="J546" s="3" t="str">
        <f>VLOOKUP(F546,'Message Mapping'!A:L,12,FALSE)</f>
        <v>Severidade 8</v>
      </c>
      <c r="K546" s="3" t="s">
        <v>1210</v>
      </c>
      <c r="L546" s="3"/>
      <c r="M546" s="3"/>
      <c r="N546" s="3"/>
      <c r="O546" s="3"/>
      <c r="P546" s="3"/>
    </row>
    <row r="547" spans="1:16" ht="25.5" x14ac:dyDescent="0.25">
      <c r="A547" s="94" t="s">
        <v>910</v>
      </c>
      <c r="B547" s="2" t="s">
        <v>911</v>
      </c>
      <c r="C547" s="2" t="s">
        <v>912</v>
      </c>
      <c r="D547" s="2" t="s">
        <v>35</v>
      </c>
      <c r="E547" s="2" t="s">
        <v>1160</v>
      </c>
      <c r="F547" s="2" t="s">
        <v>1209</v>
      </c>
      <c r="G547" s="2" t="str">
        <f>VLOOKUP(F547,'Message Mapping'!A:L,3,FALSE)</f>
        <v>Transit;EXCLUIDO;INCLUIDO;Error</v>
      </c>
      <c r="H547" s="2" t="str">
        <f>VLOOKUP(F547,'Message Mapping'!A:L,4,FALSE)</f>
        <v>0;1;2;3</v>
      </c>
      <c r="I547" s="2"/>
      <c r="J547" s="3" t="str">
        <f>VLOOKUP(F547,'Message Mapping'!A:L,12,FALSE)</f>
        <v>Severidade 8</v>
      </c>
      <c r="K547" s="3" t="s">
        <v>1210</v>
      </c>
      <c r="L547" s="3"/>
      <c r="M547" s="3"/>
      <c r="N547" s="3"/>
      <c r="O547" s="3"/>
      <c r="P547" s="3"/>
    </row>
    <row r="548" spans="1:16" x14ac:dyDescent="0.25">
      <c r="A548" s="94" t="s">
        <v>914</v>
      </c>
      <c r="B548" s="2" t="s">
        <v>915</v>
      </c>
      <c r="C548" s="2" t="s">
        <v>39</v>
      </c>
      <c r="D548" s="2" t="s">
        <v>12</v>
      </c>
      <c r="E548" s="2" t="s">
        <v>1159</v>
      </c>
      <c r="F548" s="2" t="s">
        <v>40</v>
      </c>
      <c r="G548" s="2" t="str">
        <f>VLOOKUP(F548,'Message Mapping'!A:L,3,FALSE)</f>
        <v>Transit;NORMAL;ATUADO;Error</v>
      </c>
      <c r="H548" s="2" t="str">
        <f>VLOOKUP(F548,'Message Mapping'!A:L,4,FALSE)</f>
        <v>0;1;2;3</v>
      </c>
      <c r="I548" s="2"/>
      <c r="J548" s="3" t="str">
        <f>VLOOKUP(F548,'Message Mapping'!A:L,12,FALSE)</f>
        <v>Severidade 4</v>
      </c>
      <c r="K548" s="3"/>
      <c r="L548" s="3"/>
      <c r="M548" s="3"/>
      <c r="N548" s="3"/>
      <c r="O548" s="3"/>
      <c r="P548" s="3"/>
    </row>
    <row r="549" spans="1:16" x14ac:dyDescent="0.25">
      <c r="A549" s="94" t="s">
        <v>916</v>
      </c>
      <c r="B549" s="2" t="s">
        <v>917</v>
      </c>
      <c r="C549" s="2" t="s">
        <v>39</v>
      </c>
      <c r="D549" s="2" t="s">
        <v>12</v>
      </c>
      <c r="E549" s="2" t="s">
        <v>1159</v>
      </c>
      <c r="F549" s="2" t="s">
        <v>40</v>
      </c>
      <c r="G549" s="2" t="str">
        <f>VLOOKUP(F549,'Message Mapping'!A:L,3,FALSE)</f>
        <v>Transit;NORMAL;ATUADO;Error</v>
      </c>
      <c r="H549" s="2" t="str">
        <f>VLOOKUP(F549,'Message Mapping'!A:L,4,FALSE)</f>
        <v>0;1;2;3</v>
      </c>
      <c r="I549" s="2"/>
      <c r="J549" s="3" t="str">
        <f>VLOOKUP(F549,'Message Mapping'!A:L,12,FALSE)</f>
        <v>Severidade 4</v>
      </c>
      <c r="K549" s="3"/>
      <c r="L549" s="3"/>
      <c r="M549" s="3"/>
      <c r="N549" s="3"/>
      <c r="O549" s="3"/>
      <c r="P549" s="3"/>
    </row>
    <row r="550" spans="1:16" x14ac:dyDescent="0.25">
      <c r="A550" s="94" t="s">
        <v>918</v>
      </c>
      <c r="B550" s="2" t="s">
        <v>919</v>
      </c>
      <c r="C550" s="2" t="s">
        <v>39</v>
      </c>
      <c r="D550" s="2" t="s">
        <v>12</v>
      </c>
      <c r="E550" s="2" t="s">
        <v>1159</v>
      </c>
      <c r="F550" s="2" t="s">
        <v>40</v>
      </c>
      <c r="G550" s="2" t="str">
        <f>VLOOKUP(F550,'Message Mapping'!A:L,3,FALSE)</f>
        <v>Transit;NORMAL;ATUADO;Error</v>
      </c>
      <c r="H550" s="2" t="str">
        <f>VLOOKUP(F550,'Message Mapping'!A:L,4,FALSE)</f>
        <v>0;1;2;3</v>
      </c>
      <c r="I550" s="2"/>
      <c r="J550" s="3" t="str">
        <f>VLOOKUP(F550,'Message Mapping'!A:L,12,FALSE)</f>
        <v>Severidade 4</v>
      </c>
      <c r="K550" s="3"/>
      <c r="L550" s="3"/>
      <c r="M550" s="3"/>
      <c r="N550" s="3"/>
      <c r="O550" s="3"/>
      <c r="P550" s="3"/>
    </row>
    <row r="551" spans="1:16" x14ac:dyDescent="0.25">
      <c r="A551" s="94" t="s">
        <v>920</v>
      </c>
      <c r="B551" s="2" t="s">
        <v>921</v>
      </c>
      <c r="C551" s="2" t="s">
        <v>39</v>
      </c>
      <c r="D551" s="2" t="s">
        <v>12</v>
      </c>
      <c r="E551" s="2" t="s">
        <v>1159</v>
      </c>
      <c r="F551" s="2" t="s">
        <v>40</v>
      </c>
      <c r="G551" s="2" t="str">
        <f>VLOOKUP(F551,'Message Mapping'!A:L,3,FALSE)</f>
        <v>Transit;NORMAL;ATUADO;Error</v>
      </c>
      <c r="H551" s="2" t="str">
        <f>VLOOKUP(F551,'Message Mapping'!A:L,4,FALSE)</f>
        <v>0;1;2;3</v>
      </c>
      <c r="I551" s="2"/>
      <c r="J551" s="3" t="str">
        <f>VLOOKUP(F551,'Message Mapping'!A:L,12,FALSE)</f>
        <v>Severidade 4</v>
      </c>
      <c r="K551" s="3"/>
      <c r="L551" s="3"/>
      <c r="M551" s="3"/>
      <c r="N551" s="3"/>
      <c r="O551" s="3"/>
      <c r="P551" s="3"/>
    </row>
    <row r="552" spans="1:16" x14ac:dyDescent="0.25">
      <c r="A552" s="94" t="s">
        <v>2810</v>
      </c>
      <c r="B552" s="2" t="s">
        <v>2807</v>
      </c>
      <c r="C552" s="2" t="s">
        <v>11</v>
      </c>
      <c r="D552" s="2" t="s">
        <v>35</v>
      </c>
      <c r="E552" s="2" t="s">
        <v>1159</v>
      </c>
      <c r="F552" s="2" t="s">
        <v>1211</v>
      </c>
      <c r="G552" s="2" t="str">
        <f>VLOOKUP(F552,'Message Mapping'!A:L,3,FALSE)</f>
        <v>Transit;BLOQUEADA;LIBERADA;Error</v>
      </c>
      <c r="H552" s="2" t="str">
        <f>VLOOKUP(F552,'Message Mapping'!A:L,4,FALSE)</f>
        <v>0;1;2;3</v>
      </c>
      <c r="I552" s="2"/>
      <c r="J552" s="3" t="str">
        <f>VLOOKUP(F552,'Message Mapping'!A:L,12,FALSE)</f>
        <v>Severidade 8</v>
      </c>
      <c r="K552" s="3"/>
      <c r="L552" s="3"/>
      <c r="M552" s="3"/>
      <c r="N552" s="3"/>
      <c r="O552" s="3"/>
      <c r="P552" s="3"/>
    </row>
    <row r="553" spans="1:16" x14ac:dyDescent="0.25">
      <c r="A553" s="94" t="s">
        <v>922</v>
      </c>
      <c r="B553" s="2" t="s">
        <v>923</v>
      </c>
      <c r="C553" s="2" t="s">
        <v>11</v>
      </c>
      <c r="D553" s="2" t="s">
        <v>35</v>
      </c>
      <c r="E553" s="2" t="s">
        <v>1159</v>
      </c>
      <c r="F553" s="2" t="s">
        <v>1211</v>
      </c>
      <c r="G553" s="2" t="str">
        <f>VLOOKUP(F553,'Message Mapping'!A:L,3,FALSE)</f>
        <v>Transit;BLOQUEADA;LIBERADA;Error</v>
      </c>
      <c r="H553" s="2" t="str">
        <f>VLOOKUP(F553,'Message Mapping'!A:L,4,FALSE)</f>
        <v>0;1;2;3</v>
      </c>
      <c r="I553" s="2"/>
      <c r="J553" s="3" t="str">
        <f>VLOOKUP(F553,'Message Mapping'!A:L,12,FALSE)</f>
        <v>Severidade 8</v>
      </c>
      <c r="K553" s="3"/>
      <c r="L553" s="3"/>
      <c r="M553" s="3"/>
      <c r="N553" s="3"/>
      <c r="O553" s="3"/>
      <c r="P553" s="3"/>
    </row>
    <row r="554" spans="1:16" x14ac:dyDescent="0.25">
      <c r="A554" s="94" t="s">
        <v>924</v>
      </c>
      <c r="B554" s="2" t="s">
        <v>925</v>
      </c>
      <c r="C554" s="2" t="s">
        <v>11</v>
      </c>
      <c r="D554" s="2" t="s">
        <v>35</v>
      </c>
      <c r="E554" s="2" t="s">
        <v>1159</v>
      </c>
      <c r="F554" s="2" t="s">
        <v>1211</v>
      </c>
      <c r="G554" s="2" t="str">
        <f>VLOOKUP(F554,'Message Mapping'!A:L,3,FALSE)</f>
        <v>Transit;BLOQUEADA;LIBERADA;Error</v>
      </c>
      <c r="H554" s="2" t="str">
        <f>VLOOKUP(F554,'Message Mapping'!A:L,4,FALSE)</f>
        <v>0;1;2;3</v>
      </c>
      <c r="I554" s="2"/>
      <c r="J554" s="3" t="str">
        <f>VLOOKUP(F554,'Message Mapping'!A:L,12,FALSE)</f>
        <v>Severidade 8</v>
      </c>
      <c r="K554" s="3"/>
      <c r="L554" s="3"/>
      <c r="M554" s="3"/>
      <c r="N554" s="3"/>
      <c r="O554" s="3"/>
      <c r="P554" s="3"/>
    </row>
    <row r="555" spans="1:16" x14ac:dyDescent="0.25">
      <c r="A555" s="94" t="s">
        <v>926</v>
      </c>
      <c r="B555" s="2" t="s">
        <v>927</v>
      </c>
      <c r="C555" s="2" t="s">
        <v>11</v>
      </c>
      <c r="D555" s="2" t="s">
        <v>35</v>
      </c>
      <c r="E555" s="2" t="s">
        <v>1159</v>
      </c>
      <c r="F555" s="2" t="s">
        <v>1211</v>
      </c>
      <c r="G555" s="2" t="str">
        <f>VLOOKUP(F555,'Message Mapping'!A:L,3,FALSE)</f>
        <v>Transit;BLOQUEADA;LIBERADA;Error</v>
      </c>
      <c r="H555" s="2" t="str">
        <f>VLOOKUP(F555,'Message Mapping'!A:L,4,FALSE)</f>
        <v>0;1;2;3</v>
      </c>
      <c r="I555" s="2"/>
      <c r="J555" s="3" t="str">
        <f>VLOOKUP(F555,'Message Mapping'!A:L,12,FALSE)</f>
        <v>Severidade 8</v>
      </c>
      <c r="K555" s="3"/>
      <c r="L555" s="3"/>
      <c r="M555" s="3"/>
      <c r="N555" s="3"/>
      <c r="O555" s="3"/>
      <c r="P555" s="3"/>
    </row>
    <row r="556" spans="1:16" x14ac:dyDescent="0.25">
      <c r="A556" s="94" t="s">
        <v>928</v>
      </c>
      <c r="B556" s="2" t="s">
        <v>929</v>
      </c>
      <c r="C556" s="2" t="s">
        <v>11</v>
      </c>
      <c r="D556" s="2" t="s">
        <v>1172</v>
      </c>
      <c r="E556" s="2" t="s">
        <v>1159</v>
      </c>
      <c r="F556" s="2" t="s">
        <v>133</v>
      </c>
      <c r="G556" s="2" t="str">
        <f>VLOOKUP(F556,'Message Mapping'!A:L,3,FALSE)</f>
        <v>Transit;NORMAL;ATUADO;Error</v>
      </c>
      <c r="H556" s="2" t="str">
        <f>VLOOKUP(F556,'Message Mapping'!A:L,4,FALSE)</f>
        <v>0;1;2;3</v>
      </c>
      <c r="I556" s="2"/>
      <c r="J556" s="3" t="str">
        <f>VLOOKUP(F556,'Message Mapping'!A:L,12,FALSE)</f>
        <v>Severidade 3</v>
      </c>
      <c r="K556" s="3"/>
      <c r="L556" s="3"/>
      <c r="M556" s="3"/>
      <c r="N556" s="3"/>
      <c r="O556" s="3"/>
      <c r="P556" s="3"/>
    </row>
    <row r="557" spans="1:16" x14ac:dyDescent="0.25">
      <c r="A557" s="94" t="s">
        <v>930</v>
      </c>
      <c r="B557" s="2" t="s">
        <v>931</v>
      </c>
      <c r="C557" s="2" t="s">
        <v>11</v>
      </c>
      <c r="D557" s="2" t="s">
        <v>35</v>
      </c>
      <c r="E557" s="2" t="s">
        <v>1159</v>
      </c>
      <c r="F557" s="2" t="s">
        <v>1212</v>
      </c>
      <c r="G557" s="2" t="str">
        <f>VLOOKUP(F557,'Message Mapping'!A:L,3,FALSE)</f>
        <v>Transit;EXTRAIDA;INSERIDA;Error</v>
      </c>
      <c r="H557" s="2" t="str">
        <f>VLOOKUP(F557,'Message Mapping'!A:L,4,FALSE)</f>
        <v>0;1;2;3</v>
      </c>
      <c r="I557" s="2"/>
      <c r="J557" s="3" t="str">
        <f>VLOOKUP(F557,'Message Mapping'!A:L,12,FALSE)</f>
        <v>Severidade 8</v>
      </c>
      <c r="K557" s="3"/>
      <c r="L557" s="3"/>
      <c r="M557" s="3"/>
      <c r="N557" s="3"/>
      <c r="O557" s="3"/>
      <c r="P557" s="3"/>
    </row>
    <row r="558" spans="1:16" x14ac:dyDescent="0.25">
      <c r="A558" s="94" t="s">
        <v>932</v>
      </c>
      <c r="B558" s="2" t="s">
        <v>933</v>
      </c>
      <c r="C558" s="2" t="s">
        <v>11</v>
      </c>
      <c r="D558" s="2" t="s">
        <v>1234</v>
      </c>
      <c r="E558" s="2" t="s">
        <v>1159</v>
      </c>
      <c r="F558" s="2" t="s">
        <v>1215</v>
      </c>
      <c r="G558" s="2" t="str">
        <f>VLOOKUP(F558,'Message Mapping'!A:L,3,FALSE)</f>
        <v>Transit;LIGADO;DESLIGADO;Error</v>
      </c>
      <c r="H558" s="2" t="str">
        <f>VLOOKUP(F558,'Message Mapping'!A:L,4,FALSE)</f>
        <v>0;2;1;3</v>
      </c>
      <c r="I558" s="2"/>
      <c r="J558" s="3" t="str">
        <f>VLOOKUP(F558,'Message Mapping'!A:L,12,FALSE)</f>
        <v>Severidade 7</v>
      </c>
      <c r="K558" s="3"/>
      <c r="L558" s="3"/>
      <c r="M558" s="3"/>
      <c r="N558" s="3"/>
      <c r="O558" s="3"/>
      <c r="P558" s="3"/>
    </row>
    <row r="559" spans="1:16" x14ac:dyDescent="0.25">
      <c r="A559" s="94" t="s">
        <v>934</v>
      </c>
      <c r="B559" s="2" t="s">
        <v>935</v>
      </c>
      <c r="C559" s="2" t="s">
        <v>11</v>
      </c>
      <c r="D559" s="2" t="s">
        <v>1234</v>
      </c>
      <c r="E559" s="2" t="s">
        <v>1159</v>
      </c>
      <c r="F559" s="2" t="s">
        <v>1215</v>
      </c>
      <c r="G559" s="2" t="str">
        <f>VLOOKUP(F559,'Message Mapping'!A:L,3,FALSE)</f>
        <v>Transit;LIGADO;DESLIGADO;Error</v>
      </c>
      <c r="H559" s="2" t="str">
        <f>VLOOKUP(F559,'Message Mapping'!A:L,4,FALSE)</f>
        <v>0;2;1;3</v>
      </c>
      <c r="I559" s="2"/>
      <c r="J559" s="3" t="str">
        <f>VLOOKUP(F559,'Message Mapping'!A:L,12,FALSE)</f>
        <v>Severidade 7</v>
      </c>
      <c r="K559" s="3"/>
      <c r="L559" s="3"/>
      <c r="M559" s="3"/>
      <c r="N559" s="3"/>
      <c r="O559" s="3"/>
      <c r="P559" s="3"/>
    </row>
    <row r="560" spans="1:16" x14ac:dyDescent="0.25">
      <c r="A560" s="94" t="s">
        <v>936</v>
      </c>
      <c r="B560" s="2" t="s">
        <v>937</v>
      </c>
      <c r="C560" s="2" t="s">
        <v>11</v>
      </c>
      <c r="D560" s="2" t="s">
        <v>1234</v>
      </c>
      <c r="E560" s="2" t="s">
        <v>1159</v>
      </c>
      <c r="F560" s="2" t="s">
        <v>1215</v>
      </c>
      <c r="G560" s="2" t="str">
        <f>VLOOKUP(F560,'Message Mapping'!A:L,3,FALSE)</f>
        <v>Transit;LIGADO;DESLIGADO;Error</v>
      </c>
      <c r="H560" s="2" t="str">
        <f>VLOOKUP(F560,'Message Mapping'!A:L,4,FALSE)</f>
        <v>0;2;1;3</v>
      </c>
      <c r="I560" s="2"/>
      <c r="J560" s="3" t="str">
        <f>VLOOKUP(F560,'Message Mapping'!A:L,12,FALSE)</f>
        <v>Severidade 7</v>
      </c>
      <c r="K560" s="3"/>
      <c r="L560" s="3"/>
      <c r="M560" s="3"/>
      <c r="N560" s="3"/>
      <c r="O560" s="3"/>
      <c r="P560" s="3"/>
    </row>
    <row r="561" spans="1:16" x14ac:dyDescent="0.25">
      <c r="A561" s="94" t="s">
        <v>938</v>
      </c>
      <c r="B561" s="2" t="s">
        <v>939</v>
      </c>
      <c r="C561" s="2" t="s">
        <v>11</v>
      </c>
      <c r="D561" s="2" t="s">
        <v>1234</v>
      </c>
      <c r="E561" s="2" t="s">
        <v>1159</v>
      </c>
      <c r="F561" s="2" t="s">
        <v>1215</v>
      </c>
      <c r="G561" s="2" t="str">
        <f>VLOOKUP(F561,'Message Mapping'!A:L,3,FALSE)</f>
        <v>Transit;LIGADO;DESLIGADO;Error</v>
      </c>
      <c r="H561" s="2" t="str">
        <f>VLOOKUP(F561,'Message Mapping'!A:L,4,FALSE)</f>
        <v>0;2;1;3</v>
      </c>
      <c r="I561" s="2"/>
      <c r="J561" s="3" t="str">
        <f>VLOOKUP(F561,'Message Mapping'!A:L,12,FALSE)</f>
        <v>Severidade 7</v>
      </c>
      <c r="K561" s="3"/>
      <c r="L561" s="3"/>
      <c r="M561" s="3"/>
      <c r="N561" s="3"/>
      <c r="O561" s="3"/>
      <c r="P561" s="3"/>
    </row>
    <row r="562" spans="1:16" x14ac:dyDescent="0.25">
      <c r="A562" s="94" t="s">
        <v>940</v>
      </c>
      <c r="B562" s="2" t="s">
        <v>941</v>
      </c>
      <c r="C562" s="2" t="s">
        <v>11</v>
      </c>
      <c r="D562" s="2" t="s">
        <v>1234</v>
      </c>
      <c r="E562" s="2" t="s">
        <v>1159</v>
      </c>
      <c r="F562" s="2" t="s">
        <v>1215</v>
      </c>
      <c r="G562" s="2" t="str">
        <f>VLOOKUP(F562,'Message Mapping'!A:L,3,FALSE)</f>
        <v>Transit;LIGADO;DESLIGADO;Error</v>
      </c>
      <c r="H562" s="2" t="str">
        <f>VLOOKUP(F562,'Message Mapping'!A:L,4,FALSE)</f>
        <v>0;2;1;3</v>
      </c>
      <c r="I562" s="2"/>
      <c r="J562" s="3" t="str">
        <f>VLOOKUP(F562,'Message Mapping'!A:L,12,FALSE)</f>
        <v>Severidade 7</v>
      </c>
      <c r="K562" s="3"/>
      <c r="L562" s="3"/>
      <c r="M562" s="3"/>
      <c r="N562" s="3"/>
      <c r="O562" s="3"/>
      <c r="P562" s="3"/>
    </row>
    <row r="563" spans="1:16" x14ac:dyDescent="0.25">
      <c r="A563" s="94" t="s">
        <v>942</v>
      </c>
      <c r="B563" s="2" t="s">
        <v>943</v>
      </c>
      <c r="C563" s="2" t="s">
        <v>11</v>
      </c>
      <c r="D563" s="2" t="s">
        <v>1234</v>
      </c>
      <c r="E563" s="2" t="s">
        <v>1159</v>
      </c>
      <c r="F563" s="2" t="s">
        <v>1215</v>
      </c>
      <c r="G563" s="2" t="str">
        <f>VLOOKUP(F563,'Message Mapping'!A:L,3,FALSE)</f>
        <v>Transit;LIGADO;DESLIGADO;Error</v>
      </c>
      <c r="H563" s="2" t="str">
        <f>VLOOKUP(F563,'Message Mapping'!A:L,4,FALSE)</f>
        <v>0;2;1;3</v>
      </c>
      <c r="I563" s="2"/>
      <c r="J563" s="3" t="str">
        <f>VLOOKUP(F563,'Message Mapping'!A:L,12,FALSE)</f>
        <v>Severidade 7</v>
      </c>
      <c r="K563" s="3"/>
      <c r="L563" s="3"/>
      <c r="M563" s="3"/>
      <c r="N563" s="3"/>
      <c r="O563" s="3"/>
      <c r="P563" s="3"/>
    </row>
    <row r="564" spans="1:16" x14ac:dyDescent="0.25">
      <c r="A564" s="94" t="s">
        <v>944</v>
      </c>
      <c r="B564" s="2" t="s">
        <v>945</v>
      </c>
      <c r="C564" s="2" t="s">
        <v>11</v>
      </c>
      <c r="D564" s="2" t="s">
        <v>1234</v>
      </c>
      <c r="E564" s="2" t="s">
        <v>1159</v>
      </c>
      <c r="F564" s="2" t="s">
        <v>1215</v>
      </c>
      <c r="G564" s="2" t="str">
        <f>VLOOKUP(F564,'Message Mapping'!A:L,3,FALSE)</f>
        <v>Transit;LIGADO;DESLIGADO;Error</v>
      </c>
      <c r="H564" s="2" t="str">
        <f>VLOOKUP(F564,'Message Mapping'!A:L,4,FALSE)</f>
        <v>0;2;1;3</v>
      </c>
      <c r="I564" s="2"/>
      <c r="J564" s="3" t="str">
        <f>VLOOKUP(F564,'Message Mapping'!A:L,12,FALSE)</f>
        <v>Severidade 7</v>
      </c>
      <c r="K564" s="3"/>
      <c r="L564" s="3"/>
      <c r="M564" s="3"/>
      <c r="N564" s="3"/>
      <c r="O564" s="3"/>
      <c r="P564" s="3"/>
    </row>
    <row r="565" spans="1:16" x14ac:dyDescent="0.25">
      <c r="A565" s="94" t="s">
        <v>946</v>
      </c>
      <c r="B565" s="2" t="s">
        <v>947</v>
      </c>
      <c r="C565" s="2" t="s">
        <v>11</v>
      </c>
      <c r="D565" s="2" t="s">
        <v>1234</v>
      </c>
      <c r="E565" s="2" t="s">
        <v>1159</v>
      </c>
      <c r="F565" s="2" t="s">
        <v>1215</v>
      </c>
      <c r="G565" s="2" t="str">
        <f>VLOOKUP(F565,'Message Mapping'!A:L,3,FALSE)</f>
        <v>Transit;LIGADO;DESLIGADO;Error</v>
      </c>
      <c r="H565" s="2" t="str">
        <f>VLOOKUP(F565,'Message Mapping'!A:L,4,FALSE)</f>
        <v>0;2;1;3</v>
      </c>
      <c r="I565" s="2"/>
      <c r="J565" s="3" t="str">
        <f>VLOOKUP(F565,'Message Mapping'!A:L,12,FALSE)</f>
        <v>Severidade 7</v>
      </c>
      <c r="K565" s="3"/>
      <c r="L565" s="3"/>
      <c r="M565" s="3"/>
      <c r="N565" s="3"/>
      <c r="O565" s="3"/>
      <c r="P565" s="3"/>
    </row>
    <row r="566" spans="1:16" x14ac:dyDescent="0.25">
      <c r="A566" s="94" t="s">
        <v>948</v>
      </c>
      <c r="B566" s="2" t="s">
        <v>949</v>
      </c>
      <c r="C566" s="2" t="s">
        <v>11</v>
      </c>
      <c r="D566" s="2" t="s">
        <v>1234</v>
      </c>
      <c r="E566" s="2" t="s">
        <v>1159</v>
      </c>
      <c r="F566" s="2" t="s">
        <v>1215</v>
      </c>
      <c r="G566" s="2" t="str">
        <f>VLOOKUP(F566,'Message Mapping'!A:L,3,FALSE)</f>
        <v>Transit;LIGADO;DESLIGADO;Error</v>
      </c>
      <c r="H566" s="2" t="str">
        <f>VLOOKUP(F566,'Message Mapping'!A:L,4,FALSE)</f>
        <v>0;2;1;3</v>
      </c>
      <c r="I566" s="2"/>
      <c r="J566" s="3" t="str">
        <f>VLOOKUP(F566,'Message Mapping'!A:L,12,FALSE)</f>
        <v>Severidade 7</v>
      </c>
      <c r="K566" s="3"/>
      <c r="L566" s="3"/>
      <c r="M566" s="3"/>
      <c r="N566" s="3"/>
      <c r="O566" s="3"/>
      <c r="P566" s="3"/>
    </row>
    <row r="567" spans="1:16" x14ac:dyDescent="0.25">
      <c r="A567" s="94" t="s">
        <v>950</v>
      </c>
      <c r="B567" s="2" t="s">
        <v>951</v>
      </c>
      <c r="C567" s="2" t="s">
        <v>11</v>
      </c>
      <c r="D567" s="2" t="s">
        <v>1234</v>
      </c>
      <c r="E567" s="2" t="s">
        <v>1159</v>
      </c>
      <c r="F567" s="2" t="s">
        <v>1215</v>
      </c>
      <c r="G567" s="2" t="str">
        <f>VLOOKUP(F567,'Message Mapping'!A:L,3,FALSE)</f>
        <v>Transit;LIGADO;DESLIGADO;Error</v>
      </c>
      <c r="H567" s="2" t="str">
        <f>VLOOKUP(F567,'Message Mapping'!A:L,4,FALSE)</f>
        <v>0;2;1;3</v>
      </c>
      <c r="I567" s="2"/>
      <c r="J567" s="3" t="str">
        <f>VLOOKUP(F567,'Message Mapping'!A:L,12,FALSE)</f>
        <v>Severidade 7</v>
      </c>
      <c r="K567" s="3"/>
      <c r="L567" s="3"/>
      <c r="M567" s="3"/>
      <c r="N567" s="3"/>
      <c r="O567" s="3"/>
      <c r="P567" s="3"/>
    </row>
    <row r="568" spans="1:16" x14ac:dyDescent="0.25">
      <c r="A568" s="94" t="s">
        <v>952</v>
      </c>
      <c r="B568" s="2" t="s">
        <v>953</v>
      </c>
      <c r="C568" s="2" t="s">
        <v>11</v>
      </c>
      <c r="D568" s="2" t="s">
        <v>1234</v>
      </c>
      <c r="E568" s="2" t="s">
        <v>1159</v>
      </c>
      <c r="F568" s="2" t="s">
        <v>1215</v>
      </c>
      <c r="G568" s="2" t="str">
        <f>VLOOKUP(F568,'Message Mapping'!A:L,3,FALSE)</f>
        <v>Transit;LIGADO;DESLIGADO;Error</v>
      </c>
      <c r="H568" s="2" t="str">
        <f>VLOOKUP(F568,'Message Mapping'!A:L,4,FALSE)</f>
        <v>0;2;1;3</v>
      </c>
      <c r="I568" s="2"/>
      <c r="J568" s="3" t="str">
        <f>VLOOKUP(F568,'Message Mapping'!A:L,12,FALSE)</f>
        <v>Severidade 7</v>
      </c>
      <c r="K568" s="3"/>
      <c r="L568" s="3"/>
      <c r="M568" s="3"/>
      <c r="N568" s="3"/>
      <c r="O568" s="3"/>
      <c r="P568" s="3"/>
    </row>
    <row r="569" spans="1:16" x14ac:dyDescent="0.25">
      <c r="A569" s="94" t="s">
        <v>954</v>
      </c>
      <c r="B569" s="2" t="s">
        <v>955</v>
      </c>
      <c r="C569" s="2" t="s">
        <v>11</v>
      </c>
      <c r="D569" s="2" t="s">
        <v>1234</v>
      </c>
      <c r="E569" s="2" t="s">
        <v>1159</v>
      </c>
      <c r="F569" s="2" t="s">
        <v>1215</v>
      </c>
      <c r="G569" s="2" t="str">
        <f>VLOOKUP(F569,'Message Mapping'!A:L,3,FALSE)</f>
        <v>Transit;LIGADO;DESLIGADO;Error</v>
      </c>
      <c r="H569" s="2" t="str">
        <f>VLOOKUP(F569,'Message Mapping'!A:L,4,FALSE)</f>
        <v>0;2;1;3</v>
      </c>
      <c r="I569" s="2"/>
      <c r="J569" s="3" t="str">
        <f>VLOOKUP(F569,'Message Mapping'!A:L,12,FALSE)</f>
        <v>Severidade 7</v>
      </c>
      <c r="K569" s="3"/>
      <c r="L569" s="3"/>
      <c r="M569" s="3"/>
      <c r="N569" s="3"/>
      <c r="O569" s="3"/>
      <c r="P569" s="3"/>
    </row>
    <row r="570" spans="1:16" x14ac:dyDescent="0.25">
      <c r="A570" s="94" t="s">
        <v>956</v>
      </c>
      <c r="B570" s="2" t="s">
        <v>957</v>
      </c>
      <c r="C570" s="2" t="s">
        <v>11</v>
      </c>
      <c r="D570" s="2" t="s">
        <v>1234</v>
      </c>
      <c r="E570" s="2" t="s">
        <v>1159</v>
      </c>
      <c r="F570" s="2" t="s">
        <v>1215</v>
      </c>
      <c r="G570" s="2" t="str">
        <f>VLOOKUP(F570,'Message Mapping'!A:L,3,FALSE)</f>
        <v>Transit;LIGADO;DESLIGADO;Error</v>
      </c>
      <c r="H570" s="2" t="str">
        <f>VLOOKUP(F570,'Message Mapping'!A:L,4,FALSE)</f>
        <v>0;2;1;3</v>
      </c>
      <c r="I570" s="2"/>
      <c r="J570" s="3" t="str">
        <f>VLOOKUP(F570,'Message Mapping'!A:L,12,FALSE)</f>
        <v>Severidade 7</v>
      </c>
      <c r="K570" s="3"/>
      <c r="L570" s="3"/>
      <c r="M570" s="3"/>
      <c r="N570" s="3"/>
      <c r="O570" s="3"/>
      <c r="P570" s="3"/>
    </row>
    <row r="571" spans="1:16" x14ac:dyDescent="0.25">
      <c r="A571" s="94" t="s">
        <v>958</v>
      </c>
      <c r="B571" s="2" t="s">
        <v>959</v>
      </c>
      <c r="C571" s="2" t="s">
        <v>11</v>
      </c>
      <c r="D571" s="2" t="s">
        <v>1234</v>
      </c>
      <c r="E571" s="2" t="s">
        <v>1159</v>
      </c>
      <c r="F571" s="2" t="s">
        <v>1215</v>
      </c>
      <c r="G571" s="2" t="str">
        <f>VLOOKUP(F571,'Message Mapping'!A:L,3,FALSE)</f>
        <v>Transit;LIGADO;DESLIGADO;Error</v>
      </c>
      <c r="H571" s="2" t="str">
        <f>VLOOKUP(F571,'Message Mapping'!A:L,4,FALSE)</f>
        <v>0;2;1;3</v>
      </c>
      <c r="I571" s="2"/>
      <c r="J571" s="3" t="str">
        <f>VLOOKUP(F571,'Message Mapping'!A:L,12,FALSE)</f>
        <v>Severidade 7</v>
      </c>
      <c r="K571" s="3"/>
      <c r="L571" s="3"/>
      <c r="M571" s="3"/>
      <c r="N571" s="3"/>
      <c r="O571" s="3"/>
      <c r="P571" s="3"/>
    </row>
    <row r="572" spans="1:16" x14ac:dyDescent="0.25">
      <c r="A572" s="94" t="s">
        <v>960</v>
      </c>
      <c r="B572" s="2" t="s">
        <v>961</v>
      </c>
      <c r="C572" s="2" t="s">
        <v>11</v>
      </c>
      <c r="D572" s="2" t="s">
        <v>1234</v>
      </c>
      <c r="E572" s="2" t="s">
        <v>1159</v>
      </c>
      <c r="F572" s="2" t="s">
        <v>1215</v>
      </c>
      <c r="G572" s="2" t="str">
        <f>VLOOKUP(F572,'Message Mapping'!A:L,3,FALSE)</f>
        <v>Transit;LIGADO;DESLIGADO;Error</v>
      </c>
      <c r="H572" s="2" t="str">
        <f>VLOOKUP(F572,'Message Mapping'!A:L,4,FALSE)</f>
        <v>0;2;1;3</v>
      </c>
      <c r="I572" s="2"/>
      <c r="J572" s="3" t="str">
        <f>VLOOKUP(F572,'Message Mapping'!A:L,12,FALSE)</f>
        <v>Severidade 7</v>
      </c>
      <c r="K572" s="3"/>
      <c r="L572" s="3"/>
      <c r="M572" s="3"/>
      <c r="N572" s="3"/>
      <c r="O572" s="3"/>
      <c r="P572" s="3"/>
    </row>
    <row r="573" spans="1:16" x14ac:dyDescent="0.25">
      <c r="A573" s="94" t="s">
        <v>962</v>
      </c>
      <c r="B573" s="2" t="s">
        <v>963</v>
      </c>
      <c r="C573" s="2" t="s">
        <v>11</v>
      </c>
      <c r="D573" s="2" t="s">
        <v>1234</v>
      </c>
      <c r="E573" s="2" t="s">
        <v>1159</v>
      </c>
      <c r="F573" s="2" t="s">
        <v>1215</v>
      </c>
      <c r="G573" s="2" t="str">
        <f>VLOOKUP(F573,'Message Mapping'!A:L,3,FALSE)</f>
        <v>Transit;LIGADO;DESLIGADO;Error</v>
      </c>
      <c r="H573" s="2" t="str">
        <f>VLOOKUP(F573,'Message Mapping'!A:L,4,FALSE)</f>
        <v>0;2;1;3</v>
      </c>
      <c r="I573" s="2"/>
      <c r="J573" s="3" t="str">
        <f>VLOOKUP(F573,'Message Mapping'!A:L,12,FALSE)</f>
        <v>Severidade 7</v>
      </c>
      <c r="K573" s="3"/>
      <c r="L573" s="3"/>
      <c r="M573" s="3"/>
      <c r="N573" s="3"/>
      <c r="O573" s="3"/>
      <c r="P573" s="3"/>
    </row>
    <row r="574" spans="1:16" x14ac:dyDescent="0.25">
      <c r="A574" s="94" t="s">
        <v>964</v>
      </c>
      <c r="B574" s="2" t="s">
        <v>965</v>
      </c>
      <c r="C574" s="2" t="s">
        <v>11</v>
      </c>
      <c r="D574" s="2" t="s">
        <v>1234</v>
      </c>
      <c r="E574" s="2" t="s">
        <v>1159</v>
      </c>
      <c r="F574" s="2" t="s">
        <v>1215</v>
      </c>
      <c r="G574" s="2" t="str">
        <f>VLOOKUP(F574,'Message Mapping'!A:L,3,FALSE)</f>
        <v>Transit;LIGADO;DESLIGADO;Error</v>
      </c>
      <c r="H574" s="2" t="str">
        <f>VLOOKUP(F574,'Message Mapping'!A:L,4,FALSE)</f>
        <v>0;2;1;3</v>
      </c>
      <c r="I574" s="2"/>
      <c r="J574" s="3" t="str">
        <f>VLOOKUP(F574,'Message Mapping'!A:L,12,FALSE)</f>
        <v>Severidade 7</v>
      </c>
      <c r="K574" s="3"/>
      <c r="L574" s="3"/>
      <c r="M574" s="3"/>
      <c r="N574" s="3"/>
      <c r="O574" s="3"/>
      <c r="P574" s="3"/>
    </row>
    <row r="575" spans="1:16" x14ac:dyDescent="0.25">
      <c r="A575" s="94" t="s">
        <v>966</v>
      </c>
      <c r="B575" s="2" t="s">
        <v>967</v>
      </c>
      <c r="C575" s="2" t="s">
        <v>11</v>
      </c>
      <c r="D575" s="2" t="s">
        <v>1234</v>
      </c>
      <c r="E575" s="2" t="s">
        <v>1159</v>
      </c>
      <c r="F575" s="2" t="s">
        <v>1215</v>
      </c>
      <c r="G575" s="2" t="str">
        <f>VLOOKUP(F575,'Message Mapping'!A:L,3,FALSE)</f>
        <v>Transit;LIGADO;DESLIGADO;Error</v>
      </c>
      <c r="H575" s="2" t="str">
        <f>VLOOKUP(F575,'Message Mapping'!A:L,4,FALSE)</f>
        <v>0;2;1;3</v>
      </c>
      <c r="I575" s="2"/>
      <c r="J575" s="3" t="str">
        <f>VLOOKUP(F575,'Message Mapping'!A:L,12,FALSE)</f>
        <v>Severidade 7</v>
      </c>
      <c r="K575" s="3"/>
      <c r="L575" s="3"/>
      <c r="M575" s="3"/>
      <c r="N575" s="3"/>
      <c r="O575" s="3"/>
      <c r="P575" s="3"/>
    </row>
    <row r="576" spans="1:16" x14ac:dyDescent="0.25">
      <c r="A576" s="94" t="s">
        <v>968</v>
      </c>
      <c r="B576" s="2" t="s">
        <v>969</v>
      </c>
      <c r="C576" s="2" t="s">
        <v>11</v>
      </c>
      <c r="D576" s="2" t="s">
        <v>1234</v>
      </c>
      <c r="E576" s="2" t="s">
        <v>1159</v>
      </c>
      <c r="F576" s="2" t="s">
        <v>1215</v>
      </c>
      <c r="G576" s="2" t="str">
        <f>VLOOKUP(F576,'Message Mapping'!A:L,3,FALSE)</f>
        <v>Transit;LIGADO;DESLIGADO;Error</v>
      </c>
      <c r="H576" s="2" t="str">
        <f>VLOOKUP(F576,'Message Mapping'!A:L,4,FALSE)</f>
        <v>0;2;1;3</v>
      </c>
      <c r="I576" s="2"/>
      <c r="J576" s="3" t="str">
        <f>VLOOKUP(F576,'Message Mapping'!A:L,12,FALSE)</f>
        <v>Severidade 7</v>
      </c>
      <c r="K576" s="3"/>
      <c r="L576" s="3"/>
      <c r="M576" s="3"/>
      <c r="N576" s="3"/>
      <c r="O576" s="3"/>
      <c r="P576" s="3"/>
    </row>
    <row r="577" spans="1:16" x14ac:dyDescent="0.25">
      <c r="A577" s="94" t="s">
        <v>970</v>
      </c>
      <c r="B577" s="2" t="s">
        <v>971</v>
      </c>
      <c r="C577" s="2" t="s">
        <v>11</v>
      </c>
      <c r="D577" s="2" t="s">
        <v>1234</v>
      </c>
      <c r="E577" s="2" t="s">
        <v>1159</v>
      </c>
      <c r="F577" s="2" t="s">
        <v>1215</v>
      </c>
      <c r="G577" s="2" t="str">
        <f>VLOOKUP(F577,'Message Mapping'!A:L,3,FALSE)</f>
        <v>Transit;LIGADO;DESLIGADO;Error</v>
      </c>
      <c r="H577" s="2" t="str">
        <f>VLOOKUP(F577,'Message Mapping'!A:L,4,FALSE)</f>
        <v>0;2;1;3</v>
      </c>
      <c r="I577" s="2"/>
      <c r="J577" s="3" t="str">
        <f>VLOOKUP(F577,'Message Mapping'!A:L,12,FALSE)</f>
        <v>Severidade 7</v>
      </c>
      <c r="K577" s="3"/>
      <c r="L577" s="3"/>
      <c r="M577" s="3"/>
      <c r="N577" s="3"/>
      <c r="O577" s="3"/>
      <c r="P577" s="3"/>
    </row>
    <row r="578" spans="1:16" x14ac:dyDescent="0.25">
      <c r="A578" s="94" t="s">
        <v>972</v>
      </c>
      <c r="B578" s="2" t="s">
        <v>973</v>
      </c>
      <c r="C578" s="2" t="s">
        <v>11</v>
      </c>
      <c r="D578" s="2" t="s">
        <v>1234</v>
      </c>
      <c r="E578" s="2" t="s">
        <v>1159</v>
      </c>
      <c r="F578" s="2" t="s">
        <v>1215</v>
      </c>
      <c r="G578" s="2" t="str">
        <f>VLOOKUP(F578,'Message Mapping'!A:L,3,FALSE)</f>
        <v>Transit;LIGADO;DESLIGADO;Error</v>
      </c>
      <c r="H578" s="2" t="str">
        <f>VLOOKUP(F578,'Message Mapping'!A:L,4,FALSE)</f>
        <v>0;2;1;3</v>
      </c>
      <c r="I578" s="2"/>
      <c r="J578" s="3" t="str">
        <f>VLOOKUP(F578,'Message Mapping'!A:L,12,FALSE)</f>
        <v>Severidade 7</v>
      </c>
      <c r="K578" s="3"/>
      <c r="L578" s="3"/>
      <c r="M578" s="3"/>
      <c r="N578" s="3"/>
      <c r="O578" s="3"/>
      <c r="P578" s="3"/>
    </row>
    <row r="579" spans="1:16" x14ac:dyDescent="0.25">
      <c r="A579" s="94" t="s">
        <v>974</v>
      </c>
      <c r="B579" s="2" t="s">
        <v>975</v>
      </c>
      <c r="C579" s="2" t="s">
        <v>11</v>
      </c>
      <c r="D579" s="2" t="s">
        <v>1234</v>
      </c>
      <c r="E579" s="2" t="s">
        <v>1159</v>
      </c>
      <c r="F579" s="2" t="s">
        <v>1215</v>
      </c>
      <c r="G579" s="2" t="str">
        <f>VLOOKUP(F579,'Message Mapping'!A:L,3,FALSE)</f>
        <v>Transit;LIGADO;DESLIGADO;Error</v>
      </c>
      <c r="H579" s="2" t="str">
        <f>VLOOKUP(F579,'Message Mapping'!A:L,4,FALSE)</f>
        <v>0;2;1;3</v>
      </c>
      <c r="I579" s="2"/>
      <c r="J579" s="3" t="str">
        <f>VLOOKUP(F579,'Message Mapping'!A:L,12,FALSE)</f>
        <v>Severidade 7</v>
      </c>
      <c r="K579" s="3"/>
      <c r="L579" s="3"/>
      <c r="M579" s="3"/>
      <c r="N579" s="3"/>
      <c r="O579" s="3"/>
      <c r="P579" s="3"/>
    </row>
    <row r="580" spans="1:16" x14ac:dyDescent="0.25">
      <c r="A580" s="94" t="s">
        <v>976</v>
      </c>
      <c r="B580" s="2" t="s">
        <v>977</v>
      </c>
      <c r="C580" s="2" t="s">
        <v>11</v>
      </c>
      <c r="D580" s="2" t="s">
        <v>1234</v>
      </c>
      <c r="E580" s="2" t="s">
        <v>1159</v>
      </c>
      <c r="F580" s="2" t="s">
        <v>1215</v>
      </c>
      <c r="G580" s="2" t="str">
        <f>VLOOKUP(F580,'Message Mapping'!A:L,3,FALSE)</f>
        <v>Transit;LIGADO;DESLIGADO;Error</v>
      </c>
      <c r="H580" s="2" t="str">
        <f>VLOOKUP(F580,'Message Mapping'!A:L,4,FALSE)</f>
        <v>0;2;1;3</v>
      </c>
      <c r="I580" s="2"/>
      <c r="J580" s="3" t="str">
        <f>VLOOKUP(F580,'Message Mapping'!A:L,12,FALSE)</f>
        <v>Severidade 7</v>
      </c>
      <c r="K580" s="3"/>
      <c r="L580" s="3"/>
      <c r="M580" s="3"/>
      <c r="N580" s="3"/>
      <c r="O580" s="3"/>
      <c r="P580" s="3"/>
    </row>
    <row r="581" spans="1:16" x14ac:dyDescent="0.25">
      <c r="A581" s="94" t="s">
        <v>979</v>
      </c>
      <c r="B581" s="2" t="s">
        <v>978</v>
      </c>
      <c r="C581" s="2" t="s">
        <v>11</v>
      </c>
      <c r="D581" s="2" t="s">
        <v>35</v>
      </c>
      <c r="E581" s="2" t="s">
        <v>1159</v>
      </c>
      <c r="F581" s="2" t="s">
        <v>1183</v>
      </c>
      <c r="G581" s="2" t="str">
        <f>VLOOKUP(F581,'Message Mapping'!A:L,3,FALSE)</f>
        <v>Transit;NORMAL;ATUADO;Error</v>
      </c>
      <c r="H581" s="2" t="str">
        <f>VLOOKUP(F581,'Message Mapping'!A:L,4,FALSE)</f>
        <v>0;1;2;3</v>
      </c>
      <c r="I581" s="2"/>
      <c r="J581" s="3" t="str">
        <f>VLOOKUP(F581,'Message Mapping'!A:L,12,FALSE)</f>
        <v>Severidade 8</v>
      </c>
      <c r="K581" s="3"/>
      <c r="L581" s="3"/>
      <c r="M581" s="3"/>
      <c r="N581" s="3"/>
      <c r="O581" s="3"/>
      <c r="P581" s="3"/>
    </row>
    <row r="582" spans="1:16" x14ac:dyDescent="0.25">
      <c r="A582" s="94" t="s">
        <v>980</v>
      </c>
      <c r="B582" s="2" t="s">
        <v>980</v>
      </c>
      <c r="C582" s="2" t="s">
        <v>11</v>
      </c>
      <c r="D582" s="2" t="s">
        <v>1234</v>
      </c>
      <c r="E582" s="2" t="s">
        <v>1159</v>
      </c>
      <c r="F582" s="2" t="s">
        <v>1216</v>
      </c>
      <c r="G582" s="2" t="str">
        <f>VLOOKUP(F582,'Message Mapping'!A:L,3,FALSE)</f>
        <v>Transit;CARREGADA;DESCARREGADA;Error</v>
      </c>
      <c r="H582" s="2" t="str">
        <f>VLOOKUP(F582,'Message Mapping'!A:L,4,FALSE)</f>
        <v>0;1;2;3</v>
      </c>
      <c r="I582" s="2"/>
      <c r="J582" s="3" t="str">
        <f>VLOOKUP(F582,'Message Mapping'!A:L,12,FALSE)</f>
        <v>Severidade 7</v>
      </c>
      <c r="K582" s="3"/>
      <c r="L582" s="3"/>
      <c r="M582" s="3"/>
      <c r="N582" s="3"/>
      <c r="O582" s="3"/>
      <c r="P582" s="3"/>
    </row>
    <row r="583" spans="1:16" x14ac:dyDescent="0.25">
      <c r="A583" s="94" t="s">
        <v>981</v>
      </c>
      <c r="B583" s="2" t="s">
        <v>4334</v>
      </c>
      <c r="C583" s="2" t="s">
        <v>11</v>
      </c>
      <c r="D583" s="2" t="s">
        <v>1234</v>
      </c>
      <c r="E583" s="2" t="s">
        <v>1159</v>
      </c>
      <c r="F583" s="2" t="s">
        <v>118</v>
      </c>
      <c r="G583" s="2" t="str">
        <f>VLOOKUP(F583,'Message Mapping'!A:L,3,FALSE)</f>
        <v>Transit;NORMAL;ATUADO;Error</v>
      </c>
      <c r="H583" s="2" t="str">
        <f>VLOOKUP(F583,'Message Mapping'!A:L,4,FALSE)</f>
        <v>0;1;2;3</v>
      </c>
      <c r="I583" s="2"/>
      <c r="J583" s="3" t="str">
        <f>VLOOKUP(F583,'Message Mapping'!A:L,12,FALSE)</f>
        <v>Severidade 7</v>
      </c>
      <c r="K583" s="3"/>
      <c r="L583" s="3"/>
      <c r="M583" s="3"/>
      <c r="N583" s="3"/>
      <c r="O583" s="3"/>
      <c r="P583" s="3"/>
    </row>
    <row r="584" spans="1:16" x14ac:dyDescent="0.25">
      <c r="A584" s="94" t="s">
        <v>982</v>
      </c>
      <c r="B584" s="2" t="s">
        <v>983</v>
      </c>
      <c r="C584" s="2" t="s">
        <v>11</v>
      </c>
      <c r="D584" s="2" t="s">
        <v>1234</v>
      </c>
      <c r="E584" s="2" t="s">
        <v>1159</v>
      </c>
      <c r="F584" s="2" t="s">
        <v>118</v>
      </c>
      <c r="G584" s="2" t="str">
        <f>VLOOKUP(F584,'Message Mapping'!A:L,3,FALSE)</f>
        <v>Transit;NORMAL;ATUADO;Error</v>
      </c>
      <c r="H584" s="2" t="str">
        <f>VLOOKUP(F584,'Message Mapping'!A:L,4,FALSE)</f>
        <v>0;1;2;3</v>
      </c>
      <c r="I584" s="2"/>
      <c r="J584" s="3" t="str">
        <f>VLOOKUP(F584,'Message Mapping'!A:L,12,FALSE)</f>
        <v>Severidade 7</v>
      </c>
      <c r="K584" s="3"/>
      <c r="L584" s="3"/>
      <c r="M584" s="3"/>
      <c r="N584" s="3"/>
      <c r="O584" s="3"/>
      <c r="P584" s="3"/>
    </row>
    <row r="585" spans="1:16" x14ac:dyDescent="0.25">
      <c r="A585" s="94" t="s">
        <v>984</v>
      </c>
      <c r="B585" s="2" t="s">
        <v>985</v>
      </c>
      <c r="C585" s="2" t="s">
        <v>39</v>
      </c>
      <c r="D585" s="2" t="s">
        <v>12</v>
      </c>
      <c r="E585" s="2" t="s">
        <v>1159</v>
      </c>
      <c r="F585" s="2" t="s">
        <v>13</v>
      </c>
      <c r="G585" s="2" t="str">
        <f>VLOOKUP(F585,'Message Mapping'!A:L,3,FALSE)</f>
        <v>Transit;NORMAL;ATUADO;Error</v>
      </c>
      <c r="H585" s="2" t="str">
        <f>VLOOKUP(F585,'Message Mapping'!A:L,4,FALSE)</f>
        <v>0;1;2;3</v>
      </c>
      <c r="I585" s="2"/>
      <c r="J585" s="3" t="str">
        <f>VLOOKUP(F585,'Message Mapping'!A:L,12,FALSE)</f>
        <v>Severidade 4</v>
      </c>
      <c r="K585" s="3"/>
      <c r="L585" s="3"/>
      <c r="M585" s="3"/>
      <c r="N585" s="3"/>
      <c r="O585" s="3"/>
      <c r="P585" s="3"/>
    </row>
    <row r="586" spans="1:16" x14ac:dyDescent="0.25">
      <c r="A586" s="94" t="s">
        <v>986</v>
      </c>
      <c r="B586" s="2" t="s">
        <v>2880</v>
      </c>
      <c r="C586" s="2" t="s">
        <v>11</v>
      </c>
      <c r="D586" s="2" t="s">
        <v>1234</v>
      </c>
      <c r="E586" s="2" t="s">
        <v>1159</v>
      </c>
      <c r="F586" s="2" t="s">
        <v>118</v>
      </c>
      <c r="G586" s="2" t="str">
        <f>VLOOKUP(F586,'Message Mapping'!A:L,3,FALSE)</f>
        <v>Transit;NORMAL;ATUADO;Error</v>
      </c>
      <c r="H586" s="2" t="str">
        <f>VLOOKUP(F586,'Message Mapping'!A:L,4,FALSE)</f>
        <v>0;1;2;3</v>
      </c>
      <c r="I586" s="2"/>
      <c r="J586" s="3" t="str">
        <f>VLOOKUP(F586,'Message Mapping'!A:L,12,FALSE)</f>
        <v>Severidade 7</v>
      </c>
      <c r="K586" s="3"/>
      <c r="L586" s="3"/>
      <c r="M586" s="3"/>
      <c r="N586" s="3"/>
      <c r="O586" s="3"/>
      <c r="P586" s="3"/>
    </row>
    <row r="587" spans="1:16" x14ac:dyDescent="0.25">
      <c r="A587" s="94" t="s">
        <v>987</v>
      </c>
      <c r="B587" s="2" t="s">
        <v>988</v>
      </c>
      <c r="C587" s="2" t="s">
        <v>11</v>
      </c>
      <c r="D587" s="2" t="s">
        <v>12</v>
      </c>
      <c r="E587" s="2" t="s">
        <v>1159</v>
      </c>
      <c r="F587" s="2" t="s">
        <v>13</v>
      </c>
      <c r="G587" s="2" t="str">
        <f>VLOOKUP(F587,'Message Mapping'!A:L,3,FALSE)</f>
        <v>Transit;NORMAL;ATUADO;Error</v>
      </c>
      <c r="H587" s="2" t="str">
        <f>VLOOKUP(F587,'Message Mapping'!A:L,4,FALSE)</f>
        <v>0;1;2;3</v>
      </c>
      <c r="I587" s="2"/>
      <c r="J587" s="3" t="str">
        <f>VLOOKUP(F587,'Message Mapping'!A:L,12,FALSE)</f>
        <v>Severidade 4</v>
      </c>
      <c r="K587" s="3"/>
      <c r="L587" s="3"/>
      <c r="M587" s="3"/>
      <c r="N587" s="3"/>
      <c r="O587" s="3"/>
      <c r="P587" s="3"/>
    </row>
    <row r="588" spans="1:16" x14ac:dyDescent="0.25">
      <c r="A588" s="94" t="s">
        <v>990</v>
      </c>
      <c r="B588" s="2" t="s">
        <v>991</v>
      </c>
      <c r="C588" s="2" t="s">
        <v>11</v>
      </c>
      <c r="D588" s="2" t="s">
        <v>1234</v>
      </c>
      <c r="E588" s="2" t="s">
        <v>1159</v>
      </c>
      <c r="F588" s="2" t="s">
        <v>118</v>
      </c>
      <c r="G588" s="2" t="str">
        <f>VLOOKUP(F588,'Message Mapping'!A:L,3,FALSE)</f>
        <v>Transit;NORMAL;ATUADO;Error</v>
      </c>
      <c r="H588" s="2" t="str">
        <f>VLOOKUP(F588,'Message Mapping'!A:L,4,FALSE)</f>
        <v>0;1;2;3</v>
      </c>
      <c r="I588" s="2"/>
      <c r="J588" s="3" t="str">
        <f>VLOOKUP(F588,'Message Mapping'!A:L,12,FALSE)</f>
        <v>Severidade 7</v>
      </c>
      <c r="K588" s="3"/>
      <c r="L588" s="3"/>
      <c r="M588" s="3"/>
      <c r="N588" s="3"/>
      <c r="O588" s="3"/>
      <c r="P588" s="3"/>
    </row>
    <row r="589" spans="1:16" x14ac:dyDescent="0.25">
      <c r="A589" s="94" t="s">
        <v>992</v>
      </c>
      <c r="B589" s="2" t="s">
        <v>993</v>
      </c>
      <c r="C589" s="2" t="s">
        <v>11</v>
      </c>
      <c r="D589" s="2" t="s">
        <v>1234</v>
      </c>
      <c r="E589" s="2" t="s">
        <v>1159</v>
      </c>
      <c r="F589" s="2" t="s">
        <v>118</v>
      </c>
      <c r="G589" s="2" t="str">
        <f>VLOOKUP(F589,'Message Mapping'!A:L,3,FALSE)</f>
        <v>Transit;NORMAL;ATUADO;Error</v>
      </c>
      <c r="H589" s="2" t="str">
        <f>VLOOKUP(F589,'Message Mapping'!A:L,4,FALSE)</f>
        <v>0;1;2;3</v>
      </c>
      <c r="I589" s="2"/>
      <c r="J589" s="3" t="str">
        <f>VLOOKUP(F589,'Message Mapping'!A:L,12,FALSE)</f>
        <v>Severidade 7</v>
      </c>
      <c r="K589" s="3"/>
      <c r="L589" s="3"/>
      <c r="M589" s="3"/>
      <c r="N589" s="3"/>
      <c r="O589" s="3"/>
      <c r="P589" s="3"/>
    </row>
    <row r="590" spans="1:16" x14ac:dyDescent="0.25">
      <c r="A590" s="94" t="s">
        <v>994</v>
      </c>
      <c r="B590" s="2" t="s">
        <v>995</v>
      </c>
      <c r="C590" s="2" t="s">
        <v>11</v>
      </c>
      <c r="D590" s="2" t="s">
        <v>123</v>
      </c>
      <c r="E590" s="2" t="s">
        <v>1159</v>
      </c>
      <c r="F590" s="2" t="s">
        <v>1168</v>
      </c>
      <c r="G590" s="2" t="str">
        <f>VLOOKUP(F590,'Message Mapping'!A:L,3,FALSE)</f>
        <v>Transit;DESATIVADO;ATIVADO;Error</v>
      </c>
      <c r="H590" s="2" t="str">
        <f>VLOOKUP(F590,'Message Mapping'!A:L,4,FALSE)</f>
        <v>0;1;2;3</v>
      </c>
      <c r="I590" s="2"/>
      <c r="J590" s="3" t="str">
        <f>VLOOKUP(F590,'Message Mapping'!A:L,12,FALSE)</f>
        <v>Severidade 5</v>
      </c>
      <c r="K590" s="3"/>
      <c r="L590" s="3"/>
      <c r="M590" s="3"/>
      <c r="N590" s="3"/>
      <c r="O590" s="3"/>
      <c r="P590" s="3"/>
    </row>
    <row r="591" spans="1:16" x14ac:dyDescent="0.25">
      <c r="A591" s="94" t="s">
        <v>994</v>
      </c>
      <c r="B591" s="2" t="s">
        <v>995</v>
      </c>
      <c r="C591" s="2" t="s">
        <v>11</v>
      </c>
      <c r="D591" s="2" t="s">
        <v>123</v>
      </c>
      <c r="E591" s="2" t="s">
        <v>1160</v>
      </c>
      <c r="F591" s="2" t="s">
        <v>124</v>
      </c>
      <c r="G591" s="2" t="str">
        <f>VLOOKUP(F591,'Message Mapping'!A:L,3,FALSE)</f>
        <v>Transit;DESATIVADO;ATIVADO;Error</v>
      </c>
      <c r="H591" s="2" t="str">
        <f>VLOOKUP(F591,'Message Mapping'!A:L,4,FALSE)</f>
        <v>0;1;2;3</v>
      </c>
      <c r="I591" s="2"/>
      <c r="J591" s="3" t="str">
        <f>VLOOKUP(F591,'Message Mapping'!A:L,12,FALSE)</f>
        <v>Severidade 5</v>
      </c>
      <c r="K591" s="3"/>
      <c r="L591" s="3"/>
      <c r="M591" s="3"/>
      <c r="N591" s="3"/>
      <c r="O591" s="3"/>
      <c r="P591" s="3"/>
    </row>
    <row r="592" spans="1:16" x14ac:dyDescent="0.25">
      <c r="A592" s="94" t="s">
        <v>996</v>
      </c>
      <c r="B592" s="2" t="s">
        <v>997</v>
      </c>
      <c r="C592" s="2" t="s">
        <v>11</v>
      </c>
      <c r="D592" s="2" t="s">
        <v>123</v>
      </c>
      <c r="E592" s="2" t="s">
        <v>1159</v>
      </c>
      <c r="F592" s="2" t="s">
        <v>1168</v>
      </c>
      <c r="G592" s="2" t="str">
        <f>VLOOKUP(F592,'Message Mapping'!A:L,3,FALSE)</f>
        <v>Transit;DESATIVADO;ATIVADO;Error</v>
      </c>
      <c r="H592" s="2" t="str">
        <f>VLOOKUP(F592,'Message Mapping'!A:L,4,FALSE)</f>
        <v>0;1;2;3</v>
      </c>
      <c r="I592" s="2"/>
      <c r="J592" s="3" t="str">
        <f>VLOOKUP(F592,'Message Mapping'!A:L,12,FALSE)</f>
        <v>Severidade 5</v>
      </c>
      <c r="K592" s="3"/>
      <c r="L592" s="3"/>
      <c r="M592" s="3"/>
      <c r="N592" s="3"/>
      <c r="O592" s="3"/>
      <c r="P592" s="3"/>
    </row>
    <row r="593" spans="1:16" x14ac:dyDescent="0.25">
      <c r="A593" s="94" t="s">
        <v>996</v>
      </c>
      <c r="B593" s="2" t="s">
        <v>997</v>
      </c>
      <c r="C593" s="2" t="s">
        <v>11</v>
      </c>
      <c r="D593" s="2" t="s">
        <v>123</v>
      </c>
      <c r="E593" s="2" t="s">
        <v>1160</v>
      </c>
      <c r="F593" s="2" t="s">
        <v>124</v>
      </c>
      <c r="G593" s="2" t="str">
        <f>VLOOKUP(F593,'Message Mapping'!A:L,3,FALSE)</f>
        <v>Transit;DESATIVADO;ATIVADO;Error</v>
      </c>
      <c r="H593" s="2" t="str">
        <f>VLOOKUP(F593,'Message Mapping'!A:L,4,FALSE)</f>
        <v>0;1;2;3</v>
      </c>
      <c r="I593" s="2"/>
      <c r="J593" s="3" t="str">
        <f>VLOOKUP(F593,'Message Mapping'!A:L,12,FALSE)</f>
        <v>Severidade 5</v>
      </c>
      <c r="K593" s="3"/>
      <c r="L593" s="3"/>
      <c r="M593" s="3"/>
      <c r="N593" s="3"/>
      <c r="O593" s="3"/>
      <c r="P593" s="3"/>
    </row>
    <row r="594" spans="1:16" x14ac:dyDescent="0.25">
      <c r="A594" s="94" t="s">
        <v>998</v>
      </c>
      <c r="B594" s="2" t="s">
        <v>999</v>
      </c>
      <c r="C594" s="2" t="s">
        <v>11</v>
      </c>
      <c r="D594" s="2" t="s">
        <v>35</v>
      </c>
      <c r="E594" s="2" t="s">
        <v>1159</v>
      </c>
      <c r="F594" s="2" t="s">
        <v>1218</v>
      </c>
      <c r="G594" s="2" t="str">
        <f>VLOOKUP(F594,'Message Mapping'!A:L,3,FALSE)</f>
        <v>Transit;NÃO PERMITIDO;PERMITIDO;Error</v>
      </c>
      <c r="H594" s="2" t="str">
        <f>VLOOKUP(F594,'Message Mapping'!A:L,4,FALSE)</f>
        <v>0;1;2;3</v>
      </c>
      <c r="I594" s="2"/>
      <c r="J594" s="3" t="str">
        <f>VLOOKUP(F594,'Message Mapping'!A:L,12,FALSE)</f>
        <v>Severidade 8</v>
      </c>
      <c r="K594" s="3"/>
      <c r="L594" s="3"/>
      <c r="M594" s="3"/>
      <c r="N594" s="3"/>
      <c r="O594" s="3"/>
      <c r="P594" s="3"/>
    </row>
    <row r="595" spans="1:16" x14ac:dyDescent="0.25">
      <c r="A595" s="94" t="s">
        <v>1000</v>
      </c>
      <c r="B595" s="2" t="s">
        <v>1001</v>
      </c>
      <c r="C595" s="2" t="s">
        <v>11</v>
      </c>
      <c r="D595" s="2" t="s">
        <v>12</v>
      </c>
      <c r="E595" s="2" t="s">
        <v>1159</v>
      </c>
      <c r="F595" s="2" t="s">
        <v>13</v>
      </c>
      <c r="G595" s="2" t="str">
        <f>VLOOKUP(F595,'Message Mapping'!A:L,3,FALSE)</f>
        <v>Transit;NORMAL;ATUADO;Error</v>
      </c>
      <c r="H595" s="2" t="str">
        <f>VLOOKUP(F595,'Message Mapping'!A:L,4,FALSE)</f>
        <v>0;1;2;3</v>
      </c>
      <c r="I595" s="2"/>
      <c r="J595" s="3" t="str">
        <f>VLOOKUP(F595,'Message Mapping'!A:L,12,FALSE)</f>
        <v>Severidade 4</v>
      </c>
      <c r="K595" s="3"/>
      <c r="L595" s="3"/>
      <c r="M595" s="3"/>
      <c r="N595" s="3"/>
      <c r="O595" s="3"/>
      <c r="P595" s="3"/>
    </row>
    <row r="596" spans="1:16" x14ac:dyDescent="0.25">
      <c r="A596" s="94" t="s">
        <v>1002</v>
      </c>
      <c r="B596" s="2" t="s">
        <v>1003</v>
      </c>
      <c r="C596" s="2" t="s">
        <v>11</v>
      </c>
      <c r="D596" s="2" t="s">
        <v>12</v>
      </c>
      <c r="E596" s="2" t="s">
        <v>1159</v>
      </c>
      <c r="F596" s="2" t="s">
        <v>13</v>
      </c>
      <c r="G596" s="2" t="str">
        <f>VLOOKUP(F596,'Message Mapping'!A:L,3,FALSE)</f>
        <v>Transit;NORMAL;ATUADO;Error</v>
      </c>
      <c r="H596" s="2" t="str">
        <f>VLOOKUP(F596,'Message Mapping'!A:L,4,FALSE)</f>
        <v>0;1;2;3</v>
      </c>
      <c r="I596" s="2"/>
      <c r="J596" s="3" t="str">
        <f>VLOOKUP(F596,'Message Mapping'!A:L,12,FALSE)</f>
        <v>Severidade 4</v>
      </c>
      <c r="K596" s="3"/>
      <c r="L596" s="3"/>
      <c r="M596" s="3"/>
      <c r="N596" s="3"/>
      <c r="O596" s="3"/>
      <c r="P596" s="3"/>
    </row>
    <row r="597" spans="1:16" x14ac:dyDescent="0.25">
      <c r="A597" s="94" t="s">
        <v>1004</v>
      </c>
      <c r="B597" s="2" t="s">
        <v>1005</v>
      </c>
      <c r="C597" s="2" t="s">
        <v>11</v>
      </c>
      <c r="D597" s="2" t="s">
        <v>123</v>
      </c>
      <c r="E597" s="2" t="s">
        <v>1159</v>
      </c>
      <c r="F597" s="2" t="s">
        <v>1219</v>
      </c>
      <c r="G597" s="2" t="str">
        <f>VLOOKUP(F597,'Message Mapping'!A:L,3,FALSE)</f>
        <v>Transit;ABERTO;FECHADO;Error</v>
      </c>
      <c r="H597" s="2" t="str">
        <f>VLOOKUP(F597,'Message Mapping'!A:L,4,FALSE)</f>
        <v>0;1;2;3</v>
      </c>
      <c r="I597" s="2"/>
      <c r="J597" s="3" t="str">
        <f>VLOOKUP(F597,'Message Mapping'!A:L,12,FALSE)</f>
        <v>Severidade 5</v>
      </c>
      <c r="K597" s="3"/>
      <c r="L597" s="3"/>
      <c r="M597" s="3"/>
      <c r="N597" s="3"/>
      <c r="O597" s="3"/>
      <c r="P597" s="3"/>
    </row>
    <row r="598" spans="1:16" x14ac:dyDescent="0.25">
      <c r="A598" s="94" t="s">
        <v>1006</v>
      </c>
      <c r="B598" s="2" t="s">
        <v>1007</v>
      </c>
      <c r="C598" s="2" t="s">
        <v>11</v>
      </c>
      <c r="D598" s="2" t="s">
        <v>123</v>
      </c>
      <c r="E598" s="2" t="s">
        <v>1159</v>
      </c>
      <c r="F598" s="2" t="s">
        <v>1219</v>
      </c>
      <c r="G598" s="2" t="str">
        <f>VLOOKUP(F598,'Message Mapping'!A:L,3,FALSE)</f>
        <v>Transit;ABERTO;FECHADO;Error</v>
      </c>
      <c r="H598" s="2" t="str">
        <f>VLOOKUP(F598,'Message Mapping'!A:L,4,FALSE)</f>
        <v>0;1;2;3</v>
      </c>
      <c r="I598" s="2"/>
      <c r="J598" s="3" t="str">
        <f>VLOOKUP(F598,'Message Mapping'!A:L,12,FALSE)</f>
        <v>Severidade 5</v>
      </c>
      <c r="K598" s="3"/>
      <c r="L598" s="3"/>
      <c r="M598" s="3"/>
      <c r="N598" s="3"/>
      <c r="O598" s="3"/>
      <c r="P598" s="3"/>
    </row>
    <row r="599" spans="1:16" x14ac:dyDescent="0.25">
      <c r="A599" s="94" t="s">
        <v>1008</v>
      </c>
      <c r="B599" s="2" t="s">
        <v>1009</v>
      </c>
      <c r="C599" s="2" t="s">
        <v>11</v>
      </c>
      <c r="D599" s="2" t="s">
        <v>123</v>
      </c>
      <c r="E599" s="2" t="s">
        <v>1159</v>
      </c>
      <c r="F599" s="2" t="s">
        <v>1219</v>
      </c>
      <c r="G599" s="2" t="str">
        <f>VLOOKUP(F599,'Message Mapping'!A:L,3,FALSE)</f>
        <v>Transit;ABERTO;FECHADO;Error</v>
      </c>
      <c r="H599" s="2" t="str">
        <f>VLOOKUP(F599,'Message Mapping'!A:L,4,FALSE)</f>
        <v>0;1;2;3</v>
      </c>
      <c r="I599" s="2"/>
      <c r="J599" s="3" t="str">
        <f>VLOOKUP(F599,'Message Mapping'!A:L,12,FALSE)</f>
        <v>Severidade 5</v>
      </c>
      <c r="K599" s="3"/>
      <c r="L599" s="3"/>
      <c r="M599" s="3"/>
      <c r="N599" s="3"/>
      <c r="O599" s="3"/>
      <c r="P599" s="3"/>
    </row>
    <row r="600" spans="1:16" x14ac:dyDescent="0.25">
      <c r="A600" s="94" t="s">
        <v>1010</v>
      </c>
      <c r="B600" s="2" t="s">
        <v>1011</v>
      </c>
      <c r="C600" s="2" t="s">
        <v>11</v>
      </c>
      <c r="D600" s="2" t="s">
        <v>1172</v>
      </c>
      <c r="E600" s="2" t="s">
        <v>1159</v>
      </c>
      <c r="F600" s="2" t="s">
        <v>2803</v>
      </c>
      <c r="G600" s="2" t="str">
        <f>VLOOKUP(F600,'Message Mapping'!A:L,3,FALSE)</f>
        <v>Transit;EXTRAIDO;INSERIDO;Error</v>
      </c>
      <c r="H600" s="2" t="str">
        <f>VLOOKUP(F600,'Message Mapping'!A:L,4,FALSE)</f>
        <v>0;1;2;3</v>
      </c>
      <c r="I600" s="2"/>
      <c r="J600" s="3" t="str">
        <f>VLOOKUP(F600,'Message Mapping'!A:L,12,FALSE)</f>
        <v>Severidade 3</v>
      </c>
      <c r="K600" s="3"/>
      <c r="L600" s="3"/>
      <c r="M600" s="3"/>
      <c r="N600" s="3"/>
      <c r="O600" s="3"/>
      <c r="P600" s="3"/>
    </row>
    <row r="601" spans="1:16" x14ac:dyDescent="0.25">
      <c r="A601" s="94" t="s">
        <v>1012</v>
      </c>
      <c r="B601" s="2" t="s">
        <v>1013</v>
      </c>
      <c r="C601" s="2" t="s">
        <v>11</v>
      </c>
      <c r="D601" s="2" t="s">
        <v>1234</v>
      </c>
      <c r="E601" s="2" t="s">
        <v>1159</v>
      </c>
      <c r="F601" s="2" t="s">
        <v>118</v>
      </c>
      <c r="G601" s="2" t="str">
        <f>VLOOKUP(F601,'Message Mapping'!A:L,3,FALSE)</f>
        <v>Transit;NORMAL;ATUADO;Error</v>
      </c>
      <c r="H601" s="2" t="str">
        <f>VLOOKUP(F601,'Message Mapping'!A:L,4,FALSE)</f>
        <v>0;1;2;3</v>
      </c>
      <c r="I601" s="2"/>
      <c r="J601" s="3" t="str">
        <f>VLOOKUP(F601,'Message Mapping'!A:L,12,FALSE)</f>
        <v>Severidade 7</v>
      </c>
      <c r="K601" s="3"/>
      <c r="L601" s="3"/>
      <c r="M601" s="3"/>
      <c r="N601" s="3"/>
      <c r="O601" s="3"/>
      <c r="P601" s="3"/>
    </row>
    <row r="602" spans="1:16" x14ac:dyDescent="0.25">
      <c r="A602" s="94" t="s">
        <v>884</v>
      </c>
      <c r="B602" s="2" t="s">
        <v>885</v>
      </c>
      <c r="C602" s="2" t="s">
        <v>34</v>
      </c>
      <c r="D602" s="2" t="s">
        <v>35</v>
      </c>
      <c r="E602" s="2" t="s">
        <v>1159</v>
      </c>
      <c r="F602" s="2" t="s">
        <v>1203</v>
      </c>
      <c r="G602" s="2" t="str">
        <f>VLOOKUP(F602,'Message Mapping'!A:L,3,FALSE)</f>
        <v>Transit;INCLUIDO;EXCLUIDO;Error</v>
      </c>
      <c r="H602" s="2" t="str">
        <f>VLOOKUP(F602,'Message Mapping'!A:L,4,FALSE)</f>
        <v>0;1;2;3</v>
      </c>
      <c r="I602" s="2"/>
      <c r="J602" s="3" t="str">
        <f>VLOOKUP(F602,'Message Mapping'!A:L,12,FALSE)</f>
        <v>Severidade 8</v>
      </c>
      <c r="K602" s="3"/>
      <c r="L602" s="3"/>
      <c r="M602" s="3"/>
      <c r="N602" s="3"/>
      <c r="O602" s="3"/>
      <c r="P602" s="3"/>
    </row>
    <row r="603" spans="1:16" ht="25.5" x14ac:dyDescent="0.25">
      <c r="A603" s="94" t="s">
        <v>12</v>
      </c>
      <c r="B603" s="2" t="s">
        <v>1014</v>
      </c>
      <c r="C603" s="2" t="s">
        <v>11</v>
      </c>
      <c r="D603" s="2" t="s">
        <v>12</v>
      </c>
      <c r="E603" s="2" t="s">
        <v>1159</v>
      </c>
      <c r="F603" s="2" t="s">
        <v>1226</v>
      </c>
      <c r="G603" s="2" t="str">
        <f>VLOOKUP(F603,'Message Mapping'!A:L,3,FALSE)</f>
        <v>Transit;NORMAL;BLOQUEADA;Error</v>
      </c>
      <c r="H603" s="2" t="str">
        <f>VLOOKUP(F603,'Message Mapping'!A:L,4,FALSE)</f>
        <v>0;2;1;3</v>
      </c>
      <c r="I603" s="2"/>
      <c r="J603" s="3" t="str">
        <f>VLOOKUP(F603,'Message Mapping'!A:L,12,FALSE)</f>
        <v>Severidade 4</v>
      </c>
      <c r="K603" s="3"/>
      <c r="L603" s="3"/>
      <c r="M603" s="3"/>
      <c r="N603" s="3"/>
      <c r="O603" s="3"/>
      <c r="P603" s="3"/>
    </row>
    <row r="604" spans="1:16" ht="38.25" x14ac:dyDescent="0.25">
      <c r="A604" s="94" t="s">
        <v>1015</v>
      </c>
      <c r="B604" s="2" t="s">
        <v>1016</v>
      </c>
      <c r="C604" s="2" t="s">
        <v>39</v>
      </c>
      <c r="D604" s="2" t="s">
        <v>12</v>
      </c>
      <c r="E604" s="2" t="s">
        <v>1159</v>
      </c>
      <c r="F604" s="2" t="s">
        <v>40</v>
      </c>
      <c r="G604" s="2" t="str">
        <f>VLOOKUP(F604,'Message Mapping'!A:L,3,FALSE)</f>
        <v>Transit;NORMAL;ATUADO;Error</v>
      </c>
      <c r="H604" s="2" t="str">
        <f>VLOOKUP(F604,'Message Mapping'!A:L,4,FALSE)</f>
        <v>0;1;2;3</v>
      </c>
      <c r="I604" s="2"/>
      <c r="J604" s="3" t="str">
        <f>VLOOKUP(F604,'Message Mapping'!A:L,12,FALSE)</f>
        <v>Severidade 4</v>
      </c>
      <c r="K604" s="3" t="s">
        <v>1017</v>
      </c>
      <c r="L604" s="3"/>
      <c r="M604" s="3"/>
      <c r="N604" s="3"/>
      <c r="O604" s="3"/>
      <c r="P604" s="3"/>
    </row>
    <row r="605" spans="1:16" ht="38.25" x14ac:dyDescent="0.25">
      <c r="A605" s="94" t="s">
        <v>1018</v>
      </c>
      <c r="B605" s="2" t="s">
        <v>1019</v>
      </c>
      <c r="C605" s="2" t="s">
        <v>39</v>
      </c>
      <c r="D605" s="2" t="s">
        <v>12</v>
      </c>
      <c r="E605" s="2" t="s">
        <v>1159</v>
      </c>
      <c r="F605" s="2" t="s">
        <v>40</v>
      </c>
      <c r="G605" s="2" t="str">
        <f>VLOOKUP(F605,'Message Mapping'!A:L,3,FALSE)</f>
        <v>Transit;NORMAL;ATUADO;Error</v>
      </c>
      <c r="H605" s="2" t="str">
        <f>VLOOKUP(F605,'Message Mapping'!A:L,4,FALSE)</f>
        <v>0;1;2;3</v>
      </c>
      <c r="I605" s="2"/>
      <c r="J605" s="3" t="str">
        <f>VLOOKUP(F605,'Message Mapping'!A:L,12,FALSE)</f>
        <v>Severidade 4</v>
      </c>
      <c r="K605" s="3" t="s">
        <v>1017</v>
      </c>
      <c r="L605" s="3"/>
      <c r="M605" s="3"/>
      <c r="N605" s="3"/>
      <c r="O605" s="3"/>
      <c r="P605" s="3"/>
    </row>
    <row r="606" spans="1:16" ht="38.25" x14ac:dyDescent="0.25">
      <c r="A606" s="94" t="s">
        <v>1020</v>
      </c>
      <c r="B606" s="2" t="s">
        <v>1264</v>
      </c>
      <c r="C606" s="2" t="s">
        <v>39</v>
      </c>
      <c r="D606" s="2" t="s">
        <v>12</v>
      </c>
      <c r="E606" s="2" t="s">
        <v>1159</v>
      </c>
      <c r="F606" s="2" t="s">
        <v>40</v>
      </c>
      <c r="G606" s="2" t="str">
        <f>VLOOKUP(F606,'Message Mapping'!A:L,3,FALSE)</f>
        <v>Transit;NORMAL;ATUADO;Error</v>
      </c>
      <c r="H606" s="2" t="str">
        <f>VLOOKUP(F606,'Message Mapping'!A:L,4,FALSE)</f>
        <v>0;1;2;3</v>
      </c>
      <c r="I606" s="2"/>
      <c r="J606" s="3" t="str">
        <f>VLOOKUP(F606,'Message Mapping'!A:L,12,FALSE)</f>
        <v>Severidade 4</v>
      </c>
      <c r="K606" s="3" t="s">
        <v>1017</v>
      </c>
      <c r="L606" s="3"/>
      <c r="M606" s="3"/>
      <c r="N606" s="3"/>
      <c r="O606" s="3"/>
      <c r="P606" s="3"/>
    </row>
    <row r="607" spans="1:16" ht="38.25" x14ac:dyDescent="0.25">
      <c r="A607" s="94" t="s">
        <v>1021</v>
      </c>
      <c r="B607" s="2" t="s">
        <v>1265</v>
      </c>
      <c r="C607" s="2" t="s">
        <v>39</v>
      </c>
      <c r="D607" s="2" t="s">
        <v>12</v>
      </c>
      <c r="E607" s="2" t="s">
        <v>1159</v>
      </c>
      <c r="F607" s="2" t="s">
        <v>40</v>
      </c>
      <c r="G607" s="2" t="str">
        <f>VLOOKUP(F607,'Message Mapping'!A:L,3,FALSE)</f>
        <v>Transit;NORMAL;ATUADO;Error</v>
      </c>
      <c r="H607" s="2" t="str">
        <f>VLOOKUP(F607,'Message Mapping'!A:L,4,FALSE)</f>
        <v>0;1;2;3</v>
      </c>
      <c r="I607" s="2"/>
      <c r="J607" s="3" t="str">
        <f>VLOOKUP(F607,'Message Mapping'!A:L,12,FALSE)</f>
        <v>Severidade 4</v>
      </c>
      <c r="K607" s="3" t="s">
        <v>1017</v>
      </c>
      <c r="L607" s="3"/>
      <c r="M607" s="3"/>
      <c r="N607" s="3"/>
      <c r="O607" s="3"/>
      <c r="P607" s="3"/>
    </row>
    <row r="608" spans="1:16" ht="38.25" x14ac:dyDescent="0.25">
      <c r="A608" s="94" t="s">
        <v>1022</v>
      </c>
      <c r="B608" s="2" t="s">
        <v>1023</v>
      </c>
      <c r="C608" s="2" t="s">
        <v>39</v>
      </c>
      <c r="D608" s="2" t="s">
        <v>12</v>
      </c>
      <c r="E608" s="2" t="s">
        <v>1159</v>
      </c>
      <c r="F608" s="2" t="s">
        <v>40</v>
      </c>
      <c r="G608" s="2" t="str">
        <f>VLOOKUP(F608,'Message Mapping'!A:L,3,FALSE)</f>
        <v>Transit;NORMAL;ATUADO;Error</v>
      </c>
      <c r="H608" s="2" t="str">
        <f>VLOOKUP(F608,'Message Mapping'!A:L,4,FALSE)</f>
        <v>0;1;2;3</v>
      </c>
      <c r="I608" s="2"/>
      <c r="J608" s="3" t="str">
        <f>VLOOKUP(F608,'Message Mapping'!A:L,12,FALSE)</f>
        <v>Severidade 4</v>
      </c>
      <c r="K608" s="3" t="s">
        <v>1017</v>
      </c>
      <c r="L608" s="3"/>
      <c r="M608" s="3"/>
      <c r="N608" s="3"/>
      <c r="O608" s="3"/>
      <c r="P608" s="3"/>
    </row>
    <row r="609" spans="1:16" ht="38.25" x14ac:dyDescent="0.25">
      <c r="A609" s="94" t="s">
        <v>1024</v>
      </c>
      <c r="B609" s="2" t="s">
        <v>1025</v>
      </c>
      <c r="C609" s="2" t="s">
        <v>39</v>
      </c>
      <c r="D609" s="2" t="s">
        <v>12</v>
      </c>
      <c r="E609" s="2" t="s">
        <v>1159</v>
      </c>
      <c r="F609" s="2" t="s">
        <v>40</v>
      </c>
      <c r="G609" s="2" t="str">
        <f>VLOOKUP(F609,'Message Mapping'!A:L,3,FALSE)</f>
        <v>Transit;NORMAL;ATUADO;Error</v>
      </c>
      <c r="H609" s="2" t="str">
        <f>VLOOKUP(F609,'Message Mapping'!A:L,4,FALSE)</f>
        <v>0;1;2;3</v>
      </c>
      <c r="I609" s="2"/>
      <c r="J609" s="3" t="str">
        <f>VLOOKUP(F609,'Message Mapping'!A:L,12,FALSE)</f>
        <v>Severidade 4</v>
      </c>
      <c r="K609" s="3" t="s">
        <v>1017</v>
      </c>
      <c r="L609" s="3"/>
      <c r="M609" s="3"/>
      <c r="N609" s="3"/>
      <c r="O609" s="3"/>
      <c r="P609" s="3"/>
    </row>
    <row r="610" spans="1:16" ht="38.25" x14ac:dyDescent="0.25">
      <c r="A610" s="94" t="s">
        <v>1026</v>
      </c>
      <c r="B610" s="2" t="s">
        <v>1027</v>
      </c>
      <c r="C610" s="2" t="s">
        <v>39</v>
      </c>
      <c r="D610" s="2" t="s">
        <v>12</v>
      </c>
      <c r="E610" s="2" t="s">
        <v>1159</v>
      </c>
      <c r="F610" s="2" t="s">
        <v>40</v>
      </c>
      <c r="G610" s="2" t="str">
        <f>VLOOKUP(F610,'Message Mapping'!A:L,3,FALSE)</f>
        <v>Transit;NORMAL;ATUADO;Error</v>
      </c>
      <c r="H610" s="2" t="str">
        <f>VLOOKUP(F610,'Message Mapping'!A:L,4,FALSE)</f>
        <v>0;1;2;3</v>
      </c>
      <c r="I610" s="2"/>
      <c r="J610" s="3" t="str">
        <f>VLOOKUP(F610,'Message Mapping'!A:L,12,FALSE)</f>
        <v>Severidade 4</v>
      </c>
      <c r="K610" s="3" t="s">
        <v>1017</v>
      </c>
      <c r="L610" s="3"/>
      <c r="M610" s="3"/>
      <c r="N610" s="3"/>
      <c r="O610" s="3"/>
      <c r="P610" s="3"/>
    </row>
    <row r="611" spans="1:16" x14ac:dyDescent="0.25">
      <c r="A611" s="94" t="s">
        <v>1028</v>
      </c>
      <c r="B611" s="2" t="s">
        <v>1029</v>
      </c>
      <c r="C611" s="2" t="s">
        <v>39</v>
      </c>
      <c r="D611" s="2" t="s">
        <v>12</v>
      </c>
      <c r="E611" s="2" t="s">
        <v>1159</v>
      </c>
      <c r="F611" s="2" t="s">
        <v>40</v>
      </c>
      <c r="G611" s="2" t="str">
        <f>VLOOKUP(F611,'Message Mapping'!A:L,3,FALSE)</f>
        <v>Transit;NORMAL;ATUADO;Error</v>
      </c>
      <c r="H611" s="2" t="str">
        <f>VLOOKUP(F611,'Message Mapping'!A:L,4,FALSE)</f>
        <v>0;1;2;3</v>
      </c>
      <c r="I611" s="2"/>
      <c r="J611" s="3" t="str">
        <f>VLOOKUP(F611,'Message Mapping'!A:L,12,FALSE)</f>
        <v>Severidade 4</v>
      </c>
      <c r="K611" s="3"/>
      <c r="L611" s="3"/>
      <c r="M611" s="3"/>
      <c r="N611" s="3"/>
      <c r="O611" s="3"/>
      <c r="P611" s="3"/>
    </row>
    <row r="612" spans="1:16" x14ac:dyDescent="0.25">
      <c r="A612" s="94" t="s">
        <v>1030</v>
      </c>
      <c r="B612" s="2" t="s">
        <v>1031</v>
      </c>
      <c r="C612" s="2" t="s">
        <v>39</v>
      </c>
      <c r="D612" s="2" t="s">
        <v>12</v>
      </c>
      <c r="E612" s="2" t="s">
        <v>1159</v>
      </c>
      <c r="F612" s="2" t="s">
        <v>40</v>
      </c>
      <c r="G612" s="2" t="str">
        <f>VLOOKUP(F612,'Message Mapping'!A:L,3,FALSE)</f>
        <v>Transit;NORMAL;ATUADO;Error</v>
      </c>
      <c r="H612" s="2" t="str">
        <f>VLOOKUP(F612,'Message Mapping'!A:L,4,FALSE)</f>
        <v>0;1;2;3</v>
      </c>
      <c r="I612" s="2"/>
      <c r="J612" s="3" t="str">
        <f>VLOOKUP(F612,'Message Mapping'!A:L,12,FALSE)</f>
        <v>Severidade 4</v>
      </c>
      <c r="K612" s="3"/>
      <c r="L612" s="3"/>
      <c r="M612" s="3"/>
      <c r="N612" s="3"/>
      <c r="O612" s="3"/>
      <c r="P612" s="3"/>
    </row>
    <row r="613" spans="1:16" x14ac:dyDescent="0.25">
      <c r="A613" s="94" t="s">
        <v>1032</v>
      </c>
      <c r="B613" s="2" t="s">
        <v>1033</v>
      </c>
      <c r="C613" s="2" t="s">
        <v>11</v>
      </c>
      <c r="D613" s="2" t="s">
        <v>12</v>
      </c>
      <c r="E613" s="2" t="s">
        <v>1159</v>
      </c>
      <c r="F613" s="2" t="s">
        <v>1227</v>
      </c>
      <c r="G613" s="2" t="str">
        <f>VLOOKUP(F613,'Message Mapping'!A:L,3,FALSE)</f>
        <v>Transit;NORMAL;INCOMPLETA;Error</v>
      </c>
      <c r="H613" s="2" t="str">
        <f>VLOOKUP(F613,'Message Mapping'!A:L,4,FALSE)</f>
        <v>0;1;2;3</v>
      </c>
      <c r="I613" s="2"/>
      <c r="J613" s="3" t="str">
        <f>VLOOKUP(F613,'Message Mapping'!A:L,12,FALSE)</f>
        <v>Severidade 4</v>
      </c>
      <c r="K613" s="3"/>
      <c r="L613" s="3"/>
      <c r="M613" s="3"/>
      <c r="N613" s="3"/>
      <c r="O613" s="3"/>
      <c r="P613" s="3"/>
    </row>
    <row r="614" spans="1:16" x14ac:dyDescent="0.25">
      <c r="A614" s="94" t="s">
        <v>1038</v>
      </c>
      <c r="B614" s="2" t="s">
        <v>359</v>
      </c>
      <c r="C614" s="2" t="s">
        <v>11</v>
      </c>
      <c r="D614" s="2" t="s">
        <v>12</v>
      </c>
      <c r="E614" s="2" t="s">
        <v>1159</v>
      </c>
      <c r="F614" s="2" t="s">
        <v>13</v>
      </c>
      <c r="G614" s="2" t="str">
        <f>VLOOKUP(F614,'Message Mapping'!A:L,3,FALSE)</f>
        <v>Transit;NORMAL;ATUADO;Error</v>
      </c>
      <c r="H614" s="2" t="str">
        <f>VLOOKUP(F614,'Message Mapping'!A:L,4,FALSE)</f>
        <v>0;1;2;3</v>
      </c>
      <c r="I614" s="2"/>
      <c r="J614" s="3" t="str">
        <f>VLOOKUP(F614,'Message Mapping'!A:L,12,FALSE)</f>
        <v>Severidade 4</v>
      </c>
      <c r="K614" s="3"/>
      <c r="L614" s="3"/>
      <c r="M614" s="3"/>
      <c r="N614" s="3"/>
      <c r="O614" s="3"/>
      <c r="P614" s="3"/>
    </row>
    <row r="615" spans="1:16" x14ac:dyDescent="0.25">
      <c r="A615" s="94" t="s">
        <v>650</v>
      </c>
      <c r="B615" s="2" t="s">
        <v>1193</v>
      </c>
      <c r="C615" s="2" t="s">
        <v>11</v>
      </c>
      <c r="D615" s="2" t="s">
        <v>35</v>
      </c>
      <c r="E615" s="2" t="s">
        <v>1164</v>
      </c>
      <c r="F615" s="2" t="s">
        <v>1194</v>
      </c>
      <c r="G615" s="2" t="str">
        <f>VLOOKUP(F615,'Message Mapping'!A:L,3,FALSE)</f>
        <v>Transit;;;Error</v>
      </c>
      <c r="H615" s="2" t="str">
        <f>VLOOKUP(F615,'Message Mapping'!A:L,4,FALSE)</f>
        <v>0;1;2;3</v>
      </c>
      <c r="I615" s="2"/>
      <c r="J615" s="3" t="str">
        <f>VLOOKUP(F615,'Message Mapping'!A:L,12,FALSE)</f>
        <v>Severidade 8</v>
      </c>
      <c r="K615" s="3"/>
      <c r="L615" s="3"/>
      <c r="M615" s="3"/>
      <c r="N615" s="3"/>
      <c r="O615" s="3"/>
      <c r="P615" s="3"/>
    </row>
    <row r="616" spans="1:16" x14ac:dyDescent="0.25">
      <c r="A616" s="94" t="s">
        <v>1039</v>
      </c>
      <c r="B616" s="2" t="s">
        <v>1271</v>
      </c>
      <c r="C616" s="2" t="s">
        <v>11</v>
      </c>
      <c r="D616" s="2" t="s">
        <v>12</v>
      </c>
      <c r="E616" s="2" t="s">
        <v>1159</v>
      </c>
      <c r="F616" s="2" t="s">
        <v>13</v>
      </c>
      <c r="G616" s="2" t="str">
        <f>VLOOKUP(F616,'Message Mapping'!A:L,3,FALSE)</f>
        <v>Transit;NORMAL;ATUADO;Error</v>
      </c>
      <c r="H616" s="2" t="str">
        <f>VLOOKUP(F616,'Message Mapping'!A:L,4,FALSE)</f>
        <v>0;1;2;3</v>
      </c>
      <c r="I616" s="2"/>
      <c r="J616" s="3" t="str">
        <f>VLOOKUP(F616,'Message Mapping'!A:L,12,FALSE)</f>
        <v>Severidade 4</v>
      </c>
      <c r="K616" s="3"/>
      <c r="L616" s="3"/>
      <c r="M616" s="3"/>
      <c r="N616" s="3"/>
      <c r="O616" s="3"/>
      <c r="P616" s="3"/>
    </row>
    <row r="617" spans="1:16" x14ac:dyDescent="0.25">
      <c r="A617" s="94" t="s">
        <v>1229</v>
      </c>
      <c r="B617" s="2" t="s">
        <v>1040</v>
      </c>
      <c r="C617" s="2" t="s">
        <v>11</v>
      </c>
      <c r="D617" s="2" t="s">
        <v>1234</v>
      </c>
      <c r="E617" s="2" t="s">
        <v>1159</v>
      </c>
      <c r="F617" s="2" t="s">
        <v>118</v>
      </c>
      <c r="G617" s="2" t="str">
        <f>VLOOKUP(F617,'Message Mapping'!A:L,3,FALSE)</f>
        <v>Transit;NORMAL;ATUADO;Error</v>
      </c>
      <c r="H617" s="2" t="str">
        <f>VLOOKUP(F617,'Message Mapping'!A:L,4,FALSE)</f>
        <v>0;1;2;3</v>
      </c>
      <c r="I617" s="2"/>
      <c r="J617" s="3" t="str">
        <f>VLOOKUP(F617,'Message Mapping'!A:L,12,FALSE)</f>
        <v>Severidade 7</v>
      </c>
      <c r="K617" s="8"/>
      <c r="L617" s="8"/>
      <c r="M617" s="8"/>
      <c r="N617" s="8"/>
      <c r="O617" s="8"/>
      <c r="P617" s="8"/>
    </row>
    <row r="618" spans="1:16" x14ac:dyDescent="0.25">
      <c r="A618" s="94" t="s">
        <v>1041</v>
      </c>
      <c r="B618" s="2" t="s">
        <v>1042</v>
      </c>
      <c r="C618" s="2" t="s">
        <v>11</v>
      </c>
      <c r="D618" s="2" t="s">
        <v>1234</v>
      </c>
      <c r="E618" s="2" t="s">
        <v>1159</v>
      </c>
      <c r="F618" s="2" t="s">
        <v>118</v>
      </c>
      <c r="G618" s="2" t="str">
        <f>VLOOKUP(F618,'Message Mapping'!A:L,3,FALSE)</f>
        <v>Transit;NORMAL;ATUADO;Error</v>
      </c>
      <c r="H618" s="2" t="str">
        <f>VLOOKUP(F618,'Message Mapping'!A:L,4,FALSE)</f>
        <v>0;1;2;3</v>
      </c>
      <c r="I618" s="2"/>
      <c r="J618" s="3" t="str">
        <f>VLOOKUP(F618,'Message Mapping'!A:L,12,FALSE)</f>
        <v>Severidade 7</v>
      </c>
      <c r="K618" s="8"/>
      <c r="L618" s="8"/>
      <c r="M618" s="8"/>
      <c r="N618" s="8"/>
      <c r="O618" s="8"/>
      <c r="P618" s="8"/>
    </row>
    <row r="619" spans="1:16" x14ac:dyDescent="0.25">
      <c r="A619" s="94" t="s">
        <v>1043</v>
      </c>
      <c r="B619" s="2" t="s">
        <v>1044</v>
      </c>
      <c r="C619" s="2" t="s">
        <v>708</v>
      </c>
      <c r="D619" s="2" t="s">
        <v>1176</v>
      </c>
      <c r="E619" s="2" t="s">
        <v>1159</v>
      </c>
      <c r="F619" s="2" t="s">
        <v>1231</v>
      </c>
      <c r="G619" s="2" t="str">
        <f>VLOOKUP(F619,'Message Mapping'!A:L,3,FALSE)</f>
        <v>Transit;ABERTO;FECHADO;Error</v>
      </c>
      <c r="H619" s="2" t="str">
        <f>VLOOKUP(F619,'Message Mapping'!A:L,4,FALSE)</f>
        <v>0;1;2;3</v>
      </c>
      <c r="I619" s="2"/>
      <c r="J619" s="3" t="str">
        <f>VLOOKUP(F619,'Message Mapping'!A:L,12,FALSE)</f>
        <v>Severidade 6</v>
      </c>
      <c r="K619" s="3"/>
      <c r="L619" s="3"/>
      <c r="M619" s="3"/>
      <c r="N619" s="3"/>
      <c r="O619" s="3"/>
      <c r="P619" s="3"/>
    </row>
    <row r="620" spans="1:16" x14ac:dyDescent="0.25">
      <c r="A620" s="94" t="s">
        <v>1043</v>
      </c>
      <c r="B620" s="2" t="s">
        <v>1044</v>
      </c>
      <c r="C620" s="2" t="s">
        <v>708</v>
      </c>
      <c r="D620" s="2" t="s">
        <v>1176</v>
      </c>
      <c r="E620" s="2" t="s">
        <v>1160</v>
      </c>
      <c r="F620" s="2" t="s">
        <v>1230</v>
      </c>
      <c r="G620" s="2" t="str">
        <f>VLOOKUP(F620,'Message Mapping'!A:L,3,FALSE)</f>
        <v>Transit;ABERTO;FECHADO;Error</v>
      </c>
      <c r="H620" s="2" t="str">
        <f>VLOOKUP(F620,'Message Mapping'!A:L,4,FALSE)</f>
        <v>0;1;2;3</v>
      </c>
      <c r="I620" s="2"/>
      <c r="J620" s="3" t="str">
        <f>VLOOKUP(F620,'Message Mapping'!A:L,12,FALSE)</f>
        <v>Severidade 6</v>
      </c>
      <c r="K620" s="3"/>
      <c r="L620" s="3"/>
      <c r="M620" s="3"/>
      <c r="N620" s="3"/>
      <c r="O620" s="3"/>
      <c r="P620" s="3"/>
    </row>
    <row r="621" spans="1:16" x14ac:dyDescent="0.25">
      <c r="A621" s="94" t="s">
        <v>1045</v>
      </c>
      <c r="B621" s="2" t="s">
        <v>1046</v>
      </c>
      <c r="C621" s="2" t="s">
        <v>708</v>
      </c>
      <c r="D621" s="2" t="s">
        <v>1176</v>
      </c>
      <c r="E621" s="2" t="s">
        <v>1159</v>
      </c>
      <c r="F621" s="2" t="s">
        <v>1231</v>
      </c>
      <c r="G621" s="2" t="str">
        <f>VLOOKUP(F621,'Message Mapping'!A:L,3,FALSE)</f>
        <v>Transit;ABERTO;FECHADO;Error</v>
      </c>
      <c r="H621" s="2" t="str">
        <f>VLOOKUP(F621,'Message Mapping'!A:L,4,FALSE)</f>
        <v>0;1;2;3</v>
      </c>
      <c r="I621" s="2"/>
      <c r="J621" s="3" t="str">
        <f>VLOOKUP(F621,'Message Mapping'!A:L,12,FALSE)</f>
        <v>Severidade 6</v>
      </c>
      <c r="K621" s="3"/>
      <c r="L621" s="3"/>
      <c r="M621" s="3"/>
      <c r="N621" s="3"/>
      <c r="O621" s="3"/>
      <c r="P621" s="3"/>
    </row>
    <row r="622" spans="1:16" x14ac:dyDescent="0.25">
      <c r="A622" s="94" t="s">
        <v>1045</v>
      </c>
      <c r="B622" s="2" t="s">
        <v>1046</v>
      </c>
      <c r="C622" s="2" t="s">
        <v>708</v>
      </c>
      <c r="D622" s="2" t="s">
        <v>1176</v>
      </c>
      <c r="E622" s="2" t="s">
        <v>1160</v>
      </c>
      <c r="F622" s="2" t="s">
        <v>1230</v>
      </c>
      <c r="G622" s="2" t="str">
        <f>VLOOKUP(F622,'Message Mapping'!A:L,3,FALSE)</f>
        <v>Transit;ABERTO;FECHADO;Error</v>
      </c>
      <c r="H622" s="2" t="str">
        <f>VLOOKUP(F622,'Message Mapping'!A:L,4,FALSE)</f>
        <v>0;1;2;3</v>
      </c>
      <c r="I622" s="2"/>
      <c r="J622" s="3" t="str">
        <f>VLOOKUP(F622,'Message Mapping'!A:L,12,FALSE)</f>
        <v>Severidade 6</v>
      </c>
      <c r="K622" s="3"/>
      <c r="L622" s="3"/>
      <c r="M622" s="3"/>
      <c r="N622" s="3"/>
      <c r="O622" s="3"/>
      <c r="P622" s="3"/>
    </row>
    <row r="623" spans="1:16" x14ac:dyDescent="0.25">
      <c r="A623" s="94" t="s">
        <v>1048</v>
      </c>
      <c r="B623" s="2" t="s">
        <v>1047</v>
      </c>
      <c r="C623" s="2" t="s">
        <v>708</v>
      </c>
      <c r="D623" s="2" t="s">
        <v>1176</v>
      </c>
      <c r="E623" s="2" t="s">
        <v>1159</v>
      </c>
      <c r="F623" s="2" t="s">
        <v>1231</v>
      </c>
      <c r="G623" s="2" t="str">
        <f>VLOOKUP(F623,'Message Mapping'!A:L,3,FALSE)</f>
        <v>Transit;ABERTO;FECHADO;Error</v>
      </c>
      <c r="H623" s="2" t="str">
        <f>VLOOKUP(F623,'Message Mapping'!A:L,4,FALSE)</f>
        <v>0;1;2;3</v>
      </c>
      <c r="I623" s="2"/>
      <c r="J623" s="3" t="str">
        <f>VLOOKUP(F623,'Message Mapping'!A:L,12,FALSE)</f>
        <v>Severidade 6</v>
      </c>
      <c r="K623" s="3"/>
      <c r="L623" s="3"/>
      <c r="M623" s="3"/>
      <c r="N623" s="3"/>
      <c r="O623" s="3"/>
      <c r="P623" s="3"/>
    </row>
    <row r="624" spans="1:16" x14ac:dyDescent="0.25">
      <c r="A624" s="94" t="s">
        <v>1048</v>
      </c>
      <c r="B624" s="2" t="s">
        <v>1047</v>
      </c>
      <c r="C624" s="2" t="s">
        <v>708</v>
      </c>
      <c r="D624" s="2" t="s">
        <v>1176</v>
      </c>
      <c r="E624" s="2" t="s">
        <v>1160</v>
      </c>
      <c r="F624" s="2" t="s">
        <v>1230</v>
      </c>
      <c r="G624" s="2" t="str">
        <f>VLOOKUP(F624,'Message Mapping'!A:L,3,FALSE)</f>
        <v>Transit;ABERTO;FECHADO;Error</v>
      </c>
      <c r="H624" s="2" t="str">
        <f>VLOOKUP(F624,'Message Mapping'!A:L,4,FALSE)</f>
        <v>0;1;2;3</v>
      </c>
      <c r="I624" s="2"/>
      <c r="J624" s="3" t="str">
        <f>VLOOKUP(F624,'Message Mapping'!A:L,12,FALSE)</f>
        <v>Severidade 6</v>
      </c>
      <c r="K624" s="3"/>
      <c r="L624" s="3"/>
      <c r="M624" s="3"/>
      <c r="N624" s="3"/>
      <c r="O624" s="3"/>
      <c r="P624" s="3"/>
    </row>
    <row r="625" spans="1:16" x14ac:dyDescent="0.25">
      <c r="A625" s="94" t="s">
        <v>1049</v>
      </c>
      <c r="B625" s="2" t="s">
        <v>1050</v>
      </c>
      <c r="C625" s="2" t="s">
        <v>708</v>
      </c>
      <c r="D625" s="2" t="s">
        <v>1176</v>
      </c>
      <c r="E625" s="2" t="s">
        <v>1159</v>
      </c>
      <c r="F625" s="2" t="s">
        <v>1231</v>
      </c>
      <c r="G625" s="2" t="str">
        <f>VLOOKUP(F625,'Message Mapping'!A:L,3,FALSE)</f>
        <v>Transit;ABERTO;FECHADO;Error</v>
      </c>
      <c r="H625" s="2" t="str">
        <f>VLOOKUP(F625,'Message Mapping'!A:L,4,FALSE)</f>
        <v>0;1;2;3</v>
      </c>
      <c r="I625" s="2"/>
      <c r="J625" s="3" t="str">
        <f>VLOOKUP(F625,'Message Mapping'!A:L,12,FALSE)</f>
        <v>Severidade 6</v>
      </c>
      <c r="K625" s="3"/>
      <c r="L625" s="3"/>
      <c r="M625" s="3"/>
      <c r="N625" s="3"/>
      <c r="O625" s="3"/>
      <c r="P625" s="3"/>
    </row>
    <row r="626" spans="1:16" x14ac:dyDescent="0.25">
      <c r="A626" s="94" t="s">
        <v>1049</v>
      </c>
      <c r="B626" s="2" t="s">
        <v>1050</v>
      </c>
      <c r="C626" s="2" t="s">
        <v>708</v>
      </c>
      <c r="D626" s="2" t="s">
        <v>1176</v>
      </c>
      <c r="E626" s="2" t="s">
        <v>1160</v>
      </c>
      <c r="F626" s="2" t="s">
        <v>1230</v>
      </c>
      <c r="G626" s="2" t="str">
        <f>VLOOKUP(F626,'Message Mapping'!A:L,3,FALSE)</f>
        <v>Transit;ABERTO;FECHADO;Error</v>
      </c>
      <c r="H626" s="2" t="str">
        <f>VLOOKUP(F626,'Message Mapping'!A:L,4,FALSE)</f>
        <v>0;1;2;3</v>
      </c>
      <c r="I626" s="2"/>
      <c r="J626" s="3" t="str">
        <f>VLOOKUP(F626,'Message Mapping'!A:L,12,FALSE)</f>
        <v>Severidade 6</v>
      </c>
      <c r="K626" s="3"/>
      <c r="L626" s="3"/>
      <c r="M626" s="3"/>
      <c r="N626" s="3"/>
      <c r="O626" s="3"/>
      <c r="P626" s="3"/>
    </row>
    <row r="627" spans="1:16" x14ac:dyDescent="0.25">
      <c r="A627" s="94" t="s">
        <v>1051</v>
      </c>
      <c r="B627" s="2" t="s">
        <v>1052</v>
      </c>
      <c r="C627" s="2" t="s">
        <v>708</v>
      </c>
      <c r="D627" s="2" t="s">
        <v>1176</v>
      </c>
      <c r="E627" s="2" t="s">
        <v>1159</v>
      </c>
      <c r="F627" s="2" t="s">
        <v>1231</v>
      </c>
      <c r="G627" s="2" t="str">
        <f>VLOOKUP(F627,'Message Mapping'!A:L,3,FALSE)</f>
        <v>Transit;ABERTO;FECHADO;Error</v>
      </c>
      <c r="H627" s="2" t="str">
        <f>VLOOKUP(F627,'Message Mapping'!A:L,4,FALSE)</f>
        <v>0;1;2;3</v>
      </c>
      <c r="I627" s="2"/>
      <c r="J627" s="3" t="str">
        <f>VLOOKUP(F627,'Message Mapping'!A:L,12,FALSE)</f>
        <v>Severidade 6</v>
      </c>
      <c r="K627" s="3"/>
      <c r="L627" s="3"/>
      <c r="M627" s="3"/>
      <c r="N627" s="3"/>
      <c r="O627" s="3"/>
      <c r="P627" s="3"/>
    </row>
    <row r="628" spans="1:16" x14ac:dyDescent="0.25">
      <c r="A628" s="94" t="s">
        <v>1051</v>
      </c>
      <c r="B628" s="2" t="s">
        <v>1052</v>
      </c>
      <c r="C628" s="2" t="s">
        <v>708</v>
      </c>
      <c r="D628" s="2" t="s">
        <v>1176</v>
      </c>
      <c r="E628" s="2" t="s">
        <v>1160</v>
      </c>
      <c r="F628" s="2" t="s">
        <v>1230</v>
      </c>
      <c r="G628" s="2" t="str">
        <f>VLOOKUP(F628,'Message Mapping'!A:L,3,FALSE)</f>
        <v>Transit;ABERTO;FECHADO;Error</v>
      </c>
      <c r="H628" s="2" t="str">
        <f>VLOOKUP(F628,'Message Mapping'!A:L,4,FALSE)</f>
        <v>0;1;2;3</v>
      </c>
      <c r="I628" s="2"/>
      <c r="J628" s="3" t="str">
        <f>VLOOKUP(F628,'Message Mapping'!A:L,12,FALSE)</f>
        <v>Severidade 6</v>
      </c>
      <c r="K628" s="3"/>
      <c r="L628" s="3"/>
      <c r="M628" s="3"/>
      <c r="N628" s="3"/>
      <c r="O628" s="3"/>
      <c r="P628" s="3"/>
    </row>
    <row r="629" spans="1:16" x14ac:dyDescent="0.25">
      <c r="A629" s="94" t="s">
        <v>1053</v>
      </c>
      <c r="B629" s="2" t="s">
        <v>1054</v>
      </c>
      <c r="C629" s="2" t="s">
        <v>708</v>
      </c>
      <c r="D629" s="2" t="s">
        <v>1176</v>
      </c>
      <c r="E629" s="2" t="s">
        <v>1159</v>
      </c>
      <c r="F629" s="2" t="s">
        <v>1231</v>
      </c>
      <c r="G629" s="2" t="str">
        <f>VLOOKUP(F629,'Message Mapping'!A:L,3,FALSE)</f>
        <v>Transit;ABERTO;FECHADO;Error</v>
      </c>
      <c r="H629" s="2" t="str">
        <f>VLOOKUP(F629,'Message Mapping'!A:L,4,FALSE)</f>
        <v>0;1;2;3</v>
      </c>
      <c r="I629" s="2"/>
      <c r="J629" s="3" t="str">
        <f>VLOOKUP(F629,'Message Mapping'!A:L,12,FALSE)</f>
        <v>Severidade 6</v>
      </c>
      <c r="K629" s="3"/>
      <c r="L629" s="3"/>
      <c r="M629" s="3"/>
      <c r="N629" s="3"/>
      <c r="O629" s="3"/>
      <c r="P629" s="3"/>
    </row>
    <row r="630" spans="1:16" x14ac:dyDescent="0.25">
      <c r="A630" s="94" t="s">
        <v>1053</v>
      </c>
      <c r="B630" s="2" t="s">
        <v>1054</v>
      </c>
      <c r="C630" s="2" t="s">
        <v>708</v>
      </c>
      <c r="D630" s="2" t="s">
        <v>1176</v>
      </c>
      <c r="E630" s="2" t="s">
        <v>1160</v>
      </c>
      <c r="F630" s="2" t="s">
        <v>1230</v>
      </c>
      <c r="G630" s="2" t="str">
        <f>VLOOKUP(F630,'Message Mapping'!A:L,3,FALSE)</f>
        <v>Transit;ABERTO;FECHADO;Error</v>
      </c>
      <c r="H630" s="2" t="str">
        <f>VLOOKUP(F630,'Message Mapping'!A:L,4,FALSE)</f>
        <v>0;1;2;3</v>
      </c>
      <c r="I630" s="2"/>
      <c r="J630" s="3" t="str">
        <f>VLOOKUP(F630,'Message Mapping'!A:L,12,FALSE)</f>
        <v>Severidade 6</v>
      </c>
      <c r="K630" s="3"/>
      <c r="L630" s="3"/>
      <c r="M630" s="3"/>
      <c r="N630" s="3"/>
      <c r="O630" s="3"/>
      <c r="P630" s="3"/>
    </row>
    <row r="631" spans="1:16" x14ac:dyDescent="0.25">
      <c r="A631" s="94" t="s">
        <v>1055</v>
      </c>
      <c r="B631" s="2" t="s">
        <v>1056</v>
      </c>
      <c r="C631" s="2" t="s">
        <v>708</v>
      </c>
      <c r="D631" s="2" t="s">
        <v>1176</v>
      </c>
      <c r="E631" s="2" t="s">
        <v>1159</v>
      </c>
      <c r="F631" s="2" t="s">
        <v>1231</v>
      </c>
      <c r="G631" s="2" t="str">
        <f>VLOOKUP(F631,'Message Mapping'!A:L,3,FALSE)</f>
        <v>Transit;ABERTO;FECHADO;Error</v>
      </c>
      <c r="H631" s="2" t="str">
        <f>VLOOKUP(F631,'Message Mapping'!A:L,4,FALSE)</f>
        <v>0;1;2;3</v>
      </c>
      <c r="I631" s="2"/>
      <c r="J631" s="3" t="str">
        <f>VLOOKUP(F631,'Message Mapping'!A:L,12,FALSE)</f>
        <v>Severidade 6</v>
      </c>
      <c r="K631" s="3"/>
      <c r="L631" s="3"/>
      <c r="M631" s="3"/>
      <c r="N631" s="3"/>
      <c r="O631" s="3"/>
      <c r="P631" s="3"/>
    </row>
    <row r="632" spans="1:16" x14ac:dyDescent="0.25">
      <c r="A632" s="94" t="s">
        <v>1055</v>
      </c>
      <c r="B632" s="2" t="s">
        <v>1056</v>
      </c>
      <c r="C632" s="2" t="s">
        <v>708</v>
      </c>
      <c r="D632" s="2" t="s">
        <v>1176</v>
      </c>
      <c r="E632" s="2" t="s">
        <v>1160</v>
      </c>
      <c r="F632" s="2" t="s">
        <v>1230</v>
      </c>
      <c r="G632" s="2" t="str">
        <f>VLOOKUP(F632,'Message Mapping'!A:L,3,FALSE)</f>
        <v>Transit;ABERTO;FECHADO;Error</v>
      </c>
      <c r="H632" s="2" t="str">
        <f>VLOOKUP(F632,'Message Mapping'!A:L,4,FALSE)</f>
        <v>0;1;2;3</v>
      </c>
      <c r="I632" s="2"/>
      <c r="J632" s="3" t="str">
        <f>VLOOKUP(F632,'Message Mapping'!A:L,12,FALSE)</f>
        <v>Severidade 6</v>
      </c>
      <c r="K632" s="3"/>
      <c r="L632" s="3"/>
      <c r="M632" s="3"/>
      <c r="N632" s="3"/>
      <c r="O632" s="3"/>
      <c r="P632" s="3"/>
    </row>
    <row r="633" spans="1:16" x14ac:dyDescent="0.25">
      <c r="A633" s="94" t="s">
        <v>1057</v>
      </c>
      <c r="B633" s="2" t="s">
        <v>1058</v>
      </c>
      <c r="C633" s="2" t="s">
        <v>11</v>
      </c>
      <c r="D633" s="2" t="s">
        <v>123</v>
      </c>
      <c r="E633" s="2" t="s">
        <v>1159</v>
      </c>
      <c r="F633" s="2" t="s">
        <v>1180</v>
      </c>
      <c r="G633" s="2" t="str">
        <f>VLOOKUP(F633,'Message Mapping'!A:L,3,FALSE)</f>
        <v>Transit;NORMAL;ATUADO;Error</v>
      </c>
      <c r="H633" s="2" t="str">
        <f>VLOOKUP(F633,'Message Mapping'!A:L,4,FALSE)</f>
        <v>0;1;2;3</v>
      </c>
      <c r="I633" s="2"/>
      <c r="J633" s="3" t="str">
        <f>VLOOKUP(F633,'Message Mapping'!A:L,12,FALSE)</f>
        <v>Severidade 5</v>
      </c>
      <c r="K633" s="3"/>
      <c r="L633" s="3"/>
      <c r="M633" s="3"/>
      <c r="N633" s="3"/>
      <c r="O633" s="3"/>
      <c r="P633" s="3"/>
    </row>
    <row r="634" spans="1:16" x14ac:dyDescent="0.25">
      <c r="A634" s="94" t="s">
        <v>1059</v>
      </c>
      <c r="B634" s="2" t="s">
        <v>1060</v>
      </c>
      <c r="C634" s="2" t="s">
        <v>11</v>
      </c>
      <c r="D634" s="2" t="s">
        <v>123</v>
      </c>
      <c r="E634" s="2" t="s">
        <v>1159</v>
      </c>
      <c r="F634" s="2" t="s">
        <v>1180</v>
      </c>
      <c r="G634" s="2" t="str">
        <f>VLOOKUP(F634,'Message Mapping'!A:L,3,FALSE)</f>
        <v>Transit;NORMAL;ATUADO;Error</v>
      </c>
      <c r="H634" s="2" t="str">
        <f>VLOOKUP(F634,'Message Mapping'!A:L,4,FALSE)</f>
        <v>0;1;2;3</v>
      </c>
      <c r="I634" s="2"/>
      <c r="J634" s="3" t="str">
        <f>VLOOKUP(F634,'Message Mapping'!A:L,12,FALSE)</f>
        <v>Severidade 5</v>
      </c>
      <c r="K634" s="3"/>
      <c r="L634" s="3"/>
      <c r="M634" s="3"/>
      <c r="N634" s="3"/>
      <c r="O634" s="3"/>
      <c r="P634" s="3"/>
    </row>
    <row r="635" spans="1:16" x14ac:dyDescent="0.25">
      <c r="A635" s="94" t="s">
        <v>1061</v>
      </c>
      <c r="B635" s="2" t="s">
        <v>2878</v>
      </c>
      <c r="C635" s="2" t="s">
        <v>11</v>
      </c>
      <c r="D635" s="2" t="s">
        <v>123</v>
      </c>
      <c r="E635" s="2" t="s">
        <v>1159</v>
      </c>
      <c r="F635" s="2" t="s">
        <v>1180</v>
      </c>
      <c r="G635" s="2" t="str">
        <f>VLOOKUP(F635,'Message Mapping'!A:L,3,FALSE)</f>
        <v>Transit;NORMAL;ATUADO;Error</v>
      </c>
      <c r="H635" s="2" t="str">
        <f>VLOOKUP(F635,'Message Mapping'!A:L,4,FALSE)</f>
        <v>0;1;2;3</v>
      </c>
      <c r="I635" s="2"/>
      <c r="J635" s="3" t="str">
        <f>VLOOKUP(F635,'Message Mapping'!A:L,12,FALSE)</f>
        <v>Severidade 5</v>
      </c>
      <c r="K635" s="3"/>
      <c r="L635" s="3"/>
      <c r="M635" s="3"/>
      <c r="N635" s="3"/>
      <c r="O635" s="3"/>
      <c r="P635" s="3"/>
    </row>
    <row r="636" spans="1:16" x14ac:dyDescent="0.25">
      <c r="A636" s="94" t="s">
        <v>1062</v>
      </c>
      <c r="B636" s="2" t="s">
        <v>1063</v>
      </c>
      <c r="C636" s="2" t="s">
        <v>11</v>
      </c>
      <c r="D636" s="2" t="s">
        <v>1234</v>
      </c>
      <c r="E636" s="2" t="s">
        <v>1159</v>
      </c>
      <c r="F636" s="2" t="s">
        <v>118</v>
      </c>
      <c r="G636" s="2" t="str">
        <f>VLOOKUP(F636,'Message Mapping'!A:L,3,FALSE)</f>
        <v>Transit;NORMAL;ATUADO;Error</v>
      </c>
      <c r="H636" s="2" t="str">
        <f>VLOOKUP(F636,'Message Mapping'!A:L,4,FALSE)</f>
        <v>0;1;2;3</v>
      </c>
      <c r="I636" s="2"/>
      <c r="J636" s="3" t="str">
        <f>VLOOKUP(F636,'Message Mapping'!A:L,12,FALSE)</f>
        <v>Severidade 7</v>
      </c>
      <c r="K636" s="3"/>
      <c r="L636" s="3"/>
      <c r="M636" s="3"/>
      <c r="N636" s="3"/>
      <c r="O636" s="3"/>
      <c r="P636" s="3"/>
    </row>
    <row r="637" spans="1:16" x14ac:dyDescent="0.25">
      <c r="A637" s="94" t="s">
        <v>1064</v>
      </c>
      <c r="B637" s="2" t="s">
        <v>1065</v>
      </c>
      <c r="C637" s="2" t="s">
        <v>11</v>
      </c>
      <c r="D637" s="2" t="s">
        <v>1172</v>
      </c>
      <c r="E637" s="2" t="s">
        <v>1159</v>
      </c>
      <c r="F637" s="2" t="s">
        <v>133</v>
      </c>
      <c r="G637" s="2" t="str">
        <f>VLOOKUP(F637,'Message Mapping'!A:L,3,FALSE)</f>
        <v>Transit;NORMAL;ATUADO;Error</v>
      </c>
      <c r="H637" s="2" t="str">
        <f>VLOOKUP(F637,'Message Mapping'!A:L,4,FALSE)</f>
        <v>0;1;2;3</v>
      </c>
      <c r="I637" s="2"/>
      <c r="J637" s="3" t="str">
        <f>VLOOKUP(F637,'Message Mapping'!A:L,12,FALSE)</f>
        <v>Severidade 3</v>
      </c>
      <c r="K637" s="3"/>
      <c r="L637" s="3"/>
      <c r="M637" s="3"/>
      <c r="N637" s="3"/>
      <c r="O637" s="3"/>
      <c r="P637" s="3"/>
    </row>
    <row r="638" spans="1:16" x14ac:dyDescent="0.25">
      <c r="A638" s="94" t="s">
        <v>1066</v>
      </c>
      <c r="B638" s="2" t="s">
        <v>1067</v>
      </c>
      <c r="C638" s="2" t="s">
        <v>11</v>
      </c>
      <c r="D638" s="2" t="s">
        <v>1172</v>
      </c>
      <c r="E638" s="2" t="s">
        <v>1159</v>
      </c>
      <c r="F638" s="2" t="s">
        <v>133</v>
      </c>
      <c r="G638" s="2" t="str">
        <f>VLOOKUP(F638,'Message Mapping'!A:L,3,FALSE)</f>
        <v>Transit;NORMAL;ATUADO;Error</v>
      </c>
      <c r="H638" s="2" t="str">
        <f>VLOOKUP(F638,'Message Mapping'!A:L,4,FALSE)</f>
        <v>0;1;2;3</v>
      </c>
      <c r="I638" s="2"/>
      <c r="J638" s="3" t="str">
        <f>VLOOKUP(F638,'Message Mapping'!A:L,12,FALSE)</f>
        <v>Severidade 3</v>
      </c>
      <c r="K638" s="3"/>
      <c r="L638" s="3"/>
      <c r="M638" s="3"/>
      <c r="N638" s="3"/>
      <c r="O638" s="3"/>
      <c r="P638" s="3"/>
    </row>
    <row r="639" spans="1:16" x14ac:dyDescent="0.25">
      <c r="A639" s="94" t="s">
        <v>1068</v>
      </c>
      <c r="B639" s="2" t="s">
        <v>1069</v>
      </c>
      <c r="C639" s="2" t="s">
        <v>11</v>
      </c>
      <c r="D639" s="2" t="s">
        <v>1234</v>
      </c>
      <c r="E639" s="2" t="s">
        <v>1159</v>
      </c>
      <c r="F639" s="2" t="s">
        <v>118</v>
      </c>
      <c r="G639" s="2" t="str">
        <f>VLOOKUP(F639,'Message Mapping'!A:L,3,FALSE)</f>
        <v>Transit;NORMAL;ATUADO;Error</v>
      </c>
      <c r="H639" s="2" t="str">
        <f>VLOOKUP(F639,'Message Mapping'!A:L,4,FALSE)</f>
        <v>0;1;2;3</v>
      </c>
      <c r="I639" s="2"/>
      <c r="J639" s="3" t="str">
        <f>VLOOKUP(F639,'Message Mapping'!A:L,12,FALSE)</f>
        <v>Severidade 7</v>
      </c>
      <c r="K639" s="3"/>
      <c r="L639" s="3"/>
      <c r="M639" s="3"/>
      <c r="N639" s="3"/>
      <c r="O639" s="3"/>
      <c r="P639" s="3"/>
    </row>
    <row r="640" spans="1:16" x14ac:dyDescent="0.25">
      <c r="A640" s="94" t="s">
        <v>1070</v>
      </c>
      <c r="B640" s="2" t="s">
        <v>1071</v>
      </c>
      <c r="C640" s="2" t="s">
        <v>11</v>
      </c>
      <c r="D640" s="2" t="s">
        <v>1234</v>
      </c>
      <c r="E640" s="2" t="s">
        <v>1159</v>
      </c>
      <c r="F640" s="2" t="s">
        <v>118</v>
      </c>
      <c r="G640" s="2" t="str">
        <f>VLOOKUP(F640,'Message Mapping'!A:L,3,FALSE)</f>
        <v>Transit;NORMAL;ATUADO;Error</v>
      </c>
      <c r="H640" s="2" t="str">
        <f>VLOOKUP(F640,'Message Mapping'!A:L,4,FALSE)</f>
        <v>0;1;2;3</v>
      </c>
      <c r="I640" s="2"/>
      <c r="J640" s="3" t="str">
        <f>VLOOKUP(F640,'Message Mapping'!A:L,12,FALSE)</f>
        <v>Severidade 7</v>
      </c>
      <c r="K640" s="3"/>
      <c r="L640" s="3"/>
      <c r="M640" s="3"/>
      <c r="N640" s="3"/>
      <c r="O640" s="3"/>
      <c r="P640" s="3"/>
    </row>
    <row r="641" spans="1:16" x14ac:dyDescent="0.25">
      <c r="A641" s="94" t="s">
        <v>1072</v>
      </c>
      <c r="B641" s="2" t="s">
        <v>1073</v>
      </c>
      <c r="C641" s="2" t="s">
        <v>11</v>
      </c>
      <c r="D641" s="2" t="s">
        <v>1234</v>
      </c>
      <c r="E641" s="2" t="s">
        <v>1159</v>
      </c>
      <c r="F641" s="2" t="s">
        <v>118</v>
      </c>
      <c r="G641" s="2" t="str">
        <f>VLOOKUP(F641,'Message Mapping'!A:L,3,FALSE)</f>
        <v>Transit;NORMAL;ATUADO;Error</v>
      </c>
      <c r="H641" s="2" t="str">
        <f>VLOOKUP(F641,'Message Mapping'!A:L,4,FALSE)</f>
        <v>0;1;2;3</v>
      </c>
      <c r="I641" s="2"/>
      <c r="J641" s="3" t="str">
        <f>VLOOKUP(F641,'Message Mapping'!A:L,12,FALSE)</f>
        <v>Severidade 7</v>
      </c>
      <c r="K641" s="3"/>
      <c r="L641" s="3"/>
      <c r="M641" s="3"/>
      <c r="N641" s="3"/>
      <c r="O641" s="3"/>
      <c r="P641" s="3"/>
    </row>
    <row r="642" spans="1:16" x14ac:dyDescent="0.25">
      <c r="A642" s="94" t="s">
        <v>1074</v>
      </c>
      <c r="B642" s="2" t="s">
        <v>1075</v>
      </c>
      <c r="C642" s="2" t="s">
        <v>11</v>
      </c>
      <c r="D642" s="2" t="s">
        <v>1234</v>
      </c>
      <c r="E642" s="2" t="s">
        <v>1159</v>
      </c>
      <c r="F642" s="2" t="s">
        <v>118</v>
      </c>
      <c r="G642" s="2" t="str">
        <f>VLOOKUP(F642,'Message Mapping'!A:L,3,FALSE)</f>
        <v>Transit;NORMAL;ATUADO;Error</v>
      </c>
      <c r="H642" s="2" t="str">
        <f>VLOOKUP(F642,'Message Mapping'!A:L,4,FALSE)</f>
        <v>0;1;2;3</v>
      </c>
      <c r="I642" s="2"/>
      <c r="J642" s="3" t="str">
        <f>VLOOKUP(F642,'Message Mapping'!A:L,12,FALSE)</f>
        <v>Severidade 7</v>
      </c>
      <c r="K642" s="3"/>
      <c r="L642" s="3"/>
      <c r="M642" s="3"/>
      <c r="N642" s="3"/>
      <c r="O642" s="3"/>
      <c r="P642" s="3"/>
    </row>
    <row r="643" spans="1:16" x14ac:dyDescent="0.25">
      <c r="A643" s="94" t="s">
        <v>1035</v>
      </c>
      <c r="B643" s="2" t="s">
        <v>1034</v>
      </c>
      <c r="C643" s="2" t="s">
        <v>11</v>
      </c>
      <c r="D643" s="2" t="s">
        <v>12</v>
      </c>
      <c r="E643" s="2" t="s">
        <v>1159</v>
      </c>
      <c r="F643" s="2" t="s">
        <v>1228</v>
      </c>
      <c r="G643" s="2" t="str">
        <f>VLOOKUP(F643,'Message Mapping'!A:L,3,FALSE)</f>
        <v>Transit;NORMAL;COMPLETA;Error</v>
      </c>
      <c r="H643" s="2" t="str">
        <f>VLOOKUP(F643,'Message Mapping'!A:L,4,FALSE)</f>
        <v>0;1;2;3</v>
      </c>
      <c r="I643" s="2"/>
      <c r="J643" s="3" t="str">
        <f>VLOOKUP(F643,'Message Mapping'!A:L,12,FALSE)</f>
        <v>Severidade 4</v>
      </c>
      <c r="K643" s="3"/>
      <c r="L643" s="3"/>
      <c r="M643" s="3"/>
      <c r="N643" s="3"/>
      <c r="O643" s="3"/>
      <c r="P643" s="3"/>
    </row>
    <row r="644" spans="1:16" x14ac:dyDescent="0.25">
      <c r="A644" s="94" t="s">
        <v>1078</v>
      </c>
      <c r="B644" s="2" t="s">
        <v>1079</v>
      </c>
      <c r="C644" s="2" t="s">
        <v>11</v>
      </c>
      <c r="D644" s="2" t="s">
        <v>12</v>
      </c>
      <c r="E644" s="2" t="s">
        <v>1159</v>
      </c>
      <c r="F644" s="2" t="s">
        <v>1233</v>
      </c>
      <c r="G644" s="2" t="str">
        <f>VLOOKUP(F644,'Message Mapping'!A:L,3,FALSE)</f>
        <v>Transit;OPERANDO;BLOQUEADO;Error</v>
      </c>
      <c r="H644" s="2" t="str">
        <f>VLOOKUP(F644,'Message Mapping'!A:L,4,FALSE)</f>
        <v>0;1;2;3</v>
      </c>
      <c r="I644" s="2"/>
      <c r="J644" s="3" t="str">
        <f>VLOOKUP(F644,'Message Mapping'!A:L,12,FALSE)</f>
        <v>Severidade 4</v>
      </c>
      <c r="K644" s="3"/>
      <c r="L644" s="3"/>
      <c r="M644" s="3"/>
      <c r="N644" s="3"/>
      <c r="O644" s="3"/>
      <c r="P644" s="3"/>
    </row>
    <row r="645" spans="1:16" x14ac:dyDescent="0.25">
      <c r="A645" s="94" t="s">
        <v>1080</v>
      </c>
      <c r="B645" s="2" t="s">
        <v>1156</v>
      </c>
      <c r="C645" s="2" t="s">
        <v>11</v>
      </c>
      <c r="D645" s="2" t="s">
        <v>12</v>
      </c>
      <c r="E645" s="2" t="s">
        <v>1159</v>
      </c>
      <c r="F645" s="2" t="s">
        <v>13</v>
      </c>
      <c r="G645" s="2" t="str">
        <f>VLOOKUP(F645,'Message Mapping'!A:L,3,FALSE)</f>
        <v>Transit;NORMAL;ATUADO;Error</v>
      </c>
      <c r="H645" s="2" t="str">
        <f>VLOOKUP(F645,'Message Mapping'!A:L,4,FALSE)</f>
        <v>0;1;2;3</v>
      </c>
      <c r="I645" s="2"/>
      <c r="J645" s="3" t="str">
        <f>VLOOKUP(F645,'Message Mapping'!A:L,12,FALSE)</f>
        <v>Severidade 4</v>
      </c>
      <c r="K645" s="3"/>
      <c r="L645" s="3"/>
      <c r="M645" s="3"/>
      <c r="N645" s="3"/>
      <c r="O645" s="3"/>
      <c r="P645" s="3"/>
    </row>
    <row r="646" spans="1:16" x14ac:dyDescent="0.25">
      <c r="A646" s="94" t="s">
        <v>1081</v>
      </c>
      <c r="B646" s="2" t="s">
        <v>1081</v>
      </c>
      <c r="C646" s="2" t="s">
        <v>39</v>
      </c>
      <c r="D646" s="2" t="s">
        <v>12</v>
      </c>
      <c r="E646" s="2" t="s">
        <v>1159</v>
      </c>
      <c r="F646" s="2" t="s">
        <v>40</v>
      </c>
      <c r="G646" s="2" t="str">
        <f>VLOOKUP(F646,'Message Mapping'!A:L,3,FALSE)</f>
        <v>Transit;NORMAL;ATUADO;Error</v>
      </c>
      <c r="H646" s="2" t="str">
        <f>VLOOKUP(F646,'Message Mapping'!A:L,4,FALSE)</f>
        <v>0;1;2;3</v>
      </c>
      <c r="I646" s="2"/>
      <c r="J646" s="3" t="str">
        <f>VLOOKUP(F646,'Message Mapping'!A:L,12,FALSE)</f>
        <v>Severidade 4</v>
      </c>
      <c r="K646" s="3"/>
      <c r="L646" s="3"/>
      <c r="M646" s="3"/>
      <c r="N646" s="3"/>
      <c r="O646" s="3"/>
      <c r="P646" s="3"/>
    </row>
    <row r="647" spans="1:16" s="103" customFormat="1" x14ac:dyDescent="0.25">
      <c r="A647" s="102" t="s">
        <v>1082</v>
      </c>
      <c r="B647" s="5" t="s">
        <v>1083</v>
      </c>
      <c r="C647" s="5" t="s">
        <v>39</v>
      </c>
      <c r="D647" s="5" t="s">
        <v>12</v>
      </c>
      <c r="E647" s="5" t="s">
        <v>1159</v>
      </c>
      <c r="F647" s="5" t="s">
        <v>40</v>
      </c>
      <c r="G647" s="5" t="str">
        <f>VLOOKUP(F647,'Message Mapping'!A:L,3,FALSE)</f>
        <v>Transit;NORMAL;ATUADO;Error</v>
      </c>
      <c r="H647" s="5" t="str">
        <f>VLOOKUP(F647,'Message Mapping'!A:L,4,FALSE)</f>
        <v>0;1;2;3</v>
      </c>
      <c r="I647" s="5"/>
      <c r="J647" s="8" t="str">
        <f>VLOOKUP(F647,'Message Mapping'!A:L,12,FALSE)</f>
        <v>Severidade 4</v>
      </c>
      <c r="K647" s="8"/>
      <c r="L647" s="8"/>
      <c r="M647" s="8"/>
      <c r="N647" s="8"/>
      <c r="O647" s="8"/>
      <c r="P647" s="8"/>
    </row>
    <row r="648" spans="1:16" x14ac:dyDescent="0.25">
      <c r="A648" s="94" t="s">
        <v>1084</v>
      </c>
      <c r="B648" s="2" t="s">
        <v>1085</v>
      </c>
      <c r="C648" s="2" t="s">
        <v>39</v>
      </c>
      <c r="D648" s="2" t="s">
        <v>12</v>
      </c>
      <c r="E648" s="2" t="s">
        <v>1159</v>
      </c>
      <c r="F648" s="2" t="s">
        <v>40</v>
      </c>
      <c r="G648" s="2" t="str">
        <f>VLOOKUP(F648,'Message Mapping'!A:L,3,FALSE)</f>
        <v>Transit;NORMAL;ATUADO;Error</v>
      </c>
      <c r="H648" s="2" t="str">
        <f>VLOOKUP(F648,'Message Mapping'!A:L,4,FALSE)</f>
        <v>0;1;2;3</v>
      </c>
      <c r="I648" s="2"/>
      <c r="J648" s="3" t="str">
        <f>VLOOKUP(F648,'Message Mapping'!A:L,12,FALSE)</f>
        <v>Severidade 4</v>
      </c>
      <c r="K648" s="3"/>
      <c r="L648" s="3"/>
      <c r="M648" s="3"/>
      <c r="N648" s="3"/>
      <c r="O648" s="3"/>
      <c r="P648" s="3"/>
    </row>
    <row r="649" spans="1:16" x14ac:dyDescent="0.25">
      <c r="A649" s="94" t="s">
        <v>1086</v>
      </c>
      <c r="B649" s="2" t="s">
        <v>1087</v>
      </c>
      <c r="C649" s="2" t="s">
        <v>11</v>
      </c>
      <c r="D649" s="2" t="s">
        <v>12</v>
      </c>
      <c r="E649" s="2" t="s">
        <v>1159</v>
      </c>
      <c r="F649" s="2" t="s">
        <v>1275</v>
      </c>
      <c r="G649" s="2" t="str">
        <f>VLOOKUP(F649,'Message Mapping'!A:L,3,FALSE)</f>
        <v>Transit;NORMAL;RECEBIDO;Error</v>
      </c>
      <c r="H649" s="2" t="str">
        <f>VLOOKUP(F649,'Message Mapping'!A:L,4,FALSE)</f>
        <v>0;1;2;3</v>
      </c>
      <c r="I649" s="2"/>
      <c r="J649" s="3" t="str">
        <f>VLOOKUP(F649,'Message Mapping'!A:L,12,FALSE)</f>
        <v>Severidade 4</v>
      </c>
      <c r="K649" s="3"/>
      <c r="L649" s="3"/>
      <c r="M649" s="3"/>
      <c r="N649" s="3"/>
      <c r="O649" s="3"/>
      <c r="P649" s="3"/>
    </row>
    <row r="650" spans="1:16" x14ac:dyDescent="0.25">
      <c r="A650" s="94" t="s">
        <v>1088</v>
      </c>
      <c r="B650" s="2" t="s">
        <v>1089</v>
      </c>
      <c r="C650" s="2" t="s">
        <v>11</v>
      </c>
      <c r="D650" s="2" t="s">
        <v>12</v>
      </c>
      <c r="E650" s="2" t="s">
        <v>1159</v>
      </c>
      <c r="F650" s="2" t="s">
        <v>1276</v>
      </c>
      <c r="G650" s="2" t="str">
        <f>VLOOKUP(F650,'Message Mapping'!A:L,3,FALSE)</f>
        <v>Transit;NORMAL;TRANSMITIDO;Error</v>
      </c>
      <c r="H650" s="2" t="str">
        <f>VLOOKUP(F650,'Message Mapping'!A:L,4,FALSE)</f>
        <v>0;1;2;3</v>
      </c>
      <c r="I650" s="2"/>
      <c r="J650" s="3" t="str">
        <f>VLOOKUP(F650,'Message Mapping'!A:L,12,FALSE)</f>
        <v>Severidade 4</v>
      </c>
      <c r="K650" s="3"/>
      <c r="L650" s="3"/>
      <c r="M650" s="3"/>
      <c r="N650" s="3"/>
      <c r="O650" s="3"/>
      <c r="P650" s="3"/>
    </row>
    <row r="651" spans="1:16" x14ac:dyDescent="0.25">
      <c r="A651" s="94" t="s">
        <v>1091</v>
      </c>
      <c r="B651" s="2" t="s">
        <v>1090</v>
      </c>
      <c r="C651" s="2" t="s">
        <v>39</v>
      </c>
      <c r="D651" s="2" t="s">
        <v>12</v>
      </c>
      <c r="E651" s="2" t="s">
        <v>1159</v>
      </c>
      <c r="F651" s="2" t="s">
        <v>40</v>
      </c>
      <c r="G651" s="2" t="str">
        <f>VLOOKUP(F651,'Message Mapping'!A:L,3,FALSE)</f>
        <v>Transit;NORMAL;ATUADO;Error</v>
      </c>
      <c r="H651" s="2" t="str">
        <f>VLOOKUP(F651,'Message Mapping'!A:L,4,FALSE)</f>
        <v>0;1;2;3</v>
      </c>
      <c r="I651" s="2"/>
      <c r="J651" s="3" t="str">
        <f>VLOOKUP(F651,'Message Mapping'!A:L,12,FALSE)</f>
        <v>Severidade 4</v>
      </c>
      <c r="K651" s="3"/>
      <c r="L651" s="3"/>
      <c r="M651" s="3"/>
      <c r="N651" s="3"/>
      <c r="O651" s="3"/>
      <c r="P651" s="3"/>
    </row>
    <row r="652" spans="1:16" x14ac:dyDescent="0.25">
      <c r="A652" s="94" t="s">
        <v>1092</v>
      </c>
      <c r="B652" s="2" t="s">
        <v>1093</v>
      </c>
      <c r="C652" s="2" t="s">
        <v>11</v>
      </c>
      <c r="D652" s="2" t="s">
        <v>12</v>
      </c>
      <c r="E652" s="2" t="s">
        <v>1159</v>
      </c>
      <c r="F652" s="2" t="s">
        <v>13</v>
      </c>
      <c r="G652" s="2" t="str">
        <f>VLOOKUP(F652,'Message Mapping'!A:L,3,FALSE)</f>
        <v>Transit;NORMAL;ATUADO;Error</v>
      </c>
      <c r="H652" s="2" t="str">
        <f>VLOOKUP(F652,'Message Mapping'!A:L,4,FALSE)</f>
        <v>0;1;2;3</v>
      </c>
      <c r="I652" s="2"/>
      <c r="J652" s="3" t="str">
        <f>VLOOKUP(F652,'Message Mapping'!A:L,12,FALSE)</f>
        <v>Severidade 4</v>
      </c>
      <c r="K652" s="3"/>
      <c r="L652" s="3"/>
      <c r="M652" s="3"/>
      <c r="N652" s="3"/>
      <c r="O652" s="3"/>
      <c r="P652" s="3"/>
    </row>
    <row r="653" spans="1:16" x14ac:dyDescent="0.25">
      <c r="A653" s="94" t="s">
        <v>1076</v>
      </c>
      <c r="B653" s="2" t="s">
        <v>1077</v>
      </c>
      <c r="C653" s="2" t="s">
        <v>11</v>
      </c>
      <c r="D653" s="2" t="s">
        <v>12</v>
      </c>
      <c r="E653" s="2" t="s">
        <v>1159</v>
      </c>
      <c r="F653" s="2" t="s">
        <v>1232</v>
      </c>
      <c r="G653" s="2" t="str">
        <f>VLOOKUP(F653,'Message Mapping'!A:L,3,FALSE)</f>
        <v>Transit;COMPLETA;INCOMPLETA;Error</v>
      </c>
      <c r="H653" s="2" t="str">
        <f>VLOOKUP(F653,'Message Mapping'!A:L,4,FALSE)</f>
        <v>0;1;2;3</v>
      </c>
      <c r="I653" s="2"/>
      <c r="J653" s="3" t="str">
        <f>VLOOKUP(F653,'Message Mapping'!A:L,12,FALSE)</f>
        <v>Severidade 4</v>
      </c>
      <c r="K653" s="3"/>
      <c r="L653" s="3"/>
      <c r="M653" s="3"/>
      <c r="N653" s="3"/>
      <c r="O653" s="3"/>
      <c r="P653" s="3"/>
    </row>
    <row r="654" spans="1:16" x14ac:dyDescent="0.25">
      <c r="A654" s="94" t="s">
        <v>1096</v>
      </c>
      <c r="B654" s="2" t="s">
        <v>1097</v>
      </c>
      <c r="C654" s="2" t="s">
        <v>11</v>
      </c>
      <c r="D654" s="2" t="s">
        <v>12</v>
      </c>
      <c r="E654" s="2" t="s">
        <v>1159</v>
      </c>
      <c r="F654" s="2" t="s">
        <v>1275</v>
      </c>
      <c r="G654" s="2" t="str">
        <f>VLOOKUP(F654,'Message Mapping'!A:L,3,FALSE)</f>
        <v>Transit;NORMAL;RECEBIDO;Error</v>
      </c>
      <c r="H654" s="2" t="str">
        <f>VLOOKUP(F654,'Message Mapping'!A:L,4,FALSE)</f>
        <v>0;1;2;3</v>
      </c>
      <c r="I654" s="2"/>
      <c r="J654" s="3" t="str">
        <f>VLOOKUP(F654,'Message Mapping'!A:L,12,FALSE)</f>
        <v>Severidade 4</v>
      </c>
      <c r="K654" s="3"/>
      <c r="L654" s="3"/>
      <c r="M654" s="3"/>
      <c r="N654" s="3"/>
      <c r="O654" s="3"/>
      <c r="P654" s="3"/>
    </row>
    <row r="655" spans="1:16" x14ac:dyDescent="0.25">
      <c r="A655" s="94" t="s">
        <v>1098</v>
      </c>
      <c r="B655" s="2" t="s">
        <v>1099</v>
      </c>
      <c r="C655" s="2" t="s">
        <v>39</v>
      </c>
      <c r="D655" s="2" t="s">
        <v>12</v>
      </c>
      <c r="E655" s="2" t="s">
        <v>1159</v>
      </c>
      <c r="F655" s="2" t="s">
        <v>40</v>
      </c>
      <c r="G655" s="2" t="str">
        <f>VLOOKUP(F655,'Message Mapping'!A:L,3,FALSE)</f>
        <v>Transit;NORMAL;ATUADO;Error</v>
      </c>
      <c r="H655" s="2" t="str">
        <f>VLOOKUP(F655,'Message Mapping'!A:L,4,FALSE)</f>
        <v>0;1;2;3</v>
      </c>
      <c r="I655" s="2"/>
      <c r="J655" s="3" t="str">
        <f>VLOOKUP(F655,'Message Mapping'!A:L,12,FALSE)</f>
        <v>Severidade 4</v>
      </c>
      <c r="K655" s="3"/>
      <c r="L655" s="3"/>
      <c r="M655" s="3"/>
      <c r="N655" s="3"/>
      <c r="O655" s="3"/>
      <c r="P655" s="3"/>
    </row>
    <row r="656" spans="1:16" x14ac:dyDescent="0.25">
      <c r="A656" s="94" t="s">
        <v>1100</v>
      </c>
      <c r="B656" s="2" t="s">
        <v>1266</v>
      </c>
      <c r="C656" s="2" t="s">
        <v>39</v>
      </c>
      <c r="D656" s="2" t="s">
        <v>12</v>
      </c>
      <c r="E656" s="2" t="s">
        <v>1159</v>
      </c>
      <c r="F656" s="2" t="s">
        <v>40</v>
      </c>
      <c r="G656" s="2" t="str">
        <f>VLOOKUP(F656,'Message Mapping'!A:L,3,FALSE)</f>
        <v>Transit;NORMAL;ATUADO;Error</v>
      </c>
      <c r="H656" s="2" t="str">
        <f>VLOOKUP(F656,'Message Mapping'!A:L,4,FALSE)</f>
        <v>0;1;2;3</v>
      </c>
      <c r="I656" s="2"/>
      <c r="J656" s="3" t="str">
        <f>VLOOKUP(F656,'Message Mapping'!A:L,12,FALSE)</f>
        <v>Severidade 4</v>
      </c>
      <c r="K656" s="3"/>
      <c r="L656" s="3"/>
      <c r="M656" s="3"/>
      <c r="N656" s="3"/>
      <c r="O656" s="3"/>
      <c r="P656" s="3"/>
    </row>
    <row r="657" spans="1:16" x14ac:dyDescent="0.25">
      <c r="A657" s="94" t="s">
        <v>1101</v>
      </c>
      <c r="B657" s="2" t="s">
        <v>1277</v>
      </c>
      <c r="C657" s="2" t="s">
        <v>11</v>
      </c>
      <c r="D657" s="2" t="s">
        <v>12</v>
      </c>
      <c r="E657" s="2" t="s">
        <v>1159</v>
      </c>
      <c r="F657" s="2" t="s">
        <v>1276</v>
      </c>
      <c r="G657" s="2" t="str">
        <f>VLOOKUP(F657,'Message Mapping'!A:L,3,FALSE)</f>
        <v>Transit;NORMAL;TRANSMITIDO;Error</v>
      </c>
      <c r="H657" s="2" t="str">
        <f>VLOOKUP(F657,'Message Mapping'!A:L,4,FALSE)</f>
        <v>0;1;2;3</v>
      </c>
      <c r="I657" s="2"/>
      <c r="J657" s="3" t="str">
        <f>VLOOKUP(F657,'Message Mapping'!A:L,12,FALSE)</f>
        <v>Severidade 4</v>
      </c>
      <c r="K657" s="3"/>
      <c r="L657" s="3"/>
      <c r="M657" s="3"/>
      <c r="N657" s="3"/>
      <c r="O657" s="3"/>
      <c r="P657" s="3"/>
    </row>
    <row r="658" spans="1:16" x14ac:dyDescent="0.25">
      <c r="A658" s="94" t="s">
        <v>1102</v>
      </c>
      <c r="B658" s="2" t="s">
        <v>1103</v>
      </c>
      <c r="C658" s="2" t="s">
        <v>11</v>
      </c>
      <c r="D658" s="2" t="s">
        <v>35</v>
      </c>
      <c r="E658" s="2" t="s">
        <v>1160</v>
      </c>
      <c r="F658" s="2" t="s">
        <v>188</v>
      </c>
      <c r="G658" s="2" t="str">
        <f>VLOOKUP(F658,'Message Mapping'!A:L,3,FALSE)</f>
        <v>Transit;INCLUIDO;EXCLUIDO;Error</v>
      </c>
      <c r="H658" s="2" t="str">
        <f>VLOOKUP(F658,'Message Mapping'!A:L,4,FALSE)</f>
        <v>0;1;2;3</v>
      </c>
      <c r="I658" s="2"/>
      <c r="J658" s="3" t="str">
        <f>VLOOKUP(F658,'Message Mapping'!A:L,12,FALSE)</f>
        <v>Severidade 8</v>
      </c>
      <c r="K658" s="3"/>
      <c r="L658" s="3"/>
      <c r="M658" s="3"/>
      <c r="N658" s="3"/>
      <c r="O658" s="3"/>
      <c r="P658" s="3"/>
    </row>
    <row r="659" spans="1:16" x14ac:dyDescent="0.25">
      <c r="A659" s="94" t="s">
        <v>1104</v>
      </c>
      <c r="B659" s="2" t="s">
        <v>1105</v>
      </c>
      <c r="C659" s="2" t="s">
        <v>11</v>
      </c>
      <c r="D659" s="2" t="s">
        <v>1234</v>
      </c>
      <c r="E659" s="2" t="s">
        <v>1159</v>
      </c>
      <c r="F659" s="2" t="s">
        <v>118</v>
      </c>
      <c r="G659" s="2" t="str">
        <f>VLOOKUP(F659,'Message Mapping'!A:L,3,FALSE)</f>
        <v>Transit;NORMAL;ATUADO;Error</v>
      </c>
      <c r="H659" s="2" t="str">
        <f>VLOOKUP(F659,'Message Mapping'!A:L,4,FALSE)</f>
        <v>0;1;2;3</v>
      </c>
      <c r="I659" s="2"/>
      <c r="J659" s="3" t="str">
        <f>VLOOKUP(F659,'Message Mapping'!A:L,12,FALSE)</f>
        <v>Severidade 7</v>
      </c>
      <c r="K659" s="3"/>
      <c r="L659" s="3"/>
      <c r="M659" s="3"/>
      <c r="N659" s="3"/>
      <c r="O659" s="3"/>
      <c r="P659" s="3"/>
    </row>
    <row r="660" spans="1:16" x14ac:dyDescent="0.25">
      <c r="A660" s="94" t="s">
        <v>1106</v>
      </c>
      <c r="B660" s="2" t="s">
        <v>1107</v>
      </c>
      <c r="C660" s="2" t="s">
        <v>11</v>
      </c>
      <c r="D660" s="2" t="s">
        <v>1234</v>
      </c>
      <c r="E660" s="2" t="s">
        <v>1159</v>
      </c>
      <c r="F660" s="2" t="s">
        <v>118</v>
      </c>
      <c r="G660" s="2" t="str">
        <f>VLOOKUP(F660,'Message Mapping'!A:L,3,FALSE)</f>
        <v>Transit;NORMAL;ATUADO;Error</v>
      </c>
      <c r="H660" s="2" t="str">
        <f>VLOOKUP(F660,'Message Mapping'!A:L,4,FALSE)</f>
        <v>0;1;2;3</v>
      </c>
      <c r="I660" s="2"/>
      <c r="J660" s="3" t="str">
        <f>VLOOKUP(F660,'Message Mapping'!A:L,12,FALSE)</f>
        <v>Severidade 7</v>
      </c>
      <c r="K660" s="3"/>
      <c r="L660" s="3"/>
      <c r="M660" s="3"/>
      <c r="N660" s="3"/>
      <c r="O660" s="3"/>
      <c r="P660" s="3"/>
    </row>
    <row r="661" spans="1:16" x14ac:dyDescent="0.25">
      <c r="A661" s="94" t="s">
        <v>1108</v>
      </c>
      <c r="B661" s="2" t="s">
        <v>1272</v>
      </c>
      <c r="C661" s="2" t="s">
        <v>11</v>
      </c>
      <c r="D661" s="2" t="s">
        <v>1234</v>
      </c>
      <c r="E661" s="2" t="s">
        <v>1159</v>
      </c>
      <c r="F661" s="2" t="s">
        <v>118</v>
      </c>
      <c r="G661" s="2" t="str">
        <f>VLOOKUP(F661,'Message Mapping'!A:L,3,FALSE)</f>
        <v>Transit;NORMAL;ATUADO;Error</v>
      </c>
      <c r="H661" s="2" t="str">
        <f>VLOOKUP(F661,'Message Mapping'!A:L,4,FALSE)</f>
        <v>0;1;2;3</v>
      </c>
      <c r="I661" s="2"/>
      <c r="J661" s="3" t="str">
        <f>VLOOKUP(F661,'Message Mapping'!A:L,12,FALSE)</f>
        <v>Severidade 7</v>
      </c>
      <c r="K661" s="3"/>
      <c r="L661" s="3"/>
      <c r="M661" s="3"/>
      <c r="N661" s="3"/>
      <c r="O661" s="3"/>
      <c r="P661" s="3"/>
    </row>
    <row r="662" spans="1:16" x14ac:dyDescent="0.25">
      <c r="A662" s="94" t="s">
        <v>1109</v>
      </c>
      <c r="B662" s="2" t="s">
        <v>1110</v>
      </c>
      <c r="C662" s="2" t="s">
        <v>11</v>
      </c>
      <c r="D662" s="2" t="s">
        <v>1234</v>
      </c>
      <c r="E662" s="2" t="s">
        <v>1159</v>
      </c>
      <c r="F662" s="2" t="s">
        <v>118</v>
      </c>
      <c r="G662" s="2" t="str">
        <f>VLOOKUP(F662,'Message Mapping'!A:L,3,FALSE)</f>
        <v>Transit;NORMAL;ATUADO;Error</v>
      </c>
      <c r="H662" s="2" t="str">
        <f>VLOOKUP(F662,'Message Mapping'!A:L,4,FALSE)</f>
        <v>0;1;2;3</v>
      </c>
      <c r="I662" s="2"/>
      <c r="J662" s="3" t="str">
        <f>VLOOKUP(F662,'Message Mapping'!A:L,12,FALSE)</f>
        <v>Severidade 7</v>
      </c>
      <c r="K662" s="3"/>
      <c r="L662" s="3"/>
      <c r="M662" s="3"/>
      <c r="N662" s="3"/>
      <c r="O662" s="3"/>
      <c r="P662" s="3"/>
    </row>
    <row r="663" spans="1:16" x14ac:dyDescent="0.25">
      <c r="A663" s="94" t="s">
        <v>1111</v>
      </c>
      <c r="B663" s="2" t="s">
        <v>839</v>
      </c>
      <c r="C663" s="2" t="s">
        <v>11</v>
      </c>
      <c r="D663" s="2" t="s">
        <v>1234</v>
      </c>
      <c r="E663" s="2" t="s">
        <v>1159</v>
      </c>
      <c r="F663" s="2" t="s">
        <v>118</v>
      </c>
      <c r="G663" s="2" t="str">
        <f>VLOOKUP(F663,'Message Mapping'!A:L,3,FALSE)</f>
        <v>Transit;NORMAL;ATUADO;Error</v>
      </c>
      <c r="H663" s="2" t="str">
        <f>VLOOKUP(F663,'Message Mapping'!A:L,4,FALSE)</f>
        <v>0;1;2;3</v>
      </c>
      <c r="I663" s="2"/>
      <c r="J663" s="3" t="str">
        <f>VLOOKUP(F663,'Message Mapping'!A:L,12,FALSE)</f>
        <v>Severidade 7</v>
      </c>
      <c r="K663" s="3"/>
      <c r="L663" s="3"/>
      <c r="M663" s="3"/>
      <c r="N663" s="3"/>
      <c r="O663" s="3"/>
      <c r="P663" s="3"/>
    </row>
    <row r="664" spans="1:16" x14ac:dyDescent="0.25">
      <c r="A664" s="94" t="s">
        <v>1112</v>
      </c>
      <c r="B664" s="2" t="s">
        <v>1113</v>
      </c>
      <c r="C664" s="2" t="s">
        <v>11</v>
      </c>
      <c r="D664" s="2" t="s">
        <v>1234</v>
      </c>
      <c r="E664" s="2" t="s">
        <v>1159</v>
      </c>
      <c r="F664" s="2" t="s">
        <v>118</v>
      </c>
      <c r="G664" s="2" t="str">
        <f>VLOOKUP(F664,'Message Mapping'!A:L,3,FALSE)</f>
        <v>Transit;NORMAL;ATUADO;Error</v>
      </c>
      <c r="H664" s="2" t="str">
        <f>VLOOKUP(F664,'Message Mapping'!A:L,4,FALSE)</f>
        <v>0;1;2;3</v>
      </c>
      <c r="I664" s="2"/>
      <c r="J664" s="3" t="str">
        <f>VLOOKUP(F664,'Message Mapping'!A:L,12,FALSE)</f>
        <v>Severidade 7</v>
      </c>
      <c r="K664" s="3"/>
      <c r="L664" s="3"/>
      <c r="M664" s="3"/>
      <c r="N664" s="3"/>
      <c r="O664" s="3"/>
      <c r="P664" s="3"/>
    </row>
    <row r="665" spans="1:16" x14ac:dyDescent="0.25">
      <c r="A665" s="94" t="s">
        <v>1114</v>
      </c>
      <c r="B665" s="2" t="s">
        <v>1115</v>
      </c>
      <c r="C665" s="2" t="s">
        <v>11</v>
      </c>
      <c r="D665" s="2" t="s">
        <v>1234</v>
      </c>
      <c r="E665" s="2" t="s">
        <v>1159</v>
      </c>
      <c r="F665" s="2" t="s">
        <v>118</v>
      </c>
      <c r="G665" s="2" t="str">
        <f>VLOOKUP(F665,'Message Mapping'!A:L,3,FALSE)</f>
        <v>Transit;NORMAL;ATUADO;Error</v>
      </c>
      <c r="H665" s="2" t="str">
        <f>VLOOKUP(F665,'Message Mapping'!A:L,4,FALSE)</f>
        <v>0;1;2;3</v>
      </c>
      <c r="I665" s="2"/>
      <c r="J665" s="3" t="str">
        <f>VLOOKUP(F665,'Message Mapping'!A:L,12,FALSE)</f>
        <v>Severidade 7</v>
      </c>
      <c r="K665" s="3"/>
      <c r="L665" s="3"/>
      <c r="M665" s="3"/>
      <c r="N665" s="3"/>
      <c r="O665" s="3"/>
      <c r="P665" s="3"/>
    </row>
    <row r="666" spans="1:16" x14ac:dyDescent="0.25">
      <c r="A666" s="94" t="s">
        <v>4222</v>
      </c>
      <c r="B666" s="2" t="s">
        <v>4223</v>
      </c>
      <c r="C666" s="2" t="s">
        <v>39</v>
      </c>
      <c r="D666" s="2" t="s">
        <v>12</v>
      </c>
      <c r="E666" s="2" t="s">
        <v>1159</v>
      </c>
      <c r="F666" s="2" t="s">
        <v>40</v>
      </c>
      <c r="G666" s="2" t="str">
        <f>VLOOKUP(F666,'Message Mapping'!A:L,3,FALSE)</f>
        <v>Transit;NORMAL;ATUADO;Error</v>
      </c>
      <c r="H666" s="2" t="str">
        <f>VLOOKUP(F666,'Message Mapping'!A:L,4,FALSE)</f>
        <v>0;1;2;3</v>
      </c>
      <c r="I666" s="2"/>
      <c r="J666" s="3" t="str">
        <f>VLOOKUP(F666,'Message Mapping'!A:L,12,FALSE)</f>
        <v>Severidade 4</v>
      </c>
      <c r="K666" s="3"/>
      <c r="L666" s="3"/>
      <c r="M666" s="3"/>
      <c r="N666" s="3"/>
      <c r="O666" s="3"/>
      <c r="P666" s="3"/>
    </row>
    <row r="667" spans="1:16" x14ac:dyDescent="0.25">
      <c r="A667" s="94" t="s">
        <v>1094</v>
      </c>
      <c r="B667" s="2" t="s">
        <v>1095</v>
      </c>
      <c r="C667" s="2" t="s">
        <v>11</v>
      </c>
      <c r="D667" s="2" t="s">
        <v>12</v>
      </c>
      <c r="E667" s="2" t="s">
        <v>1159</v>
      </c>
      <c r="F667" s="2" t="s">
        <v>13</v>
      </c>
      <c r="G667" s="2" t="str">
        <f>VLOOKUP(F667,'Message Mapping'!A:L,3,FALSE)</f>
        <v>Transit;NORMAL;ATUADO;Error</v>
      </c>
      <c r="H667" s="2" t="str">
        <f>VLOOKUP(F667,'Message Mapping'!A:L,4,FALSE)</f>
        <v>0;1;2;3</v>
      </c>
      <c r="I667" s="2"/>
      <c r="J667" s="3" t="str">
        <f>VLOOKUP(F667,'Message Mapping'!A:L,12,FALSE)</f>
        <v>Severidade 4</v>
      </c>
      <c r="K667" s="3"/>
      <c r="L667" s="3"/>
      <c r="M667" s="3"/>
      <c r="N667" s="3"/>
      <c r="O667" s="3"/>
      <c r="P667" s="3"/>
    </row>
    <row r="668" spans="1:16" x14ac:dyDescent="0.25">
      <c r="A668" s="94" t="s">
        <v>4364</v>
      </c>
      <c r="B668" s="2" t="s">
        <v>4365</v>
      </c>
      <c r="C668" s="2" t="s">
        <v>11</v>
      </c>
      <c r="D668" s="2" t="s">
        <v>1172</v>
      </c>
      <c r="E668" s="2" t="s">
        <v>1159</v>
      </c>
      <c r="F668" s="2" t="s">
        <v>1200</v>
      </c>
      <c r="G668" s="2" t="str">
        <f>VLOOKUP(F668,'Message Mapping'!A:L,3,FALSE)</f>
        <v>Transit;NORMAL;FALHA;Error</v>
      </c>
      <c r="H668" s="2" t="str">
        <f>VLOOKUP(F668,'Message Mapping'!A:L,4,FALSE)</f>
        <v>0;1;2;3</v>
      </c>
      <c r="I668" s="2"/>
      <c r="J668" s="3" t="str">
        <f>VLOOKUP(F668,'Message Mapping'!A:L,12,FALSE)</f>
        <v>Severidade 3</v>
      </c>
      <c r="K668" s="3"/>
      <c r="L668" s="3"/>
      <c r="M668" s="3"/>
      <c r="N668" s="3"/>
      <c r="O668" s="3"/>
      <c r="P668" s="3"/>
    </row>
    <row r="669" spans="1:16" x14ac:dyDescent="0.25">
      <c r="A669" s="94" t="s">
        <v>4343</v>
      </c>
      <c r="B669" s="2" t="s">
        <v>4363</v>
      </c>
      <c r="C669" s="2" t="s">
        <v>11</v>
      </c>
      <c r="D669" s="5" t="s">
        <v>1234</v>
      </c>
      <c r="E669" s="2" t="s">
        <v>1159</v>
      </c>
      <c r="F669" s="2" t="s">
        <v>1198</v>
      </c>
      <c r="G669" s="2" t="str">
        <f>VLOOKUP(F669,'Message Mapping'!A:L,3,FALSE)</f>
        <v>Transit;DESLIGADO;LIGADO;Error</v>
      </c>
      <c r="H669" s="2" t="str">
        <f>VLOOKUP(F669,'Message Mapping'!A:L,4,FALSE)</f>
        <v>0;1;2;3</v>
      </c>
      <c r="I669" s="2"/>
      <c r="J669" s="3" t="str">
        <f>VLOOKUP(F669,'Message Mapping'!A:L,12,FALSE)</f>
        <v>Severidade 7</v>
      </c>
      <c r="K669" s="3"/>
      <c r="L669" s="3"/>
      <c r="M669" s="3"/>
      <c r="N669" s="3"/>
      <c r="O669" s="3"/>
      <c r="P669" s="3"/>
    </row>
    <row r="670" spans="1:16" x14ac:dyDescent="0.25">
      <c r="A670" s="94" t="s">
        <v>1118</v>
      </c>
      <c r="B670" s="2" t="s">
        <v>1119</v>
      </c>
      <c r="C670" s="2" t="s">
        <v>11</v>
      </c>
      <c r="D670" s="2" t="s">
        <v>123</v>
      </c>
      <c r="E670" s="2" t="s">
        <v>1159</v>
      </c>
      <c r="F670" s="2" t="s">
        <v>1236</v>
      </c>
      <c r="G670" s="2" t="str">
        <f>VLOOKUP(F670,'Message Mapping'!A:L,3,FALSE)</f>
        <v>Transit;DESLIGADO;LIGADO;Error</v>
      </c>
      <c r="H670" s="2" t="str">
        <f>VLOOKUP(F670,'Message Mapping'!A:L,4,FALSE)</f>
        <v>0;1;2;3</v>
      </c>
      <c r="I670" s="2"/>
      <c r="J670" s="3" t="str">
        <f>VLOOKUP(F670,'Message Mapping'!A:L,12,FALSE)</f>
        <v>Severidade 5</v>
      </c>
      <c r="K670" s="3"/>
      <c r="L670" s="3"/>
      <c r="M670" s="3"/>
      <c r="N670" s="3"/>
      <c r="O670" s="3"/>
      <c r="P670" s="3"/>
    </row>
    <row r="671" spans="1:16" x14ac:dyDescent="0.25">
      <c r="A671" s="94" t="s">
        <v>1118</v>
      </c>
      <c r="B671" s="2" t="s">
        <v>1119</v>
      </c>
      <c r="C671" s="2" t="s">
        <v>11</v>
      </c>
      <c r="D671" s="2" t="s">
        <v>123</v>
      </c>
      <c r="E671" s="2" t="s">
        <v>1160</v>
      </c>
      <c r="F671" s="2" t="s">
        <v>1235</v>
      </c>
      <c r="G671" s="2" t="str">
        <f>VLOOKUP(F671,'Message Mapping'!A:L,3,FALSE)</f>
        <v>Transit;DESLIGADO;LIGADO;Error</v>
      </c>
      <c r="H671" s="2" t="str">
        <f>VLOOKUP(F671,'Message Mapping'!A:L,4,FALSE)</f>
        <v>0;1;2;3</v>
      </c>
      <c r="I671" s="2"/>
      <c r="J671" s="3" t="str">
        <f>VLOOKUP(F671,'Message Mapping'!A:L,12,FALSE)</f>
        <v>Severidade 5</v>
      </c>
      <c r="K671" s="3"/>
      <c r="L671" s="3"/>
      <c r="M671" s="3"/>
      <c r="N671" s="3"/>
      <c r="O671" s="3"/>
      <c r="P671" s="3"/>
    </row>
    <row r="672" spans="1:16" x14ac:dyDescent="0.25">
      <c r="A672" s="94" t="s">
        <v>1120</v>
      </c>
      <c r="B672" s="2" t="s">
        <v>1121</v>
      </c>
      <c r="C672" s="2" t="s">
        <v>11</v>
      </c>
      <c r="D672" s="2" t="s">
        <v>123</v>
      </c>
      <c r="E672" s="2" t="s">
        <v>1159</v>
      </c>
      <c r="F672" s="2" t="s">
        <v>1236</v>
      </c>
      <c r="G672" s="2" t="str">
        <f>VLOOKUP(F672,'Message Mapping'!A:L,3,FALSE)</f>
        <v>Transit;DESLIGADO;LIGADO;Error</v>
      </c>
      <c r="H672" s="2" t="str">
        <f>VLOOKUP(F672,'Message Mapping'!A:L,4,FALSE)</f>
        <v>0;1;2;3</v>
      </c>
      <c r="I672" s="2"/>
      <c r="J672" s="3" t="str">
        <f>VLOOKUP(F672,'Message Mapping'!A:L,12,FALSE)</f>
        <v>Severidade 5</v>
      </c>
      <c r="K672" s="3"/>
      <c r="L672" s="3"/>
      <c r="M672" s="3"/>
      <c r="N672" s="3"/>
      <c r="O672" s="3"/>
      <c r="P672" s="3"/>
    </row>
    <row r="673" spans="1:16" x14ac:dyDescent="0.25">
      <c r="A673" s="94" t="s">
        <v>1120</v>
      </c>
      <c r="B673" s="2" t="s">
        <v>1121</v>
      </c>
      <c r="C673" s="2" t="s">
        <v>11</v>
      </c>
      <c r="D673" s="2" t="s">
        <v>123</v>
      </c>
      <c r="E673" s="2" t="s">
        <v>1160</v>
      </c>
      <c r="F673" s="2" t="s">
        <v>1235</v>
      </c>
      <c r="G673" s="2" t="str">
        <f>VLOOKUP(F673,'Message Mapping'!A:L,3,FALSE)</f>
        <v>Transit;DESLIGADO;LIGADO;Error</v>
      </c>
      <c r="H673" s="2" t="str">
        <f>VLOOKUP(F673,'Message Mapping'!A:L,4,FALSE)</f>
        <v>0;1;2;3</v>
      </c>
      <c r="I673" s="2"/>
      <c r="J673" s="3" t="str">
        <f>VLOOKUP(F673,'Message Mapping'!A:L,12,FALSE)</f>
        <v>Severidade 5</v>
      </c>
      <c r="K673" s="3"/>
      <c r="L673" s="3"/>
      <c r="M673" s="3"/>
      <c r="N673" s="3"/>
      <c r="O673" s="3"/>
      <c r="P673" s="3"/>
    </row>
    <row r="674" spans="1:16" x14ac:dyDescent="0.25">
      <c r="A674" s="94" t="s">
        <v>1122</v>
      </c>
      <c r="B674" s="2" t="s">
        <v>1123</v>
      </c>
      <c r="C674" s="2" t="s">
        <v>11</v>
      </c>
      <c r="D674" s="2" t="s">
        <v>123</v>
      </c>
      <c r="E674" s="2" t="s">
        <v>1159</v>
      </c>
      <c r="F674" s="2" t="s">
        <v>1236</v>
      </c>
      <c r="G674" s="2" t="str">
        <f>VLOOKUP(F674,'Message Mapping'!A:L,3,FALSE)</f>
        <v>Transit;DESLIGADO;LIGADO;Error</v>
      </c>
      <c r="H674" s="2" t="str">
        <f>VLOOKUP(F674,'Message Mapping'!A:L,4,FALSE)</f>
        <v>0;1;2;3</v>
      </c>
      <c r="I674" s="2"/>
      <c r="J674" s="3" t="str">
        <f>VLOOKUP(F674,'Message Mapping'!A:L,12,FALSE)</f>
        <v>Severidade 5</v>
      </c>
      <c r="K674" s="3"/>
      <c r="L674" s="3"/>
      <c r="M674" s="3"/>
      <c r="N674" s="3"/>
      <c r="O674" s="3"/>
      <c r="P674" s="3"/>
    </row>
    <row r="675" spans="1:16" x14ac:dyDescent="0.25">
      <c r="A675" s="94" t="s">
        <v>1122</v>
      </c>
      <c r="B675" s="2" t="s">
        <v>1123</v>
      </c>
      <c r="C675" s="2" t="s">
        <v>11</v>
      </c>
      <c r="D675" s="2" t="s">
        <v>123</v>
      </c>
      <c r="E675" s="2" t="s">
        <v>1160</v>
      </c>
      <c r="F675" s="2" t="s">
        <v>1235</v>
      </c>
      <c r="G675" s="2" t="str">
        <f>VLOOKUP(F675,'Message Mapping'!A:L,3,FALSE)</f>
        <v>Transit;DESLIGADO;LIGADO;Error</v>
      </c>
      <c r="H675" s="2" t="str">
        <f>VLOOKUP(F675,'Message Mapping'!A:L,4,FALSE)</f>
        <v>0;1;2;3</v>
      </c>
      <c r="I675" s="2"/>
      <c r="J675" s="3" t="str">
        <f>VLOOKUP(F675,'Message Mapping'!A:L,12,FALSE)</f>
        <v>Severidade 5</v>
      </c>
      <c r="K675" s="3"/>
      <c r="L675" s="3"/>
      <c r="M675" s="3"/>
      <c r="N675" s="3"/>
      <c r="O675" s="3"/>
      <c r="P675" s="3"/>
    </row>
    <row r="676" spans="1:16" x14ac:dyDescent="0.25">
      <c r="A676" s="94" t="s">
        <v>4355</v>
      </c>
      <c r="B676" s="2" t="s">
        <v>4356</v>
      </c>
      <c r="C676" s="2" t="s">
        <v>11</v>
      </c>
      <c r="D676" s="2" t="s">
        <v>123</v>
      </c>
      <c r="E676" s="2" t="s">
        <v>1159</v>
      </c>
      <c r="F676" s="2" t="s">
        <v>1236</v>
      </c>
      <c r="G676" s="2" t="str">
        <f>VLOOKUP(F676,'Message Mapping'!A:L,3,FALSE)</f>
        <v>Transit;DESLIGADO;LIGADO;Error</v>
      </c>
      <c r="H676" s="2" t="str">
        <f>VLOOKUP(F676,'Message Mapping'!A:L,4,FALSE)</f>
        <v>0;1;2;3</v>
      </c>
      <c r="I676" s="2"/>
      <c r="J676" s="3" t="str">
        <f>VLOOKUP(F676,'Message Mapping'!A:L,12,FALSE)</f>
        <v>Severidade 5</v>
      </c>
      <c r="K676" s="3"/>
      <c r="L676" s="3"/>
      <c r="M676" s="3"/>
      <c r="N676" s="3"/>
      <c r="O676" s="3"/>
      <c r="P676" s="3"/>
    </row>
    <row r="677" spans="1:16" x14ac:dyDescent="0.25">
      <c r="A677" s="94" t="s">
        <v>4355</v>
      </c>
      <c r="B677" s="2" t="s">
        <v>4356</v>
      </c>
      <c r="C677" s="2" t="s">
        <v>11</v>
      </c>
      <c r="D677" s="2" t="s">
        <v>123</v>
      </c>
      <c r="E677" s="2" t="s">
        <v>1160</v>
      </c>
      <c r="F677" s="2" t="s">
        <v>1235</v>
      </c>
      <c r="G677" s="2" t="str">
        <f>VLOOKUP(F677,'Message Mapping'!A:L,3,FALSE)</f>
        <v>Transit;DESLIGADO;LIGADO;Error</v>
      </c>
      <c r="H677" s="2" t="str">
        <f>VLOOKUP(F677,'Message Mapping'!A:L,4,FALSE)</f>
        <v>0;1;2;3</v>
      </c>
      <c r="I677" s="2"/>
      <c r="J677" s="3" t="str">
        <f>VLOOKUP(F677,'Message Mapping'!A:L,12,FALSE)</f>
        <v>Severidade 5</v>
      </c>
      <c r="K677" s="3"/>
      <c r="L677" s="3"/>
      <c r="M677" s="3"/>
      <c r="N677" s="3"/>
      <c r="O677" s="3"/>
      <c r="P677" s="3"/>
    </row>
    <row r="678" spans="1:16" x14ac:dyDescent="0.25">
      <c r="A678" s="94" t="s">
        <v>4358</v>
      </c>
      <c r="B678" s="2" t="s">
        <v>4357</v>
      </c>
      <c r="C678" s="2" t="s">
        <v>11</v>
      </c>
      <c r="D678" s="2" t="s">
        <v>123</v>
      </c>
      <c r="E678" s="2" t="s">
        <v>1159</v>
      </c>
      <c r="F678" s="2" t="s">
        <v>1236</v>
      </c>
      <c r="G678" s="2" t="str">
        <f>VLOOKUP(F678,'Message Mapping'!A:L,3,FALSE)</f>
        <v>Transit;DESLIGADO;LIGADO;Error</v>
      </c>
      <c r="H678" s="2" t="str">
        <f>VLOOKUP(F678,'Message Mapping'!A:L,4,FALSE)</f>
        <v>0;1;2;3</v>
      </c>
      <c r="I678" s="2"/>
      <c r="J678" s="3" t="str">
        <f>VLOOKUP(F678,'Message Mapping'!A:L,12,FALSE)</f>
        <v>Severidade 5</v>
      </c>
      <c r="K678" s="3"/>
      <c r="L678" s="3"/>
      <c r="M678" s="3"/>
      <c r="N678" s="3"/>
      <c r="O678" s="3"/>
      <c r="P678" s="3"/>
    </row>
    <row r="679" spans="1:16" x14ac:dyDescent="0.25">
      <c r="A679" s="94" t="s">
        <v>4358</v>
      </c>
      <c r="B679" s="2" t="s">
        <v>4357</v>
      </c>
      <c r="C679" s="2" t="s">
        <v>11</v>
      </c>
      <c r="D679" s="2" t="s">
        <v>123</v>
      </c>
      <c r="E679" s="2" t="s">
        <v>1160</v>
      </c>
      <c r="F679" s="2" t="s">
        <v>1235</v>
      </c>
      <c r="G679" s="2" t="str">
        <f>VLOOKUP(F679,'Message Mapping'!A:L,3,FALSE)</f>
        <v>Transit;DESLIGADO;LIGADO;Error</v>
      </c>
      <c r="H679" s="2" t="str">
        <f>VLOOKUP(F679,'Message Mapping'!A:L,4,FALSE)</f>
        <v>0;1;2;3</v>
      </c>
      <c r="I679" s="2"/>
      <c r="J679" s="3" t="str">
        <f>VLOOKUP(F679,'Message Mapping'!A:L,12,FALSE)</f>
        <v>Severidade 5</v>
      </c>
      <c r="K679" s="3"/>
      <c r="L679" s="3"/>
      <c r="M679" s="3"/>
      <c r="N679" s="3"/>
      <c r="O679" s="3"/>
      <c r="P679" s="3"/>
    </row>
    <row r="680" spans="1:16" ht="25.5" x14ac:dyDescent="0.25">
      <c r="A680" s="94" t="s">
        <v>1124</v>
      </c>
      <c r="B680" s="2" t="s">
        <v>1125</v>
      </c>
      <c r="C680" s="2" t="s">
        <v>11</v>
      </c>
      <c r="D680" s="2" t="s">
        <v>123</v>
      </c>
      <c r="E680" s="2" t="s">
        <v>1159</v>
      </c>
      <c r="F680" s="2" t="s">
        <v>1237</v>
      </c>
      <c r="G680" s="2" t="str">
        <f>VLOOKUP(F680,'Message Mapping'!A:L,3,FALSE)</f>
        <v>Transit;AUTOMATICO;MANUAL;Error</v>
      </c>
      <c r="H680" s="2" t="str">
        <f>VLOOKUP(F680,'Message Mapping'!A:L,4,FALSE)</f>
        <v>0;2;1;3</v>
      </c>
      <c r="I680" s="2"/>
      <c r="J680" s="3" t="str">
        <f>VLOOKUP(F680,'Message Mapping'!A:L,12,FALSE)</f>
        <v>Severidade 5</v>
      </c>
      <c r="K680" s="3"/>
      <c r="L680" s="3"/>
      <c r="M680" s="3"/>
      <c r="N680" s="3"/>
      <c r="O680" s="3"/>
      <c r="P680" s="3"/>
    </row>
    <row r="681" spans="1:16" x14ac:dyDescent="0.25">
      <c r="A681" s="94" t="s">
        <v>1126</v>
      </c>
      <c r="B681" s="2" t="s">
        <v>1127</v>
      </c>
      <c r="C681" s="2" t="s">
        <v>11</v>
      </c>
      <c r="D681" s="2" t="s">
        <v>123</v>
      </c>
      <c r="E681" s="2" t="s">
        <v>1159</v>
      </c>
      <c r="F681" s="2" t="s">
        <v>471</v>
      </c>
      <c r="G681" s="2" t="str">
        <f>VLOOKUP(F681,'Message Mapping'!A:L,3,FALSE)</f>
        <v>Transit;DESABILITADO;HABILITADO;Error</v>
      </c>
      <c r="H681" s="2" t="str">
        <f>VLOOKUP(F681,'Message Mapping'!A:L,4,FALSE)</f>
        <v>0;1;2;3</v>
      </c>
      <c r="I681" s="2"/>
      <c r="J681" s="3" t="str">
        <f>VLOOKUP(F681,'Message Mapping'!A:L,12,FALSE)</f>
        <v>Severidade 5</v>
      </c>
      <c r="K681" s="3"/>
      <c r="L681" s="3"/>
      <c r="M681" s="3"/>
      <c r="N681" s="3"/>
      <c r="O681" s="3"/>
      <c r="P681" s="3"/>
    </row>
    <row r="682" spans="1:16" x14ac:dyDescent="0.25">
      <c r="A682" s="95" t="s">
        <v>1130</v>
      </c>
      <c r="B682" s="2" t="s">
        <v>2804</v>
      </c>
      <c r="C682" s="2" t="s">
        <v>11</v>
      </c>
      <c r="D682" s="2" t="s">
        <v>1234</v>
      </c>
      <c r="E682" s="2" t="s">
        <v>1159</v>
      </c>
      <c r="F682" s="2" t="s">
        <v>107</v>
      </c>
      <c r="G682" s="2" t="str">
        <f>VLOOKUP(F682,'Message Mapping'!A:L,3,FALSE)</f>
        <v>Transit;NORMAL;FALHA;Error</v>
      </c>
      <c r="H682" s="2" t="str">
        <f>VLOOKUP(F682,'Message Mapping'!A:L,4,FALSE)</f>
        <v>0;1;2;3</v>
      </c>
      <c r="I682" s="2"/>
      <c r="J682" s="3" t="str">
        <f>VLOOKUP(F682,'Message Mapping'!A:L,12,FALSE)</f>
        <v>Severidade 7</v>
      </c>
      <c r="K682" s="3"/>
      <c r="L682" s="3"/>
      <c r="M682" s="3"/>
      <c r="N682" s="3"/>
      <c r="O682" s="3"/>
      <c r="P682" s="3"/>
    </row>
    <row r="683" spans="1:16" x14ac:dyDescent="0.25">
      <c r="A683" s="94" t="s">
        <v>1131</v>
      </c>
      <c r="B683" s="2" t="s">
        <v>1269</v>
      </c>
      <c r="C683" s="2" t="s">
        <v>11</v>
      </c>
      <c r="D683" s="2" t="s">
        <v>1234</v>
      </c>
      <c r="E683" s="2" t="s">
        <v>1159</v>
      </c>
      <c r="F683" s="2" t="s">
        <v>107</v>
      </c>
      <c r="G683" s="2" t="str">
        <f>VLOOKUP(F683,'Message Mapping'!A:L,3,FALSE)</f>
        <v>Transit;NORMAL;FALHA;Error</v>
      </c>
      <c r="H683" s="2" t="str">
        <f>VLOOKUP(F683,'Message Mapping'!A:L,4,FALSE)</f>
        <v>0;1;2;3</v>
      </c>
      <c r="I683" s="2"/>
      <c r="J683" s="3" t="str">
        <f>VLOOKUP(F683,'Message Mapping'!A:L,12,FALSE)</f>
        <v>Severidade 7</v>
      </c>
      <c r="K683" s="3"/>
      <c r="L683" s="3"/>
      <c r="M683" s="3"/>
      <c r="N683" s="3"/>
      <c r="O683" s="3"/>
      <c r="P683" s="3"/>
    </row>
    <row r="684" spans="1:16" x14ac:dyDescent="0.25">
      <c r="A684" s="94" t="s">
        <v>1138</v>
      </c>
      <c r="B684" s="2" t="s">
        <v>1273</v>
      </c>
      <c r="C684" s="2" t="s">
        <v>11</v>
      </c>
      <c r="D684" s="2" t="s">
        <v>35</v>
      </c>
      <c r="E684" s="2" t="s">
        <v>1160</v>
      </c>
      <c r="F684" s="2" t="s">
        <v>1274</v>
      </c>
      <c r="G684" s="2" t="str">
        <f>VLOOKUP(F684,'Message Mapping'!A:L,3,FALSE)</f>
        <v>Transit;MANUAL;AUTOMATICO;Error</v>
      </c>
      <c r="H684" s="2" t="str">
        <f>VLOOKUP(F684,'Message Mapping'!A:L,4,FALSE)</f>
        <v>0;1;2;3</v>
      </c>
      <c r="I684" s="2"/>
      <c r="J684" s="3" t="str">
        <f>VLOOKUP(F684,'Message Mapping'!A:L,12,FALSE)</f>
        <v>Severidade 2</v>
      </c>
      <c r="K684" s="3"/>
      <c r="L684" s="3"/>
      <c r="M684" s="3"/>
      <c r="N684" s="3"/>
      <c r="O684" s="3"/>
      <c r="P684" s="3"/>
    </row>
    <row r="685" spans="1:16" x14ac:dyDescent="0.25">
      <c r="A685" s="94" t="s">
        <v>2812</v>
      </c>
      <c r="B685" s="2" t="s">
        <v>2813</v>
      </c>
      <c r="C685" s="2" t="s">
        <v>11</v>
      </c>
      <c r="D685" s="2" t="s">
        <v>123</v>
      </c>
      <c r="E685" s="2" t="s">
        <v>1160</v>
      </c>
      <c r="F685" s="2" t="s">
        <v>2811</v>
      </c>
      <c r="G685" s="2" t="str">
        <f>VLOOKUP(F685,'Message Mapping'!A:L,3,FALSE)</f>
        <v>Transit;RELIGADOR;CHAVE;Error</v>
      </c>
      <c r="H685" s="2" t="str">
        <f>VLOOKUP(F685,'Message Mapping'!A:L,4,FALSE)</f>
        <v>0;1;2;3</v>
      </c>
      <c r="I685" s="2"/>
      <c r="J685" s="3" t="str">
        <f>VLOOKUP(F685,'Message Mapping'!A:L,12,FALSE)</f>
        <v>Severidade 8</v>
      </c>
      <c r="K685" s="3"/>
      <c r="L685" s="3"/>
      <c r="M685" s="3"/>
      <c r="N685" s="3"/>
      <c r="O685" s="3"/>
      <c r="P685" s="3"/>
    </row>
    <row r="686" spans="1:16" x14ac:dyDescent="0.25">
      <c r="A686" s="94" t="s">
        <v>4336</v>
      </c>
      <c r="B686" s="2" t="s">
        <v>4339</v>
      </c>
      <c r="C686" s="2" t="s">
        <v>11</v>
      </c>
      <c r="D686" s="2" t="s">
        <v>1170</v>
      </c>
      <c r="E686" s="2" t="s">
        <v>1159</v>
      </c>
      <c r="F686" s="2" t="s">
        <v>3265</v>
      </c>
      <c r="G686" s="2" t="str">
        <f>VLOOKUP(F686,'Message Mapping'!A:L,3,FALSE)</f>
        <v>Transit;LIGAR;;</v>
      </c>
      <c r="H686" s="2" t="str">
        <f>VLOOKUP(F686,'Message Mapping'!A:L,4,FALSE)</f>
        <v>0;2;1;3</v>
      </c>
      <c r="I686" s="2"/>
      <c r="J686" s="3" t="str">
        <f>VLOOKUP(F686,'Message Mapping'!A:L,12,FALSE)</f>
        <v>Severidade 2</v>
      </c>
      <c r="K686" s="3"/>
      <c r="L686" s="3"/>
      <c r="M686" s="3"/>
      <c r="N686" s="3"/>
      <c r="O686" s="3"/>
      <c r="P686" s="3"/>
    </row>
    <row r="687" spans="1:16" x14ac:dyDescent="0.25">
      <c r="A687" s="94" t="s">
        <v>4337</v>
      </c>
      <c r="B687" s="2" t="s">
        <v>4338</v>
      </c>
      <c r="C687" s="2" t="s">
        <v>11</v>
      </c>
      <c r="D687" s="2" t="s">
        <v>1170</v>
      </c>
      <c r="E687" s="2" t="s">
        <v>1159</v>
      </c>
      <c r="F687" s="2" t="s">
        <v>3270</v>
      </c>
      <c r="G687" s="2" t="str">
        <f>VLOOKUP(F687,'Message Mapping'!A:L,3,FALSE)</f>
        <v>Transit;DESLIGAR;;</v>
      </c>
      <c r="H687" s="2" t="str">
        <f>VLOOKUP(F687,'Message Mapping'!A:L,4,FALSE)</f>
        <v>0;1;2;3</v>
      </c>
      <c r="I687" s="2"/>
      <c r="J687" s="3" t="str">
        <f>VLOOKUP(F687,'Message Mapping'!A:L,12,FALSE)</f>
        <v>Severidade 2</v>
      </c>
      <c r="K687" s="3"/>
      <c r="L687" s="3"/>
      <c r="M687" s="3"/>
      <c r="N687" s="3"/>
      <c r="O687" s="3"/>
      <c r="P687" s="3"/>
    </row>
    <row r="688" spans="1:16" x14ac:dyDescent="0.25">
      <c r="A688" s="94" t="s">
        <v>4347</v>
      </c>
      <c r="B688" s="2" t="s">
        <v>4348</v>
      </c>
      <c r="C688" s="2" t="s">
        <v>11</v>
      </c>
      <c r="D688" s="2" t="s">
        <v>1170</v>
      </c>
      <c r="E688" s="2" t="s">
        <v>1159</v>
      </c>
      <c r="F688" s="2" t="s">
        <v>3270</v>
      </c>
      <c r="G688" s="2" t="str">
        <f>VLOOKUP(F688,'Message Mapping'!A:L,3,FALSE)</f>
        <v>Transit;DESLIGAR;;</v>
      </c>
      <c r="H688" s="2" t="str">
        <f>VLOOKUP(F688,'Message Mapping'!A:L,4,FALSE)</f>
        <v>0;1;2;3</v>
      </c>
      <c r="I688" s="2"/>
      <c r="J688" s="3" t="str">
        <f>VLOOKUP(F688,'Message Mapping'!A:L,12,FALSE)</f>
        <v>Severidade 2</v>
      </c>
      <c r="K688" s="3"/>
      <c r="L688" s="3"/>
      <c r="M688" s="3"/>
      <c r="N688" s="3"/>
      <c r="O688" s="3"/>
      <c r="P688" s="3"/>
    </row>
    <row r="689" spans="1:16" x14ac:dyDescent="0.25">
      <c r="A689" s="94" t="s">
        <v>4349</v>
      </c>
      <c r="B689" s="2" t="s">
        <v>4350</v>
      </c>
      <c r="C689" s="2" t="s">
        <v>11</v>
      </c>
      <c r="D689" s="2" t="s">
        <v>1170</v>
      </c>
      <c r="E689" s="2" t="s">
        <v>1159</v>
      </c>
      <c r="F689" s="2" t="s">
        <v>3270</v>
      </c>
      <c r="G689" s="2" t="str">
        <f>VLOOKUP(F689,'Message Mapping'!A:L,3,FALSE)</f>
        <v>Transit;DESLIGAR;;</v>
      </c>
      <c r="H689" s="2" t="str">
        <f>VLOOKUP(F689,'Message Mapping'!A:L,4,FALSE)</f>
        <v>0;1;2;3</v>
      </c>
      <c r="I689" s="2"/>
      <c r="J689" s="3" t="str">
        <f>VLOOKUP(F689,'Message Mapping'!A:L,12,FALSE)</f>
        <v>Severidade 2</v>
      </c>
      <c r="K689" s="3"/>
      <c r="L689" s="3"/>
      <c r="M689" s="3"/>
      <c r="N689" s="3"/>
      <c r="O689" s="3"/>
      <c r="P689" s="3"/>
    </row>
    <row r="690" spans="1:16" x14ac:dyDescent="0.25">
      <c r="A690" s="94" t="s">
        <v>4351</v>
      </c>
      <c r="B690" s="2" t="s">
        <v>4354</v>
      </c>
      <c r="C690" s="2" t="s">
        <v>11</v>
      </c>
      <c r="D690" s="2" t="s">
        <v>1170</v>
      </c>
      <c r="E690" s="2" t="s">
        <v>1159</v>
      </c>
      <c r="F690" s="2" t="s">
        <v>3270</v>
      </c>
      <c r="G690" s="2" t="str">
        <f>VLOOKUP(F690,'Message Mapping'!A:L,3,FALSE)</f>
        <v>Transit;DESLIGAR;;</v>
      </c>
      <c r="H690" s="2" t="str">
        <f>VLOOKUP(F690,'Message Mapping'!A:L,4,FALSE)</f>
        <v>0;1;2;3</v>
      </c>
      <c r="I690" s="2"/>
      <c r="J690" s="3" t="str">
        <f>VLOOKUP(F690,'Message Mapping'!A:L,12,FALSE)</f>
        <v>Severidade 2</v>
      </c>
      <c r="K690" s="3"/>
      <c r="L690" s="3"/>
      <c r="M690" s="3"/>
      <c r="N690" s="3"/>
      <c r="O690" s="3"/>
      <c r="P690" s="3"/>
    </row>
    <row r="691" spans="1:16" x14ac:dyDescent="0.25">
      <c r="A691" s="94" t="s">
        <v>4352</v>
      </c>
      <c r="B691" s="2" t="s">
        <v>4353</v>
      </c>
      <c r="C691" s="2" t="s">
        <v>11</v>
      </c>
      <c r="D691" s="2" t="s">
        <v>1170</v>
      </c>
      <c r="E691" s="2" t="s">
        <v>1159</v>
      </c>
      <c r="F691" s="2" t="s">
        <v>3270</v>
      </c>
      <c r="G691" s="2" t="str">
        <f>VLOOKUP(F691,'Message Mapping'!A:L,3,FALSE)</f>
        <v>Transit;DESLIGAR;;</v>
      </c>
      <c r="H691" s="2" t="str">
        <f>VLOOKUP(F691,'Message Mapping'!A:L,4,FALSE)</f>
        <v>0;1;2;3</v>
      </c>
      <c r="I691" s="2"/>
      <c r="J691" s="3" t="str">
        <f>VLOOKUP(F691,'Message Mapping'!A:L,12,FALSE)</f>
        <v>Severidade 2</v>
      </c>
      <c r="K691" s="3"/>
      <c r="L691" s="3"/>
      <c r="M691" s="3"/>
      <c r="N691" s="3"/>
      <c r="O691" s="3"/>
      <c r="P691" s="3"/>
    </row>
    <row r="692" spans="1:16" x14ac:dyDescent="0.25">
      <c r="A692" s="94" t="s">
        <v>4387</v>
      </c>
      <c r="B692" s="2" t="s">
        <v>2805</v>
      </c>
      <c r="C692" s="2" t="s">
        <v>11</v>
      </c>
      <c r="D692" s="2" t="s">
        <v>1234</v>
      </c>
      <c r="E692" s="2" t="s">
        <v>1159</v>
      </c>
      <c r="F692" s="2" t="s">
        <v>107</v>
      </c>
      <c r="G692" s="2" t="str">
        <f>VLOOKUP(F692,'Message Mapping'!A:L,3,FALSE)</f>
        <v>Transit;NORMAL;FALHA;Error</v>
      </c>
      <c r="H692" s="2" t="str">
        <f>VLOOKUP(F692,'Message Mapping'!A:L,4,FALSE)</f>
        <v>0;1;2;3</v>
      </c>
      <c r="I692" s="2"/>
      <c r="J692" s="3" t="str">
        <f>VLOOKUP(F692,'Message Mapping'!A:L,12,FALSE)</f>
        <v>Severidade 7</v>
      </c>
      <c r="K692" s="3"/>
      <c r="L692" s="3"/>
      <c r="M692" s="3"/>
      <c r="N692" s="3"/>
      <c r="O692" s="3"/>
      <c r="P692" s="3"/>
    </row>
    <row r="693" spans="1:16" x14ac:dyDescent="0.25">
      <c r="A693" s="94" t="s">
        <v>1116</v>
      </c>
      <c r="B693" s="2" t="s">
        <v>1117</v>
      </c>
      <c r="C693" s="2" t="s">
        <v>11</v>
      </c>
      <c r="D693" s="2" t="s">
        <v>1234</v>
      </c>
      <c r="E693" s="2" t="s">
        <v>1159</v>
      </c>
      <c r="F693" s="2" t="s">
        <v>118</v>
      </c>
      <c r="G693" s="2" t="str">
        <f>VLOOKUP(F693,'Message Mapping'!A:L,3,FALSE)</f>
        <v>Transit;NORMAL;ATUADO;Error</v>
      </c>
      <c r="H693" s="2" t="str">
        <f>VLOOKUP(F693,'Message Mapping'!A:L,4,FALSE)</f>
        <v>0;1;2;3</v>
      </c>
      <c r="I693" s="2"/>
      <c r="J693" s="3" t="str">
        <f>VLOOKUP(F693,'Message Mapping'!A:L,12,FALSE)</f>
        <v>Severidade 7</v>
      </c>
      <c r="K693" s="3"/>
      <c r="L693" s="3"/>
      <c r="M693" s="3"/>
      <c r="N693" s="3"/>
      <c r="O693" s="3"/>
      <c r="P693" s="3"/>
    </row>
  </sheetData>
  <autoFilter ref="A1:P693" xr:uid="{39B81F61-4144-40D5-947E-5C2CEE5B2BF6}"/>
  <conditionalFormatting sqref="A548">
    <cfRule type="duplicateValues" dxfId="14" priority="8"/>
  </conditionalFormatting>
  <conditionalFormatting sqref="B91:B93">
    <cfRule type="duplicateValues" dxfId="13" priority="10"/>
  </conditionalFormatting>
  <conditionalFormatting sqref="B203:B204">
    <cfRule type="duplicateValues" dxfId="12" priority="2"/>
  </conditionalFormatting>
  <conditionalFormatting sqref="B205:B206">
    <cfRule type="duplicateValues" dxfId="11" priority="1"/>
  </conditionalFormatting>
  <conditionalFormatting sqref="B498:B500">
    <cfRule type="duplicateValues" dxfId="10" priority="3"/>
  </conditionalFormatting>
  <conditionalFormatting sqref="B659:B660 B409 B62:D62 B94 B411 B63:B90 B393:B400 B191:B202 B391 B663:B665 B437:B459 B170:B188 B96:B166 B301:B386 B413:B435 B461:B496 B668:B680 B502:B615 B686:B1048576 B1:B61 B251:B295 B207:B249">
    <cfRule type="duplicateValues" dxfId="9" priority="11"/>
  </conditionalFormatting>
  <hyperlinks>
    <hyperlink ref="F21" r:id="rId1" xr:uid="{1AC43F97-8956-4E2B-9976-59D5AA6FA313}"/>
    <hyperlink ref="F443" r:id="rId2" xr:uid="{36D931F7-DACE-471A-8433-7F7178BCE354}"/>
    <hyperlink ref="F52" r:id="rId3" xr:uid="{A664CD2D-3660-4808-984D-3DABCD46FE21}"/>
    <hyperlink ref="F53" r:id="rId4" xr:uid="{62C624DE-305A-49E1-A3CE-5F20FBE21CDC}"/>
    <hyperlink ref="F52:F53" r:id="rId5" display="INCLUIR@EXCLUIR___INCLUIDO@EXCLUIDO___Enabled_S_TC_SS" xr:uid="{BA68B953-D415-4915-9C12-FE2020DED4ED}"/>
    <hyperlink ref="F57" r:id="rId6" xr:uid="{1C72BB9D-4FDE-466C-9A0D-C9B93C5AD9EA}"/>
    <hyperlink ref="F58" r:id="rId7" xr:uid="{B5E54AC9-B50B-456C-8E75-F70FC1689BDA}"/>
    <hyperlink ref="F70" r:id="rId8" xr:uid="{DC5DFA43-7EB0-4887-B307-23427DA306C0}"/>
    <hyperlink ref="F71:F83" r:id="rId9" display="null@null___NORMAL@ATUADO___Custom_S_TS_SA" xr:uid="{BFC7809E-8D25-490B-A3EF-B182A1253722}"/>
    <hyperlink ref="F88" r:id="rId10" xr:uid="{46C6B98E-0D26-42E9-BDBE-D4A80AFAF551}"/>
    <hyperlink ref="F100" r:id="rId11" xr:uid="{DFA894F6-0E2A-4F9C-BF90-5A8E94D6C867}"/>
    <hyperlink ref="F145:F146" r:id="rId12" display="null@null___NORMAL@ATUADO___Custom_S_TS_SA" xr:uid="{D13044A3-0EEF-441C-B6A6-6D5131965A45}"/>
    <hyperlink ref="F164:F166" r:id="rId13" display="null@null___NORMAL@ATUADO___Custom_S_TS_SA" xr:uid="{1B029872-01A9-4334-B893-73100A086172}"/>
    <hyperlink ref="F198:F213" r:id="rId14" display="null@null___NORMAL@ATUADO___Custom_S_TS_SA" xr:uid="{6AB16035-1738-46D7-A9E8-668D7469C9A2}"/>
    <hyperlink ref="F223" r:id="rId15" xr:uid="{76ADEAC4-F5FC-4384-B598-CE732987958F}"/>
    <hyperlink ref="F228:F238" r:id="rId16" display="null@null___NORMAL@ATUADO___Custom_S_TS_SA" xr:uid="{D75112DC-1BAB-40A4-9B20-CACAC7B3AC46}"/>
    <hyperlink ref="F249" r:id="rId17" xr:uid="{FEC59CC7-6113-4B64-A0C3-8BF85B7FE213}"/>
    <hyperlink ref="F280" r:id="rId18" xr:uid="{77E089B1-7A03-48A1-B10D-44F2BC899325}"/>
    <hyperlink ref="F281" r:id="rId19" xr:uid="{FD30EA69-066C-4293-9103-3F43B3D898CA}"/>
    <hyperlink ref="F55" r:id="rId20" xr:uid="{353E8B3B-9374-4924-9F90-7430582A28E6}"/>
    <hyperlink ref="F68" r:id="rId21" xr:uid="{93BF0A33-9FC0-4500-96CC-CCE01D3BEDFE}"/>
    <hyperlink ref="F72" r:id="rId22" xr:uid="{349A9E12-C7AA-45E0-8551-58B6590882C2}"/>
    <hyperlink ref="F97" r:id="rId23" xr:uid="{175599DD-D92B-4724-9BB2-D7639103AB55}"/>
    <hyperlink ref="F131" r:id="rId24" xr:uid="{503EC6B4-7321-4112-A0C9-EFA4EFC61C34}"/>
    <hyperlink ref="F146" r:id="rId25" xr:uid="{65D19BFD-D957-42AB-B017-128E7B0B08BC}"/>
    <hyperlink ref="F199" r:id="rId26" xr:uid="{155D3508-FAA3-4B56-872B-E802484EBC1D}"/>
    <hyperlink ref="F201" r:id="rId27" xr:uid="{191B9A21-E19A-4E1E-BC19-33F4B4BC5C7F}"/>
    <hyperlink ref="F222" r:id="rId28" xr:uid="{CFC342E3-A418-4A45-8D2C-7DBEA996BF90}"/>
    <hyperlink ref="F231" r:id="rId29" xr:uid="{85EC30EF-6158-4EAB-AF9E-3D66106516CF}"/>
    <hyperlink ref="F275" r:id="rId30" xr:uid="{E730ABCD-7B91-4BF3-A2BF-3C04A7208525}"/>
    <hyperlink ref="F325" r:id="rId31" xr:uid="{865EE91D-E3AF-467D-BD02-AF765553438F}"/>
    <hyperlink ref="F327" r:id="rId32" xr:uid="{93511EEE-B500-488E-B7E0-53AE3B8CC13D}"/>
    <hyperlink ref="F329" r:id="rId33" xr:uid="{C0D600CC-C49F-4082-ADD0-D3EC8E9759F3}"/>
    <hyperlink ref="F331" r:id="rId34" xr:uid="{350CCAAE-9D98-4288-8F3C-DDAF36034A42}"/>
    <hyperlink ref="F333" r:id="rId35" xr:uid="{4B0AC908-451F-4FA0-843E-E3FBAF4DD2BD}"/>
    <hyperlink ref="F335" r:id="rId36" xr:uid="{55086240-4E7A-4C98-9CC1-18C32DAA2A70}"/>
    <hyperlink ref="F337" r:id="rId37" xr:uid="{18CB304D-2A1B-4004-9558-74B429FAF0C0}"/>
    <hyperlink ref="F338" r:id="rId38" xr:uid="{DBB11798-E679-428C-807A-6B8AE8887B0D}"/>
    <hyperlink ref="F339" r:id="rId39" xr:uid="{EA0B739D-AA00-4997-80B1-CB0D295BDC68}"/>
    <hyperlink ref="F341" r:id="rId40" xr:uid="{028489B3-4315-4C43-8040-449A8BEEE3BF}"/>
    <hyperlink ref="F342" r:id="rId41" xr:uid="{182C320B-B706-4445-A543-D34429B1FAD8}"/>
    <hyperlink ref="F343" r:id="rId42" xr:uid="{CD45ADEE-BCED-4886-8F39-D5F87CC1AD7B}"/>
    <hyperlink ref="F345" r:id="rId43" xr:uid="{661776A3-B4D0-4CEC-A70F-8B4E99984CC7}"/>
    <hyperlink ref="F346" r:id="rId44" xr:uid="{A847EABE-4CB1-44D7-8617-CC42356659BD}"/>
    <hyperlink ref="F352" r:id="rId45" xr:uid="{24722B0D-ACAB-471B-B01B-92DAB07866F3}"/>
    <hyperlink ref="F355" r:id="rId46" xr:uid="{4C8F490E-BA57-41E0-8404-EECECC3A1162}"/>
    <hyperlink ref="F351" r:id="rId47" xr:uid="{97CD511A-9A00-48AB-9DA8-28514399D9C7}"/>
    <hyperlink ref="F354" r:id="rId48" xr:uid="{C61DEE66-4708-4652-8020-DF6693312C9F}"/>
    <hyperlink ref="F357" r:id="rId49" xr:uid="{F399B21C-F516-444E-A76F-3DBDD634F3AF}"/>
    <hyperlink ref="F358" r:id="rId50" xr:uid="{374B973F-8306-4CC9-B1D6-0EF3A8D274D7}"/>
    <hyperlink ref="F359" r:id="rId51" xr:uid="{22037FCC-755C-4049-B945-C4D85C0BFCC3}"/>
    <hyperlink ref="F360" r:id="rId52" xr:uid="{12B7226F-BADA-40C9-8AD4-B537D1293AFB}"/>
    <hyperlink ref="F361" r:id="rId53" xr:uid="{3DE42824-8B19-4B8E-B6E9-22283E8FC708}"/>
    <hyperlink ref="F362" r:id="rId54" xr:uid="{9DD93A7E-5DB6-4535-B951-91DC47EE9C65}"/>
    <hyperlink ref="F363" r:id="rId55" xr:uid="{E8D782AA-B895-49E1-9BB5-EB858DA9857D}"/>
    <hyperlink ref="F364" r:id="rId56" xr:uid="{FEDA931C-9BBC-4467-A778-26FC6C8D7DF3}"/>
    <hyperlink ref="F365" r:id="rId57" xr:uid="{73138374-AA1F-4499-BB7C-89553EDF86DC}"/>
    <hyperlink ref="F366" r:id="rId58" xr:uid="{FE00242B-8DDB-45E8-BDC1-D09A297304DF}"/>
    <hyperlink ref="F367" r:id="rId59" xr:uid="{F4D36FA6-11AA-448C-A090-A0E34073BC97}"/>
    <hyperlink ref="F368" r:id="rId60" xr:uid="{615B06BF-4F6B-456A-8D77-D492BCF4A433}"/>
    <hyperlink ref="F369" r:id="rId61" xr:uid="{210E587F-43E0-40D4-8630-50DA5F0D0844}"/>
    <hyperlink ref="F370" r:id="rId62" xr:uid="{AA751741-2438-4084-A5D7-5D34E58DEFC5}"/>
    <hyperlink ref="F436" r:id="rId63" xr:uid="{0C6A2C3A-0F83-4778-B1E5-D6555646E4BC}"/>
    <hyperlink ref="F383" r:id="rId64" xr:uid="{44D782A8-A173-4E7E-8B4C-3223E5AB53BB}"/>
    <hyperlink ref="F395" r:id="rId65" xr:uid="{FC38C2EC-E203-4053-B26F-D5935B625B7E}"/>
    <hyperlink ref="F396" r:id="rId66" xr:uid="{92727F77-50B6-4005-8DEA-E432FD70D89B}"/>
    <hyperlink ref="F397" r:id="rId67" xr:uid="{A9F73341-629A-4159-AE65-940A7826E270}"/>
    <hyperlink ref="F428" r:id="rId68" xr:uid="{0B3EA6B0-8B03-4952-A9BA-7A72373F5F06}"/>
    <hyperlink ref="F430" r:id="rId69" xr:uid="{83BB335D-232F-42B5-987D-02EBA93E774F}"/>
    <hyperlink ref="F432" r:id="rId70" xr:uid="{289CFA3E-776C-4673-B0B3-509FAEF829D0}"/>
    <hyperlink ref="F437" r:id="rId71" xr:uid="{2972A7EF-84A3-45BD-8B52-D08A326F6C73}"/>
    <hyperlink ref="F453" r:id="rId72" xr:uid="{2093BDCC-F830-4CC3-B018-A9F9440DF9B1}"/>
    <hyperlink ref="F435" r:id="rId73" xr:uid="{18370188-FA88-4807-B5A2-ECA7FAFB86DB}"/>
    <hyperlink ref="F433" r:id="rId74" xr:uid="{67B39DB2-7749-4FF5-806D-05F166347D30}"/>
    <hyperlink ref="F438" r:id="rId75" xr:uid="{24E6A015-41AF-49AD-B551-AA518F258CD6}"/>
    <hyperlink ref="F439" r:id="rId76" xr:uid="{965935A6-0BD4-4DCC-966E-2919CD74F9C3}"/>
    <hyperlink ref="F440" r:id="rId77" xr:uid="{8D58C60E-EBAE-4110-89D8-328881E2B1DE}"/>
    <hyperlink ref="F441" r:id="rId78" xr:uid="{DA574CD2-43DE-46FE-8068-2682A5A91BB0}"/>
    <hyperlink ref="F442" r:id="rId79" xr:uid="{55CDFC9F-0F79-420E-B271-6023DF590709}"/>
    <hyperlink ref="F444" r:id="rId80" xr:uid="{EFCC52D2-775F-4364-AF56-B0265C2C3DC0}"/>
    <hyperlink ref="F445" r:id="rId81" xr:uid="{24F592A4-710A-48DF-AD49-45AA5746D908}"/>
    <hyperlink ref="F446" r:id="rId82" xr:uid="{A69F52F0-1C0B-4CCF-86E7-00A7282FB2C1}"/>
    <hyperlink ref="F447" r:id="rId83" xr:uid="{8A1353F4-5400-4440-BD96-61116BB7E09C}"/>
    <hyperlink ref="F448" r:id="rId84" xr:uid="{76641945-1A20-4513-A0A2-DD87DEFE3D40}"/>
    <hyperlink ref="F449" r:id="rId85" xr:uid="{768AE263-CEE4-4E94-81BB-B28B8E308BE0}"/>
    <hyperlink ref="F450" r:id="rId86" xr:uid="{472C3F84-6EC7-4BEB-A135-80DF6EF91D04}"/>
    <hyperlink ref="F451" r:id="rId87" xr:uid="{77BBCD3C-05C8-4041-88D5-B290A2CC529D}"/>
    <hyperlink ref="F452" r:id="rId88" xr:uid="{6EDBDC72-FDE4-4FCC-8AC7-A1DA944DBE52}"/>
    <hyperlink ref="F473" r:id="rId89" xr:uid="{84286289-644C-4348-9D54-9D880606ADA3}"/>
    <hyperlink ref="F454" r:id="rId90" xr:uid="{B5EE6211-E603-43B5-879C-28D00ACD1CD6}"/>
    <hyperlink ref="F455" r:id="rId91" xr:uid="{26A88B84-9426-4F39-98CF-C48A31093A6E}"/>
    <hyperlink ref="F456" r:id="rId92" xr:uid="{1F0EB332-9D90-4FB2-B7A2-D3B58657CABB}"/>
    <hyperlink ref="F457" r:id="rId93" xr:uid="{ED9E0370-DC43-4CD6-BDAA-91967DB10051}"/>
    <hyperlink ref="F458" r:id="rId94" xr:uid="{D538C823-EFDE-4707-8C7E-D82EB582C336}"/>
    <hyperlink ref="F459" r:id="rId95" xr:uid="{BB6C0DA1-1CD5-4925-850B-9521EBA96581}"/>
    <hyperlink ref="F460" r:id="rId96" xr:uid="{C84E8578-EB3E-43EF-BEE1-3A3D48910AEA}"/>
    <hyperlink ref="F461" r:id="rId97" xr:uid="{12601592-4F32-4F25-87E0-3A32F54D98E8}"/>
    <hyperlink ref="F462" r:id="rId98" xr:uid="{79B340FF-CD15-4D6D-97C5-326B18B77FCB}"/>
    <hyperlink ref="F463" r:id="rId99" xr:uid="{161ED5E7-5DE4-4946-B540-FCC869F2B89A}"/>
    <hyperlink ref="F464" r:id="rId100" xr:uid="{642C22A5-AD72-43C3-B774-D29514C5363C}"/>
    <hyperlink ref="F465" r:id="rId101" xr:uid="{4BB24994-88C1-4ED8-A8C3-50722E72AC8B}"/>
    <hyperlink ref="F466" r:id="rId102" xr:uid="{501BD31D-790A-47C3-80C1-EE8F0E8F0601}"/>
    <hyperlink ref="F467" r:id="rId103" xr:uid="{0E9DC1E1-C5B6-4181-8243-66DE40B4325D}"/>
    <hyperlink ref="F468" r:id="rId104" xr:uid="{1214C29D-7590-4917-AF3E-88321DC5F0E1}"/>
    <hyperlink ref="F469" r:id="rId105" xr:uid="{C2D10F13-1C6B-4AD6-8970-932E0725DE13}"/>
    <hyperlink ref="F470" r:id="rId106" xr:uid="{23AE9A0E-D70C-4B2E-A7A5-24DFAD14FDA5}"/>
    <hyperlink ref="F471" r:id="rId107" xr:uid="{4EE7FCF2-A0D4-428C-8992-D011557B45EA}"/>
    <hyperlink ref="F472" r:id="rId108" xr:uid="{C575BA47-6319-451A-9964-50093B0339D5}"/>
    <hyperlink ref="F526" r:id="rId109" xr:uid="{259C5285-ECF6-406D-A118-A9308C6A0E9A}"/>
    <hyperlink ref="F474" r:id="rId110" xr:uid="{A912A0A1-3094-4C5D-B4F9-58E3ACA0184E}"/>
    <hyperlink ref="F475" r:id="rId111" xr:uid="{669194DC-BA6E-40C9-92C3-6AA1C52BD280}"/>
    <hyperlink ref="F476" r:id="rId112" xr:uid="{EE0B80CC-147C-46FA-A98D-A73414D96514}"/>
    <hyperlink ref="F477" r:id="rId113" xr:uid="{9CAA50E3-2AF6-4D11-B351-46AE9128CB19}"/>
    <hyperlink ref="F478" r:id="rId114" xr:uid="{F56F5EBD-58AA-4709-BC01-1197522D7368}"/>
    <hyperlink ref="F479" r:id="rId115" xr:uid="{459F6640-22BC-48A3-810B-A8DFE5002B59}"/>
    <hyperlink ref="F480" r:id="rId116" xr:uid="{191A523C-721A-400E-AE6F-F4A62D8BED86}"/>
    <hyperlink ref="F481" r:id="rId117" xr:uid="{CC94F061-6633-4E69-8957-FB786F196DC3}"/>
    <hyperlink ref="F482" r:id="rId118" xr:uid="{6C1B7626-338D-4708-A594-E0A4524D4673}"/>
    <hyperlink ref="F483" r:id="rId119" xr:uid="{4D2F7D38-1608-46D2-9B9E-B1951C2B8519}"/>
    <hyperlink ref="F484" r:id="rId120" xr:uid="{D0F000DE-5CB0-45EC-9D5F-A0D459C8B2E8}"/>
    <hyperlink ref="F485" r:id="rId121" xr:uid="{52AF5A84-7A57-42FD-B046-12A589F856DB}"/>
    <hyperlink ref="F486" r:id="rId122" xr:uid="{AE4698C9-359C-449D-9E30-DE413C290BEE}"/>
    <hyperlink ref="F487" r:id="rId123" xr:uid="{DB3C6000-4BBB-4036-9F7E-8D8AAEEA846B}"/>
    <hyperlink ref="F488" r:id="rId124" xr:uid="{A4813EA3-D6EC-4162-92A0-5ABAD47CBE6F}"/>
    <hyperlink ref="F489" r:id="rId125" xr:uid="{59BF699D-2AA2-45AA-944A-2DF85239FC83}"/>
    <hyperlink ref="F490" r:id="rId126" xr:uid="{921C94E7-24AF-464B-9AB8-17761C3313EE}"/>
    <hyperlink ref="F491" r:id="rId127" xr:uid="{86EBFAC2-EC26-4CC6-98A2-128EC87AA82E}"/>
    <hyperlink ref="F493" r:id="rId128" xr:uid="{2701D939-E2D9-4519-9079-B9F65EF055C1}"/>
    <hyperlink ref="F494" r:id="rId129" xr:uid="{7E2CD8DD-F7BA-4541-85BC-92291C6B62EA}"/>
    <hyperlink ref="F495" r:id="rId130" xr:uid="{F722894B-DA6C-4263-B54C-BFDDF0AC71A4}"/>
    <hyperlink ref="F496" r:id="rId131" xr:uid="{1A05CF65-AE4D-4E5E-ADE7-8F2D1625218B}"/>
    <hyperlink ref="F497" r:id="rId132" xr:uid="{94C3F4AA-4CC6-47A2-8840-9607635EBFC2}"/>
    <hyperlink ref="F514" r:id="rId133" xr:uid="{B2C0AA1C-0194-4339-B9F4-EE2A9A0C0647}"/>
    <hyperlink ref="F501" r:id="rId134" xr:uid="{E30878EE-DBF1-448A-8485-85ACE5F6AFFD}"/>
    <hyperlink ref="F502" r:id="rId135" xr:uid="{8F25EA6C-FB60-4F5B-9866-0596676C65C2}"/>
    <hyperlink ref="F503" r:id="rId136" xr:uid="{312D08B2-4468-44D8-BAB0-948579757AE0}"/>
    <hyperlink ref="F504" r:id="rId137" xr:uid="{2594E217-622B-42D1-A2DC-51E4E9ACE580}"/>
    <hyperlink ref="F505" r:id="rId138" xr:uid="{22557768-C075-4412-8A95-822CE21F5ED4}"/>
    <hyperlink ref="F506" r:id="rId139" xr:uid="{00E6054D-37D6-47A7-B3F4-7B1025383883}"/>
    <hyperlink ref="F507" r:id="rId140" xr:uid="{402295A9-3FA8-42A9-9ECD-3E05966CC1BB}"/>
    <hyperlink ref="F508" r:id="rId141" xr:uid="{7E4FBD40-1C06-4603-A75F-4819FB2FF495}"/>
    <hyperlink ref="F509" r:id="rId142" xr:uid="{EA433506-E136-48F7-B704-978508005F83}"/>
    <hyperlink ref="F510" r:id="rId143" xr:uid="{96CA9F6C-6723-4555-A2F7-6598AD082159}"/>
    <hyperlink ref="F511" r:id="rId144" xr:uid="{EDA72525-57C7-4519-A0E8-C113AF970A42}"/>
    <hyperlink ref="F512" r:id="rId145" xr:uid="{349B069A-3997-4383-A5AC-3847A86A6F05}"/>
    <hyperlink ref="F513" r:id="rId146" xr:uid="{777A4678-C374-45FF-8785-B84D4352F743}"/>
    <hyperlink ref="F515" r:id="rId147" xr:uid="{97C406F7-F137-4EA7-ACC4-36ACC32B8B23}"/>
    <hyperlink ref="F516" r:id="rId148" xr:uid="{132D09EC-8FF2-4E31-BC97-090A9C328719}"/>
    <hyperlink ref="F517" r:id="rId149" xr:uid="{294363D8-3414-4EF8-AFAC-C61D0EE1845B}"/>
    <hyperlink ref="F518" r:id="rId150" xr:uid="{81638EE4-7C24-47E3-90D5-0B510CB0B0A5}"/>
    <hyperlink ref="F519" r:id="rId151" xr:uid="{D50F7AF1-CBDF-448A-A09C-B14F9985D019}"/>
    <hyperlink ref="F520" r:id="rId152" xr:uid="{D36EF1D5-C01A-48E4-A699-D245CC0C70FF}"/>
    <hyperlink ref="F527" r:id="rId153" xr:uid="{8E418FEB-9C55-49E2-A125-EE36A17AE163}"/>
    <hyperlink ref="F525" r:id="rId154" xr:uid="{2D14E051-E1C8-46E1-9E02-B6D60F7B0BCA}"/>
    <hyperlink ref="F602" r:id="rId155" xr:uid="{68CA5D59-194D-447E-884A-818AA245AD07}"/>
    <hyperlink ref="F543" r:id="rId156" xr:uid="{E287AD45-97A6-4D1F-A2E4-2C6A65F9607C}"/>
    <hyperlink ref="F547" r:id="rId157" xr:uid="{2FED383D-6B23-4D86-8BF6-02671E14E5EE}"/>
    <hyperlink ref="F544:F547" r:id="rId158" display="null@null___NORMAL@ATUADO___RelayTrip_S_TS_SA" xr:uid="{196A04AC-9160-41E3-B5DE-4ADA8229D718}"/>
    <hyperlink ref="F16" r:id="rId159" xr:uid="{A754840D-B08D-4D55-97FD-8BDF225B0D75}"/>
    <hyperlink ref="F557" r:id="rId160" xr:uid="{5A881726-F80F-4314-94DF-67B571178F10}"/>
    <hyperlink ref="F20" r:id="rId161" xr:uid="{B6B6189F-3048-417F-A1C4-A8168CA3A206}"/>
    <hyperlink ref="F556" r:id="rId162" xr:uid="{3965ECA6-84B8-46CF-846A-79A61F16EB7C}"/>
    <hyperlink ref="F221" r:id="rId163" xr:uid="{88C41641-0A74-4C27-8C58-932491AA3E71}"/>
    <hyperlink ref="F96" r:id="rId164" xr:uid="{EBDEC999-169A-4D98-9F77-DB7A42DF01EA}"/>
    <hyperlink ref="F106" r:id="rId165" xr:uid="{C31C3AB9-DF2C-4C25-ABBF-BDA13589B2C5}"/>
    <hyperlink ref="F581" r:id="rId166" xr:uid="{1C6F778C-ACB4-4B12-B0E3-2D1DE3698AEB}"/>
    <hyperlink ref="F585" r:id="rId167" xr:uid="{284EE7CD-C26E-40D2-88CC-D73760FD7ADA}"/>
    <hyperlink ref="F587" r:id="rId168" xr:uid="{A5DD88FA-0B63-46FE-9A55-43BE1B410B71}"/>
    <hyperlink ref="F595" r:id="rId169" xr:uid="{881BA6E5-FD91-4EF6-9267-6D14D849CF50}"/>
    <hyperlink ref="F596" r:id="rId170" xr:uid="{B66821FB-0193-4D0D-8E96-A005FE26337F}"/>
    <hyperlink ref="F617" r:id="rId171" xr:uid="{2DC76CEF-333C-491C-86F4-02DE451050A0}"/>
    <hyperlink ref="F618" r:id="rId172" xr:uid="{9FB35007-8481-4339-8D48-4835B6C9AB71}"/>
    <hyperlink ref="F633" r:id="rId173" xr:uid="{4AE10914-A6B8-4E92-BD10-4A0F33461C2D}"/>
    <hyperlink ref="F634" r:id="rId174" xr:uid="{8F27CAD1-0937-4492-AA10-742852849F93}"/>
    <hyperlink ref="F635" r:id="rId175" xr:uid="{20253858-3FD0-4D11-AF75-CFC5EC69E87E}"/>
    <hyperlink ref="F636" r:id="rId176" xr:uid="{425F1B87-7C47-42A2-8130-39CC7760F06E}"/>
    <hyperlink ref="F639" r:id="rId177" xr:uid="{6C880051-29B7-4928-861E-A8C26E71EC2D}"/>
    <hyperlink ref="F640" r:id="rId178" xr:uid="{7016AC63-C29C-4D01-9CE2-DBE676962FC4}"/>
    <hyperlink ref="F641" r:id="rId179" xr:uid="{005CA59B-BAB3-4AE1-8179-823CC8139714}"/>
    <hyperlink ref="F642" r:id="rId180" xr:uid="{8E9086C7-1ED1-43A9-8FBA-B9B1E847D805}"/>
    <hyperlink ref="F653" r:id="rId181" xr:uid="{0EB39743-699B-46DD-B933-91870D5736A6}"/>
    <hyperlink ref="F659" r:id="rId182" xr:uid="{CD02CF45-12BF-49AC-AF06-BAC5B17551DF}"/>
    <hyperlink ref="F660" r:id="rId183" xr:uid="{2BF308D3-9606-4A2D-8E57-64FCD52AAB39}"/>
    <hyperlink ref="F661" r:id="rId184" xr:uid="{1A321786-D597-49D8-961D-7EAC04150E3C}"/>
    <hyperlink ref="F662" r:id="rId185" xr:uid="{41FFB3B4-EBBC-4789-8F51-57D1EB95DC00}"/>
    <hyperlink ref="F663" r:id="rId186" xr:uid="{EBDCC497-9A9B-4360-9B02-EABCAD470F43}"/>
    <hyperlink ref="F664" r:id="rId187" xr:uid="{CEF14F67-6479-4B4D-A1CC-3D1208F11266}"/>
    <hyperlink ref="F665" r:id="rId188" xr:uid="{BB58AF8C-B58B-49BE-BF68-EC16F63DB778}"/>
    <hyperlink ref="F693" r:id="rId189" xr:uid="{37F5C05D-6DF2-4F00-B6D1-4D2A66E6F8CA}"/>
    <hyperlink ref="F670" r:id="rId190" xr:uid="{D8D2D297-894B-405D-8076-A38C4FDD1168}"/>
    <hyperlink ref="F671" r:id="rId191" xr:uid="{3E284BE4-74D8-4007-93C6-C3EAE8C17A12}"/>
    <hyperlink ref="F672" r:id="rId192" xr:uid="{5922C3FD-737D-4C5E-AC2A-BBBA059E1C34}"/>
    <hyperlink ref="F673" r:id="rId193" xr:uid="{8BA4766B-8F46-4B36-B4E0-DD2DE584471D}"/>
    <hyperlink ref="F674" r:id="rId194" xr:uid="{83EA1701-0356-477E-9284-F8AF3A28D284}"/>
    <hyperlink ref="F675" r:id="rId195" xr:uid="{DF87CB81-27F6-4D32-A800-049242E92737}"/>
    <hyperlink ref="F680" r:id="rId196" xr:uid="{AD806E3D-9A15-4B33-BD3F-CABCFA28D5BD}"/>
    <hyperlink ref="F681" r:id="rId197" xr:uid="{C5993D33-8D1C-4F4F-AAAF-EDC525A5E99F}"/>
    <hyperlink ref="F521" r:id="rId198" xr:uid="{2390467A-8388-41C5-BE45-5A23E4AE7CC5}"/>
    <hyperlink ref="F522" r:id="rId199" xr:uid="{E21F4B7C-7CA9-4311-B794-C9BBEAEA0392}"/>
    <hyperlink ref="F523" r:id="rId200" xr:uid="{5F7EF01D-7F81-4CD5-A800-9CE6EE41ED52}"/>
    <hyperlink ref="F344" r:id="rId201" xr:uid="{9CB34C99-3065-4436-B396-B0080660F843}"/>
    <hyperlink ref="F651" r:id="rId202" xr:uid="{346F0FCC-4D17-4A7B-86CC-8388BA1AFBEF}"/>
    <hyperlink ref="F682" r:id="rId203" xr:uid="{CEBE5CCB-BE06-4150-8028-627BCE2EAE6F}"/>
    <hyperlink ref="F616" r:id="rId204" xr:uid="{5BDE1EF9-2C87-4EEB-BBF9-C09386935E38}"/>
    <hyperlink ref="F658" r:id="rId205" xr:uid="{07A3CA3F-E953-4F95-BAB8-EFB874343D16}"/>
    <hyperlink ref="F637" r:id="rId206" xr:uid="{E5025ED3-94B1-472C-BA3F-B15CE774DA17}"/>
    <hyperlink ref="F638" r:id="rId207" xr:uid="{A8794B24-43A7-47B7-A146-3312C9982FE1}"/>
    <hyperlink ref="F224" r:id="rId208" xr:uid="{D3C36710-AD7D-4F92-9CB7-81548C3244BB}"/>
    <hyperlink ref="F386" r:id="rId209" xr:uid="{3E9338EE-C480-4DF9-83C8-8F3BEA16B4D1}"/>
    <hyperlink ref="F226" r:id="rId210" xr:uid="{F8981CF7-5F9C-4648-AC89-2125EF927F0B}"/>
    <hyperlink ref="F17" r:id="rId211" xr:uid="{E5F4068F-8DAE-49D9-926F-5EB774A91DDE}"/>
    <hyperlink ref="F18" r:id="rId212" xr:uid="{A95DB7A4-F576-4A61-B175-D87BAEF3CD6F}"/>
    <hyperlink ref="F19" r:id="rId213" xr:uid="{0E1DBFBB-F9A1-461D-ADF7-FE84AA0C163F}"/>
    <hyperlink ref="F289" r:id="rId214" xr:uid="{901D2382-92A9-4ED5-B92F-A9932308A776}"/>
    <hyperlink ref="F353" r:id="rId215" xr:uid="{95FD6C86-E8C3-4A72-9540-024D70BC8B85}"/>
    <hyperlink ref="F492" r:id="rId216" xr:uid="{C100E3FC-8772-44D5-9B23-776D9E8BA574}"/>
    <hyperlink ref="F687" r:id="rId217" display="null@null___NORMAL@FALHA___Custom_S_TS_SI" xr:uid="{59B5A44D-8957-4533-AA30-A12E54DAD65C}"/>
    <hyperlink ref="F686" r:id="rId218" display="null@null___NORMAL@FALHA___Custom_S_TS_SI" xr:uid="{38F512A8-E6BB-4772-8499-69C31A760D47}"/>
    <hyperlink ref="F434" r:id="rId219" xr:uid="{C3DDEC1E-0FD9-43E6-AB1E-A650BFFBD5F9}"/>
    <hyperlink ref="F688" r:id="rId220" display="null@null___NORMAL@FALHA___Custom_S_TS_SI" xr:uid="{A65C0E4F-69C0-4ACF-A280-3D8666627D9B}"/>
    <hyperlink ref="F689" r:id="rId221" display="null@null___NORMAL@FALHA___Custom_S_TS_SI" xr:uid="{4094BB9C-DAD5-4675-8CBB-40B956F1A4FE}"/>
    <hyperlink ref="F690" r:id="rId222" display="null@null___NORMAL@FALHA___Custom_S_TS_SI" xr:uid="{40209540-6F85-441C-A5C1-E8EBE97D4BA7}"/>
    <hyperlink ref="F691" r:id="rId223" display="null@null___NORMAL@FALHA___Custom_S_TS_SI" xr:uid="{EEC6AE9A-3533-42E8-B223-9681C5C1D912}"/>
    <hyperlink ref="F676" r:id="rId224" xr:uid="{CE488BC4-C814-4D0E-976E-6A1192BB0BF7}"/>
    <hyperlink ref="F677" r:id="rId225" xr:uid="{9B2ECF8D-6092-4C5E-99CC-9DB4DB15A6C8}"/>
    <hyperlink ref="F678" r:id="rId226" xr:uid="{0011CF7D-2D33-4A3A-ADCA-3A21F902B892}"/>
    <hyperlink ref="F679" r:id="rId227" xr:uid="{6A08EE67-A09F-44DC-B7BE-D15624142E15}"/>
    <hyperlink ref="F499" r:id="rId228" xr:uid="{93D17CB6-C18A-4280-BA62-BE6ED2901DCC}"/>
    <hyperlink ref="F498" r:id="rId229" xr:uid="{7A721503-7061-4241-9145-68E22268FB5D}"/>
    <hyperlink ref="F669" r:id="rId230" display="DESLIGAR@LIGAR___DESLIGADO@LIGADO___Custom_S_TS_SV" xr:uid="{0B88DF5E-2E44-46C2-83C1-8BEE82453658}"/>
    <hyperlink ref="F668" r:id="rId231" xr:uid="{C63DB98A-0B51-4ECC-A169-E3A2BCCE0597}"/>
    <hyperlink ref="F500" r:id="rId232" xr:uid="{A31C2914-84F8-488C-8C4B-8F4E7BE15F28}"/>
    <hyperlink ref="F692" r:id="rId233" xr:uid="{73BB6024-9D44-48CC-A803-ACEA4E45CE61}"/>
    <hyperlink ref="F244" r:id="rId234" xr:uid="{DB40301C-D221-469B-97A6-BD46761672C6}"/>
    <hyperlink ref="F431" r:id="rId235" xr:uid="{0F333EE8-E6AC-4818-8815-D2A2CF4593DC}"/>
    <hyperlink ref="F287" r:id="rId236" xr:uid="{D561B704-5046-4618-B56E-3BA9FBFC2740}"/>
    <hyperlink ref="F288" r:id="rId237" xr:uid="{282C0030-637D-4907-9ED8-FF70FA9920CB}"/>
  </hyperlinks>
  <pageMargins left="0.511811024" right="0.511811024" top="0.78740157499999996" bottom="0.78740157499999996" header="0.31496062000000002" footer="0.31496062000000002"/>
  <headerFooter>
    <oddHeader>&amp;L&amp;"Calibri"&amp;10&amp;K000000 Uso Público CPFL&amp;1#_x000D_</oddHeader>
  </headerFooter>
  <legacyDrawing r:id="rId238"/>
  <extLst>
    <ext xmlns:x14="http://schemas.microsoft.com/office/spreadsheetml/2009/9/main" uri="{CCE6A557-97BC-4b89-ADB6-D9C93CAAB3DF}">
      <x14:dataValidations xmlns:xm="http://schemas.microsoft.com/office/excel/2006/main" count="1">
        <x14:dataValidation type="list" allowBlank="1" showInputMessage="1" showErrorMessage="1" xr:uid="{807856DC-9805-4C2A-B60E-C863DCD21DE0}">
          <x14:formula1>
            <xm:f>Severidades!$G$3:$G$9</xm:f>
          </x14:formula1>
          <xm:sqref>D1:D1048576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9D7B6-A876-4751-8BFC-6C49849A2932}">
  <sheetPr codeName="Planilha3">
    <tabColor theme="8"/>
  </sheetPr>
  <dimension ref="A1:I251"/>
  <sheetViews>
    <sheetView workbookViewId="0">
      <selection activeCell="A12" sqref="A12"/>
    </sheetView>
  </sheetViews>
  <sheetFormatPr defaultRowHeight="15" x14ac:dyDescent="0.25"/>
  <cols>
    <col min="1" max="1" width="11.5703125" bestFit="1" customWidth="1"/>
    <col min="2" max="2" width="60.85546875" customWidth="1"/>
    <col min="3" max="3" width="30.5703125" customWidth="1"/>
    <col min="4" max="4" width="17.5703125" bestFit="1" customWidth="1"/>
    <col min="5" max="5" width="21.85546875" bestFit="1" customWidth="1"/>
    <col min="6" max="6" width="11.28515625" customWidth="1"/>
    <col min="7" max="7" width="10.85546875" customWidth="1"/>
    <col min="8" max="9" width="19.28515625" bestFit="1" customWidth="1"/>
  </cols>
  <sheetData>
    <row r="1" spans="1:9" x14ac:dyDescent="0.25">
      <c r="A1" s="1" t="s">
        <v>0</v>
      </c>
      <c r="B1" s="1" t="s">
        <v>1</v>
      </c>
      <c r="C1" s="1" t="s">
        <v>2</v>
      </c>
      <c r="D1" s="1" t="s">
        <v>2977</v>
      </c>
      <c r="E1" s="1" t="s">
        <v>2978</v>
      </c>
      <c r="F1" s="1" t="s">
        <v>2979</v>
      </c>
      <c r="G1" s="1" t="s">
        <v>2980</v>
      </c>
      <c r="H1" s="1" t="s">
        <v>2981</v>
      </c>
      <c r="I1" s="1" t="s">
        <v>4215</v>
      </c>
    </row>
    <row r="2" spans="1:9" x14ac:dyDescent="0.25">
      <c r="A2" s="2" t="s">
        <v>2893</v>
      </c>
      <c r="B2" s="2" t="s">
        <v>4187</v>
      </c>
      <c r="C2" s="2" t="s">
        <v>4198</v>
      </c>
      <c r="D2" s="2" t="s">
        <v>4196</v>
      </c>
      <c r="E2" s="2" t="s">
        <v>1440</v>
      </c>
      <c r="F2" s="2" t="s">
        <v>984</v>
      </c>
      <c r="G2" s="2"/>
      <c r="H2" s="2"/>
      <c r="I2" s="2"/>
    </row>
    <row r="3" spans="1:9" x14ac:dyDescent="0.25">
      <c r="A3" s="2" t="s">
        <v>2933</v>
      </c>
      <c r="B3" s="2" t="s">
        <v>2974</v>
      </c>
      <c r="C3" s="2" t="s">
        <v>4198</v>
      </c>
      <c r="D3" s="2" t="s">
        <v>4199</v>
      </c>
      <c r="E3" s="2" t="s">
        <v>4200</v>
      </c>
      <c r="F3" s="2" t="s">
        <v>4189</v>
      </c>
      <c r="G3" s="2"/>
      <c r="H3" s="2"/>
      <c r="I3" s="2"/>
    </row>
    <row r="4" spans="1:9" x14ac:dyDescent="0.25">
      <c r="A4" s="2" t="s">
        <v>2897</v>
      </c>
      <c r="B4" s="2" t="s">
        <v>2949</v>
      </c>
      <c r="C4" s="2" t="s">
        <v>4201</v>
      </c>
      <c r="D4" s="2" t="s">
        <v>4202</v>
      </c>
      <c r="E4" s="2" t="s">
        <v>4157</v>
      </c>
      <c r="F4" s="2" t="s">
        <v>4189</v>
      </c>
      <c r="G4" s="2"/>
      <c r="H4" s="2"/>
      <c r="I4" s="2"/>
    </row>
    <row r="5" spans="1:9" x14ac:dyDescent="0.25">
      <c r="A5" s="2" t="s">
        <v>2895</v>
      </c>
      <c r="B5" s="2" t="s">
        <v>2947</v>
      </c>
      <c r="C5" s="2" t="s">
        <v>4198</v>
      </c>
      <c r="D5" s="2" t="s">
        <v>4196</v>
      </c>
      <c r="E5" s="2" t="s">
        <v>1440</v>
      </c>
      <c r="F5" s="2" t="s">
        <v>4189</v>
      </c>
      <c r="G5" s="2"/>
      <c r="H5" s="2"/>
      <c r="I5" s="2"/>
    </row>
    <row r="6" spans="1:9" x14ac:dyDescent="0.25">
      <c r="A6" s="2" t="s">
        <v>2887</v>
      </c>
      <c r="B6" s="2" t="s">
        <v>2940</v>
      </c>
      <c r="C6" s="2" t="s">
        <v>4197</v>
      </c>
      <c r="D6" s="2" t="s">
        <v>4196</v>
      </c>
      <c r="E6" s="2" t="s">
        <v>1440</v>
      </c>
      <c r="F6" s="2" t="s">
        <v>4190</v>
      </c>
      <c r="G6" s="2"/>
      <c r="H6" s="2"/>
      <c r="I6" s="2"/>
    </row>
    <row r="7" spans="1:9" x14ac:dyDescent="0.25">
      <c r="A7" s="2" t="s">
        <v>2889</v>
      </c>
      <c r="B7" s="2" t="s">
        <v>2942</v>
      </c>
      <c r="C7" s="2" t="s">
        <v>4197</v>
      </c>
      <c r="D7" s="2" t="s">
        <v>4196</v>
      </c>
      <c r="E7" s="2" t="s">
        <v>1440</v>
      </c>
      <c r="F7" s="2" t="s">
        <v>4191</v>
      </c>
      <c r="G7" s="2"/>
      <c r="H7" s="2"/>
      <c r="I7" s="2"/>
    </row>
    <row r="8" spans="1:9" x14ac:dyDescent="0.25">
      <c r="A8" s="2" t="s">
        <v>2891</v>
      </c>
      <c r="B8" s="2" t="s">
        <v>2944</v>
      </c>
      <c r="C8" s="2" t="s">
        <v>4197</v>
      </c>
      <c r="D8" s="2" t="s">
        <v>4196</v>
      </c>
      <c r="E8" s="2" t="s">
        <v>1440</v>
      </c>
      <c r="F8" s="2" t="s">
        <v>4192</v>
      </c>
      <c r="G8" s="2"/>
      <c r="H8" s="2"/>
      <c r="I8" s="2"/>
    </row>
    <row r="9" spans="1:9" x14ac:dyDescent="0.25">
      <c r="A9" s="2" t="s">
        <v>2894</v>
      </c>
      <c r="B9" s="2" t="s">
        <v>2946</v>
      </c>
      <c r="C9" s="2" t="s">
        <v>4197</v>
      </c>
      <c r="D9" s="2" t="s">
        <v>4196</v>
      </c>
      <c r="E9" s="2" t="s">
        <v>1440</v>
      </c>
      <c r="F9" s="2" t="s">
        <v>984</v>
      </c>
      <c r="G9" s="2"/>
      <c r="H9" s="2"/>
      <c r="I9" s="2"/>
    </row>
    <row r="10" spans="1:9" x14ac:dyDescent="0.25">
      <c r="A10" s="2" t="s">
        <v>2886</v>
      </c>
      <c r="B10" s="2" t="s">
        <v>2939</v>
      </c>
      <c r="C10" s="2" t="s">
        <v>4198</v>
      </c>
      <c r="D10" s="2" t="s">
        <v>4196</v>
      </c>
      <c r="E10" s="2" t="s">
        <v>1440</v>
      </c>
      <c r="F10" s="2" t="s">
        <v>4190</v>
      </c>
      <c r="G10" s="2"/>
      <c r="H10" s="2"/>
      <c r="I10" s="2"/>
    </row>
    <row r="11" spans="1:9" x14ac:dyDescent="0.25">
      <c r="A11" s="2" t="s">
        <v>2888</v>
      </c>
      <c r="B11" s="2" t="s">
        <v>2941</v>
      </c>
      <c r="C11" s="2" t="s">
        <v>4198</v>
      </c>
      <c r="D11" s="2" t="s">
        <v>4196</v>
      </c>
      <c r="E11" s="2" t="s">
        <v>1440</v>
      </c>
      <c r="F11" s="2" t="s">
        <v>4191</v>
      </c>
      <c r="G11" s="2"/>
      <c r="H11" s="2"/>
      <c r="I11" s="2"/>
    </row>
    <row r="12" spans="1:9" x14ac:dyDescent="0.25">
      <c r="A12" s="2" t="s">
        <v>2890</v>
      </c>
      <c r="B12" s="2" t="s">
        <v>2943</v>
      </c>
      <c r="C12" s="2" t="s">
        <v>4198</v>
      </c>
      <c r="D12" s="2" t="s">
        <v>4196</v>
      </c>
      <c r="E12" s="2" t="s">
        <v>1440</v>
      </c>
      <c r="F12" s="2" t="s">
        <v>4192</v>
      </c>
      <c r="G12" s="2"/>
      <c r="H12" s="2"/>
      <c r="I12" s="2"/>
    </row>
    <row r="13" spans="1:9" x14ac:dyDescent="0.25">
      <c r="A13" s="2" t="s">
        <v>2892</v>
      </c>
      <c r="B13" s="2" t="s">
        <v>2945</v>
      </c>
      <c r="C13" s="2" t="s">
        <v>4198</v>
      </c>
      <c r="D13" s="2" t="s">
        <v>4196</v>
      </c>
      <c r="E13" s="2" t="s">
        <v>1440</v>
      </c>
      <c r="F13" s="2" t="s">
        <v>984</v>
      </c>
      <c r="G13" s="2"/>
      <c r="H13" s="2"/>
      <c r="I13" s="2"/>
    </row>
    <row r="14" spans="1:9" x14ac:dyDescent="0.25">
      <c r="A14" s="2" t="s">
        <v>2896</v>
      </c>
      <c r="B14" s="2" t="s">
        <v>2948</v>
      </c>
      <c r="C14" s="2" t="s">
        <v>11</v>
      </c>
      <c r="D14" s="2" t="s">
        <v>4203</v>
      </c>
      <c r="E14" s="2" t="s">
        <v>4204</v>
      </c>
      <c r="F14" s="2" t="s">
        <v>4189</v>
      </c>
      <c r="G14" s="2"/>
      <c r="H14" s="2"/>
      <c r="I14" s="2"/>
    </row>
    <row r="15" spans="1:9" x14ac:dyDescent="0.25">
      <c r="A15" s="2" t="s">
        <v>2883</v>
      </c>
      <c r="B15" s="2" t="s">
        <v>2936</v>
      </c>
      <c r="C15" s="2" t="s">
        <v>4198</v>
      </c>
      <c r="D15" s="2" t="s">
        <v>4205</v>
      </c>
      <c r="E15" s="2" t="s">
        <v>4206</v>
      </c>
      <c r="F15" s="2" t="s">
        <v>4189</v>
      </c>
      <c r="G15" s="2"/>
      <c r="H15" s="2"/>
      <c r="I15" s="2"/>
    </row>
    <row r="16" spans="1:9" x14ac:dyDescent="0.25">
      <c r="A16" s="2" t="s">
        <v>1724</v>
      </c>
      <c r="B16" s="2" t="s">
        <v>2937</v>
      </c>
      <c r="C16" s="2" t="s">
        <v>4198</v>
      </c>
      <c r="D16" s="2" t="s">
        <v>4207</v>
      </c>
      <c r="E16" s="2" t="s">
        <v>4208</v>
      </c>
      <c r="F16" s="2" t="s">
        <v>4189</v>
      </c>
      <c r="G16" s="2"/>
      <c r="H16" s="2"/>
      <c r="I16" s="2"/>
    </row>
    <row r="17" spans="1:9" x14ac:dyDescent="0.25">
      <c r="A17" s="5" t="s">
        <v>2884</v>
      </c>
      <c r="B17" s="5" t="s">
        <v>2938</v>
      </c>
      <c r="C17" s="2" t="s">
        <v>4198</v>
      </c>
      <c r="D17" s="2" t="s">
        <v>4196</v>
      </c>
      <c r="E17" s="2" t="s">
        <v>1440</v>
      </c>
      <c r="F17" s="5" t="s">
        <v>4189</v>
      </c>
      <c r="G17" s="5"/>
      <c r="H17" s="5"/>
      <c r="I17" s="5"/>
    </row>
    <row r="18" spans="1:9" x14ac:dyDescent="0.25">
      <c r="A18" s="2" t="s">
        <v>2902</v>
      </c>
      <c r="B18" s="2" t="s">
        <v>2952</v>
      </c>
      <c r="C18" s="2" t="s">
        <v>4198</v>
      </c>
      <c r="D18" s="2" t="s">
        <v>4209</v>
      </c>
      <c r="E18" s="2" t="s">
        <v>4212</v>
      </c>
      <c r="F18" s="2" t="s">
        <v>4189</v>
      </c>
      <c r="G18" s="2"/>
      <c r="H18" s="2"/>
      <c r="I18" s="2"/>
    </row>
    <row r="19" spans="1:9" x14ac:dyDescent="0.25">
      <c r="A19" s="2" t="s">
        <v>2898</v>
      </c>
      <c r="B19" s="2" t="s">
        <v>2950</v>
      </c>
      <c r="C19" s="2" t="s">
        <v>4198</v>
      </c>
      <c r="D19" s="2" t="s">
        <v>4210</v>
      </c>
      <c r="E19" s="2" t="s">
        <v>4213</v>
      </c>
      <c r="F19" s="2" t="s">
        <v>4189</v>
      </c>
      <c r="G19" s="2"/>
      <c r="H19" s="2"/>
      <c r="I19" s="2"/>
    </row>
    <row r="20" spans="1:9" x14ac:dyDescent="0.25">
      <c r="A20" s="2" t="s">
        <v>2900</v>
      </c>
      <c r="B20" s="2" t="s">
        <v>2951</v>
      </c>
      <c r="C20" s="2" t="s">
        <v>4198</v>
      </c>
      <c r="D20" s="2" t="s">
        <v>4211</v>
      </c>
      <c r="E20" s="2" t="s">
        <v>4214</v>
      </c>
      <c r="F20" s="2" t="s">
        <v>4189</v>
      </c>
      <c r="G20" s="2"/>
      <c r="H20" s="2"/>
      <c r="I20" s="2"/>
    </row>
    <row r="21" spans="1:9" x14ac:dyDescent="0.25">
      <c r="A21" s="2" t="s">
        <v>2906</v>
      </c>
      <c r="B21" s="2" t="s">
        <v>2955</v>
      </c>
      <c r="C21" s="2" t="s">
        <v>4198</v>
      </c>
      <c r="D21" s="2" t="s">
        <v>4195</v>
      </c>
      <c r="E21" s="2" t="s">
        <v>1467</v>
      </c>
      <c r="F21" s="2" t="s">
        <v>4189</v>
      </c>
      <c r="G21" s="2"/>
      <c r="H21" s="2"/>
      <c r="I21" s="2"/>
    </row>
    <row r="22" spans="1:9" x14ac:dyDescent="0.25">
      <c r="A22" s="2" t="s">
        <v>2907</v>
      </c>
      <c r="B22" s="2" t="s">
        <v>2956</v>
      </c>
      <c r="C22" s="2" t="s">
        <v>4198</v>
      </c>
      <c r="D22" s="2" t="s">
        <v>4195</v>
      </c>
      <c r="E22" s="2" t="s">
        <v>1467</v>
      </c>
      <c r="F22" s="2" t="s">
        <v>4189</v>
      </c>
      <c r="G22" s="2"/>
      <c r="H22" s="2"/>
      <c r="I22" s="2"/>
    </row>
    <row r="23" spans="1:9" x14ac:dyDescent="0.25">
      <c r="A23" s="2" t="s">
        <v>2903</v>
      </c>
      <c r="B23" s="2" t="s">
        <v>2953</v>
      </c>
      <c r="C23" s="2" t="s">
        <v>4198</v>
      </c>
      <c r="D23" s="2" t="s">
        <v>4195</v>
      </c>
      <c r="E23" s="2" t="s">
        <v>1467</v>
      </c>
      <c r="F23" s="2" t="s">
        <v>4189</v>
      </c>
      <c r="G23" s="2"/>
      <c r="H23" s="2"/>
      <c r="I23" s="2"/>
    </row>
    <row r="24" spans="1:9" x14ac:dyDescent="0.25">
      <c r="A24" s="2" t="s">
        <v>4388</v>
      </c>
      <c r="B24" s="2" t="s">
        <v>4389</v>
      </c>
      <c r="C24" s="2" t="s">
        <v>4198</v>
      </c>
      <c r="D24" s="2" t="s">
        <v>4195</v>
      </c>
      <c r="E24" s="2" t="s">
        <v>1467</v>
      </c>
      <c r="F24" s="2" t="s">
        <v>4189</v>
      </c>
      <c r="G24" s="2"/>
      <c r="H24" s="2"/>
      <c r="I24" s="2"/>
    </row>
    <row r="25" spans="1:9" x14ac:dyDescent="0.25">
      <c r="A25" s="2" t="s">
        <v>2905</v>
      </c>
      <c r="B25" s="59" t="s">
        <v>2954</v>
      </c>
      <c r="C25" s="2" t="s">
        <v>4198</v>
      </c>
      <c r="D25" s="2" t="s">
        <v>4195</v>
      </c>
      <c r="E25" s="2" t="s">
        <v>1467</v>
      </c>
      <c r="F25" s="2" t="s">
        <v>4189</v>
      </c>
      <c r="G25" s="2"/>
      <c r="H25" s="2"/>
      <c r="I25" s="2"/>
    </row>
    <row r="26" spans="1:9" x14ac:dyDescent="0.25">
      <c r="A26" s="2" t="s">
        <v>2904</v>
      </c>
      <c r="B26" s="2" t="s">
        <v>4181</v>
      </c>
      <c r="C26" s="2" t="s">
        <v>4198</v>
      </c>
      <c r="D26" s="2" t="s">
        <v>4195</v>
      </c>
      <c r="E26" s="2" t="s">
        <v>1467</v>
      </c>
      <c r="F26" s="2" t="s">
        <v>4189</v>
      </c>
      <c r="G26" s="2"/>
      <c r="H26" s="2"/>
      <c r="I26" s="2"/>
    </row>
    <row r="27" spans="1:9" x14ac:dyDescent="0.25">
      <c r="A27" s="2" t="s">
        <v>2909</v>
      </c>
      <c r="B27" s="2" t="s">
        <v>2958</v>
      </c>
      <c r="C27" s="2" t="s">
        <v>4198</v>
      </c>
      <c r="D27" s="2" t="s">
        <v>4188</v>
      </c>
      <c r="E27" s="2" t="s">
        <v>4193</v>
      </c>
      <c r="F27" s="2" t="s">
        <v>4189</v>
      </c>
      <c r="G27" s="2"/>
      <c r="H27" s="2"/>
      <c r="I27" s="2"/>
    </row>
    <row r="28" spans="1:9" x14ac:dyDescent="0.25">
      <c r="A28" s="2" t="s">
        <v>2909</v>
      </c>
      <c r="B28" s="2" t="s">
        <v>2958</v>
      </c>
      <c r="C28" s="2" t="s">
        <v>4198</v>
      </c>
      <c r="D28" s="2" t="s">
        <v>4188</v>
      </c>
      <c r="E28" s="2" t="s">
        <v>2909</v>
      </c>
      <c r="F28" s="2" t="s">
        <v>4189</v>
      </c>
      <c r="G28" s="2"/>
      <c r="H28" s="2"/>
      <c r="I28" s="2" t="s">
        <v>4194</v>
      </c>
    </row>
    <row r="29" spans="1:9" x14ac:dyDescent="0.25">
      <c r="A29" s="2" t="s">
        <v>2911</v>
      </c>
      <c r="B29" s="2" t="s">
        <v>2960</v>
      </c>
      <c r="C29" s="2" t="s">
        <v>4198</v>
      </c>
      <c r="D29" s="2" t="s">
        <v>4188</v>
      </c>
      <c r="E29" s="2" t="s">
        <v>4193</v>
      </c>
      <c r="F29" s="2" t="s">
        <v>4190</v>
      </c>
      <c r="G29" s="2"/>
      <c r="H29" s="2"/>
      <c r="I29" s="2"/>
    </row>
    <row r="30" spans="1:9" x14ac:dyDescent="0.25">
      <c r="A30" s="2" t="s">
        <v>2918</v>
      </c>
      <c r="B30" s="2" t="s">
        <v>2963</v>
      </c>
      <c r="C30" s="2" t="s">
        <v>4198</v>
      </c>
      <c r="D30" s="2" t="s">
        <v>4188</v>
      </c>
      <c r="E30" s="2" t="s">
        <v>4193</v>
      </c>
      <c r="F30" s="2" t="s">
        <v>4191</v>
      </c>
      <c r="G30" s="2"/>
      <c r="H30" s="2"/>
      <c r="I30" s="2"/>
    </row>
    <row r="31" spans="1:9" x14ac:dyDescent="0.25">
      <c r="A31" s="2" t="s">
        <v>2924</v>
      </c>
      <c r="B31" s="2" t="s">
        <v>2967</v>
      </c>
      <c r="C31" s="2" t="s">
        <v>4198</v>
      </c>
      <c r="D31" s="2" t="s">
        <v>4188</v>
      </c>
      <c r="E31" s="2" t="s">
        <v>4193</v>
      </c>
      <c r="F31" s="2" t="s">
        <v>4192</v>
      </c>
      <c r="G31" s="2"/>
      <c r="H31" s="2"/>
      <c r="I31" s="2"/>
    </row>
    <row r="32" spans="1:9" x14ac:dyDescent="0.25">
      <c r="A32" s="2" t="s">
        <v>2920</v>
      </c>
      <c r="B32" s="2" t="s">
        <v>2965</v>
      </c>
      <c r="C32" s="2" t="s">
        <v>4198</v>
      </c>
      <c r="D32" s="2" t="s">
        <v>4188</v>
      </c>
      <c r="E32" s="2" t="s">
        <v>2909</v>
      </c>
      <c r="F32" s="2" t="s">
        <v>4189</v>
      </c>
      <c r="G32" s="2"/>
      <c r="H32" s="2"/>
      <c r="I32" s="2"/>
    </row>
    <row r="33" spans="1:9" x14ac:dyDescent="0.25">
      <c r="A33" s="2" t="s">
        <v>1450</v>
      </c>
      <c r="B33" s="2" t="s">
        <v>2970</v>
      </c>
      <c r="C33" s="2" t="s">
        <v>4198</v>
      </c>
      <c r="D33" s="2" t="s">
        <v>4188</v>
      </c>
      <c r="E33" s="2" t="s">
        <v>2909</v>
      </c>
      <c r="F33" s="2" t="s">
        <v>4189</v>
      </c>
      <c r="G33" s="2"/>
      <c r="H33" s="2"/>
      <c r="I33" s="2"/>
    </row>
    <row r="34" spans="1:9" x14ac:dyDescent="0.25">
      <c r="A34" s="2" t="s">
        <v>2928</v>
      </c>
      <c r="B34" s="5" t="s">
        <v>2975</v>
      </c>
      <c r="C34" s="2" t="s">
        <v>4198</v>
      </c>
      <c r="D34" s="2" t="s">
        <v>4188</v>
      </c>
      <c r="E34" s="2" t="s">
        <v>2909</v>
      </c>
      <c r="F34" s="2" t="s">
        <v>4189</v>
      </c>
      <c r="G34" s="2"/>
      <c r="H34" s="2"/>
      <c r="I34" s="2"/>
    </row>
    <row r="35" spans="1:9" x14ac:dyDescent="0.25">
      <c r="A35" s="2" t="s">
        <v>2929</v>
      </c>
      <c r="B35" s="5" t="s">
        <v>2976</v>
      </c>
      <c r="C35" s="2" t="s">
        <v>4198</v>
      </c>
      <c r="D35" s="2" t="s">
        <v>4188</v>
      </c>
      <c r="E35" s="2" t="s">
        <v>2909</v>
      </c>
      <c r="F35" s="2" t="s">
        <v>4189</v>
      </c>
      <c r="G35" s="2"/>
      <c r="H35" s="2"/>
      <c r="I35" s="2"/>
    </row>
    <row r="36" spans="1:9" x14ac:dyDescent="0.25">
      <c r="A36" s="2" t="s">
        <v>2930</v>
      </c>
      <c r="B36" s="2" t="s">
        <v>2971</v>
      </c>
      <c r="C36" s="2" t="s">
        <v>4198</v>
      </c>
      <c r="D36" s="2" t="s">
        <v>4188</v>
      </c>
      <c r="E36" s="2" t="s">
        <v>2909</v>
      </c>
      <c r="F36" s="2" t="s">
        <v>4189</v>
      </c>
      <c r="G36" s="2"/>
      <c r="H36" s="2"/>
      <c r="I36" s="2"/>
    </row>
    <row r="37" spans="1:9" x14ac:dyDescent="0.25">
      <c r="A37" s="2" t="s">
        <v>2912</v>
      </c>
      <c r="B37" s="2" t="s">
        <v>4375</v>
      </c>
      <c r="C37" s="2" t="s">
        <v>4198</v>
      </c>
      <c r="D37" s="2" t="s">
        <v>4188</v>
      </c>
      <c r="E37" s="2" t="s">
        <v>4193</v>
      </c>
      <c r="F37" s="2" t="s">
        <v>4216</v>
      </c>
      <c r="G37" s="2"/>
      <c r="H37" s="2"/>
      <c r="I37" s="2"/>
    </row>
    <row r="38" spans="1:9" x14ac:dyDescent="0.25">
      <c r="A38" s="2" t="s">
        <v>2922</v>
      </c>
      <c r="B38" s="2" t="s">
        <v>4376</v>
      </c>
      <c r="C38" s="2" t="s">
        <v>4198</v>
      </c>
      <c r="D38" s="2" t="s">
        <v>4188</v>
      </c>
      <c r="E38" s="2" t="s">
        <v>4193</v>
      </c>
      <c r="F38" s="2" t="s">
        <v>4217</v>
      </c>
      <c r="G38" s="2"/>
      <c r="H38" s="2"/>
      <c r="I38" s="2"/>
    </row>
    <row r="39" spans="1:9" x14ac:dyDescent="0.25">
      <c r="A39" s="2" t="s">
        <v>2927</v>
      </c>
      <c r="B39" s="2" t="s">
        <v>4377</v>
      </c>
      <c r="C39" s="2" t="s">
        <v>4198</v>
      </c>
      <c r="D39" s="2" t="s">
        <v>4188</v>
      </c>
      <c r="E39" s="2" t="s">
        <v>4193</v>
      </c>
      <c r="F39" s="2" t="s">
        <v>4218</v>
      </c>
      <c r="G39" s="2"/>
      <c r="H39" s="2"/>
      <c r="I39" s="2"/>
    </row>
    <row r="40" spans="1:9" x14ac:dyDescent="0.25">
      <c r="A40" s="2" t="s">
        <v>2932</v>
      </c>
      <c r="B40" s="2" t="s">
        <v>2973</v>
      </c>
      <c r="C40" s="2" t="s">
        <v>4198</v>
      </c>
      <c r="D40" s="2" t="s">
        <v>4188</v>
      </c>
      <c r="E40" s="2" t="s">
        <v>2909</v>
      </c>
      <c r="F40" s="2" t="s">
        <v>4189</v>
      </c>
      <c r="G40" s="2"/>
      <c r="H40" s="2"/>
      <c r="I40" s="2"/>
    </row>
    <row r="41" spans="1:9" x14ac:dyDescent="0.25">
      <c r="A41" s="2" t="s">
        <v>2931</v>
      </c>
      <c r="B41" s="2" t="s">
        <v>2972</v>
      </c>
      <c r="C41" s="2" t="s">
        <v>4198</v>
      </c>
      <c r="D41" s="2" t="s">
        <v>4188</v>
      </c>
      <c r="E41" s="2" t="s">
        <v>2909</v>
      </c>
      <c r="F41" s="2" t="s">
        <v>4189</v>
      </c>
      <c r="G41" s="2"/>
      <c r="H41" s="2"/>
      <c r="I41" s="2"/>
    </row>
    <row r="42" spans="1:9" x14ac:dyDescent="0.25">
      <c r="A42" s="2" t="s">
        <v>2910</v>
      </c>
      <c r="B42" s="2" t="s">
        <v>2959</v>
      </c>
      <c r="C42" s="2" t="s">
        <v>4198</v>
      </c>
      <c r="D42" s="2" t="s">
        <v>4188</v>
      </c>
      <c r="E42" s="2" t="s">
        <v>4193</v>
      </c>
      <c r="F42" s="2" t="s">
        <v>4190</v>
      </c>
      <c r="G42" s="2"/>
      <c r="H42" s="2"/>
      <c r="I42" s="2"/>
    </row>
    <row r="43" spans="1:9" x14ac:dyDescent="0.25">
      <c r="A43" s="2" t="s">
        <v>2910</v>
      </c>
      <c r="B43" s="2" t="s">
        <v>2959</v>
      </c>
      <c r="C43" s="2" t="s">
        <v>4198</v>
      </c>
      <c r="D43" s="2" t="s">
        <v>4188</v>
      </c>
      <c r="E43" s="2" t="s">
        <v>2909</v>
      </c>
      <c r="F43" s="2" t="s">
        <v>4190</v>
      </c>
      <c r="G43" s="2"/>
      <c r="H43" s="2"/>
      <c r="I43" s="2" t="s">
        <v>4194</v>
      </c>
    </row>
    <row r="44" spans="1:9" x14ac:dyDescent="0.25">
      <c r="A44" s="2" t="s">
        <v>2917</v>
      </c>
      <c r="B44" s="2" t="s">
        <v>2962</v>
      </c>
      <c r="C44" s="2" t="s">
        <v>4198</v>
      </c>
      <c r="D44" s="2" t="s">
        <v>4188</v>
      </c>
      <c r="E44" s="2" t="s">
        <v>4193</v>
      </c>
      <c r="F44" s="2" t="s">
        <v>4191</v>
      </c>
      <c r="G44" s="2"/>
      <c r="H44" s="2"/>
      <c r="I44" s="2"/>
    </row>
    <row r="45" spans="1:9" x14ac:dyDescent="0.25">
      <c r="A45" s="2" t="s">
        <v>2917</v>
      </c>
      <c r="B45" s="2" t="s">
        <v>2962</v>
      </c>
      <c r="C45" s="2" t="s">
        <v>4198</v>
      </c>
      <c r="D45" s="2" t="s">
        <v>4188</v>
      </c>
      <c r="E45" s="2" t="s">
        <v>2909</v>
      </c>
      <c r="F45" s="2" t="s">
        <v>4191</v>
      </c>
      <c r="G45" s="2"/>
      <c r="H45" s="2"/>
      <c r="I45" s="2" t="s">
        <v>4194</v>
      </c>
    </row>
    <row r="46" spans="1:9" x14ac:dyDescent="0.25">
      <c r="A46" s="2" t="s">
        <v>2923</v>
      </c>
      <c r="B46" s="2" t="s">
        <v>2966</v>
      </c>
      <c r="C46" s="2" t="s">
        <v>4198</v>
      </c>
      <c r="D46" s="2" t="s">
        <v>4188</v>
      </c>
      <c r="E46" s="2" t="s">
        <v>4193</v>
      </c>
      <c r="F46" s="2" t="s">
        <v>4192</v>
      </c>
      <c r="G46" s="2"/>
      <c r="H46" s="2"/>
      <c r="I46" s="2"/>
    </row>
    <row r="47" spans="1:9" x14ac:dyDescent="0.25">
      <c r="A47" s="2" t="s">
        <v>2923</v>
      </c>
      <c r="B47" s="2" t="s">
        <v>2966</v>
      </c>
      <c r="C47" s="2" t="s">
        <v>4198</v>
      </c>
      <c r="D47" s="2" t="s">
        <v>4188</v>
      </c>
      <c r="E47" s="2" t="s">
        <v>2909</v>
      </c>
      <c r="F47" s="2" t="s">
        <v>4192</v>
      </c>
      <c r="G47" s="2"/>
      <c r="H47" s="2"/>
      <c r="I47" s="2" t="s">
        <v>4194</v>
      </c>
    </row>
    <row r="48" spans="1:9" x14ac:dyDescent="0.25">
      <c r="A48" s="2" t="s">
        <v>2913</v>
      </c>
      <c r="B48" s="2" t="s">
        <v>4384</v>
      </c>
      <c r="C48" s="2" t="s">
        <v>4198</v>
      </c>
      <c r="D48" s="2" t="s">
        <v>4188</v>
      </c>
      <c r="E48" s="2" t="s">
        <v>4193</v>
      </c>
      <c r="F48" s="2" t="s">
        <v>4216</v>
      </c>
      <c r="G48" s="2"/>
      <c r="H48" s="2"/>
      <c r="I48" s="2"/>
    </row>
    <row r="49" spans="1:9" x14ac:dyDescent="0.25">
      <c r="A49" s="2" t="s">
        <v>2913</v>
      </c>
      <c r="B49" s="2" t="s">
        <v>4384</v>
      </c>
      <c r="C49" s="2" t="s">
        <v>4198</v>
      </c>
      <c r="D49" s="2" t="s">
        <v>4188</v>
      </c>
      <c r="E49" s="2" t="s">
        <v>2909</v>
      </c>
      <c r="F49" s="2" t="s">
        <v>4216</v>
      </c>
      <c r="G49" s="2"/>
      <c r="H49" s="2"/>
      <c r="I49" s="2" t="s">
        <v>4194</v>
      </c>
    </row>
    <row r="50" spans="1:9" x14ac:dyDescent="0.25">
      <c r="A50" s="2" t="s">
        <v>2921</v>
      </c>
      <c r="B50" s="2" t="s">
        <v>4385</v>
      </c>
      <c r="C50" s="2" t="s">
        <v>4198</v>
      </c>
      <c r="D50" s="2" t="s">
        <v>4188</v>
      </c>
      <c r="E50" s="2" t="s">
        <v>4193</v>
      </c>
      <c r="F50" s="2" t="s">
        <v>4217</v>
      </c>
      <c r="G50" s="2"/>
      <c r="H50" s="2"/>
      <c r="I50" s="2"/>
    </row>
    <row r="51" spans="1:9" x14ac:dyDescent="0.25">
      <c r="A51" s="2" t="s">
        <v>2921</v>
      </c>
      <c r="B51" s="2" t="s">
        <v>4385</v>
      </c>
      <c r="C51" s="2" t="s">
        <v>4198</v>
      </c>
      <c r="D51" s="2" t="s">
        <v>4188</v>
      </c>
      <c r="E51" s="2" t="s">
        <v>2909</v>
      </c>
      <c r="F51" s="2" t="s">
        <v>4217</v>
      </c>
      <c r="G51" s="2"/>
      <c r="H51" s="2"/>
      <c r="I51" s="2" t="s">
        <v>4194</v>
      </c>
    </row>
    <row r="52" spans="1:9" x14ac:dyDescent="0.25">
      <c r="A52" s="2" t="s">
        <v>2926</v>
      </c>
      <c r="B52" s="2" t="s">
        <v>4386</v>
      </c>
      <c r="C52" s="2" t="s">
        <v>4198</v>
      </c>
      <c r="D52" s="2" t="s">
        <v>4188</v>
      </c>
      <c r="E52" s="2" t="s">
        <v>4193</v>
      </c>
      <c r="F52" s="2" t="s">
        <v>4218</v>
      </c>
      <c r="G52" s="2"/>
      <c r="H52" s="2"/>
      <c r="I52" s="2"/>
    </row>
    <row r="53" spans="1:9" x14ac:dyDescent="0.25">
      <c r="A53" s="2" t="s">
        <v>2926</v>
      </c>
      <c r="B53" s="2" t="s">
        <v>4386</v>
      </c>
      <c r="C53" s="2" t="s">
        <v>4198</v>
      </c>
      <c r="D53" s="2" t="s">
        <v>4188</v>
      </c>
      <c r="E53" s="2" t="s">
        <v>2909</v>
      </c>
      <c r="F53" s="2" t="s">
        <v>4218</v>
      </c>
      <c r="G53" s="2"/>
      <c r="H53" s="2"/>
      <c r="I53" s="2" t="s">
        <v>4194</v>
      </c>
    </row>
    <row r="54" spans="1:9" x14ac:dyDescent="0.25">
      <c r="A54" s="2" t="s">
        <v>2914</v>
      </c>
      <c r="B54" s="2" t="s">
        <v>2961</v>
      </c>
      <c r="C54" s="2" t="s">
        <v>4198</v>
      </c>
      <c r="D54" s="2" t="s">
        <v>4188</v>
      </c>
      <c r="E54" s="2" t="s">
        <v>4193</v>
      </c>
      <c r="F54" s="2" t="s">
        <v>4190</v>
      </c>
      <c r="G54" s="2"/>
      <c r="H54" s="2"/>
      <c r="I54" s="2"/>
    </row>
    <row r="55" spans="1:9" x14ac:dyDescent="0.25">
      <c r="A55" s="2" t="s">
        <v>2919</v>
      </c>
      <c r="B55" s="2" t="s">
        <v>2964</v>
      </c>
      <c r="C55" s="2" t="s">
        <v>4198</v>
      </c>
      <c r="D55" s="2" t="s">
        <v>4188</v>
      </c>
      <c r="E55" s="2" t="s">
        <v>4193</v>
      </c>
      <c r="F55" s="2" t="s">
        <v>4191</v>
      </c>
      <c r="G55" s="2"/>
      <c r="H55" s="2"/>
      <c r="I55" s="2"/>
    </row>
    <row r="56" spans="1:9" x14ac:dyDescent="0.25">
      <c r="A56" s="2" t="s">
        <v>2925</v>
      </c>
      <c r="B56" s="2" t="s">
        <v>2968</v>
      </c>
      <c r="C56" s="2" t="s">
        <v>4198</v>
      </c>
      <c r="D56" s="2" t="s">
        <v>4188</v>
      </c>
      <c r="E56" s="2" t="s">
        <v>4193</v>
      </c>
      <c r="F56" s="2" t="s">
        <v>4192</v>
      </c>
      <c r="G56" s="2"/>
      <c r="H56" s="2"/>
      <c r="I56" s="2"/>
    </row>
    <row r="57" spans="1:9" x14ac:dyDescent="0.25">
      <c r="A57" s="2" t="s">
        <v>2908</v>
      </c>
      <c r="B57" s="2" t="s">
        <v>2957</v>
      </c>
      <c r="C57" s="2" t="s">
        <v>11</v>
      </c>
      <c r="D57" s="2" t="s">
        <v>4219</v>
      </c>
      <c r="E57" s="2" t="s">
        <v>4220</v>
      </c>
      <c r="F57" s="2" t="s">
        <v>4189</v>
      </c>
      <c r="G57" s="2"/>
      <c r="H57" s="2"/>
      <c r="I57" s="2"/>
    </row>
    <row r="58" spans="1:9" x14ac:dyDescent="0.25">
      <c r="A58" s="2" t="s">
        <v>4373</v>
      </c>
      <c r="B58" s="2" t="s">
        <v>4369</v>
      </c>
      <c r="C58" s="2" t="s">
        <v>4198</v>
      </c>
      <c r="D58" s="2" t="s">
        <v>4199</v>
      </c>
      <c r="E58" s="2" t="s">
        <v>4200</v>
      </c>
      <c r="F58" s="2" t="s">
        <v>4189</v>
      </c>
      <c r="G58" s="2"/>
      <c r="H58" s="2"/>
      <c r="I58" s="2"/>
    </row>
    <row r="59" spans="1:9" x14ac:dyDescent="0.25">
      <c r="A59" s="2" t="s">
        <v>4372</v>
      </c>
      <c r="B59" s="2" t="s">
        <v>4371</v>
      </c>
      <c r="C59" s="2" t="s">
        <v>4198</v>
      </c>
      <c r="D59" s="2" t="s">
        <v>4188</v>
      </c>
      <c r="E59" s="2" t="s">
        <v>4193</v>
      </c>
      <c r="F59" s="2" t="s">
        <v>4189</v>
      </c>
      <c r="G59" s="2"/>
      <c r="H59" s="2"/>
      <c r="I59" s="2"/>
    </row>
    <row r="60" spans="1:9" x14ac:dyDescent="0.25">
      <c r="A60" s="2" t="s">
        <v>4374</v>
      </c>
      <c r="B60" s="2" t="s">
        <v>4370</v>
      </c>
      <c r="C60" s="2" t="s">
        <v>4198</v>
      </c>
      <c r="D60" s="2" t="s">
        <v>4207</v>
      </c>
      <c r="E60" s="2" t="s">
        <v>4208</v>
      </c>
      <c r="F60" s="2" t="s">
        <v>4189</v>
      </c>
      <c r="G60" s="2"/>
      <c r="H60" s="2"/>
      <c r="I60" s="2"/>
    </row>
    <row r="61" spans="1:9" x14ac:dyDescent="0.25">
      <c r="A61" s="2" t="s">
        <v>4378</v>
      </c>
      <c r="B61" s="2" t="s">
        <v>4381</v>
      </c>
      <c r="C61" s="2" t="s">
        <v>4198</v>
      </c>
      <c r="D61" s="2" t="s">
        <v>4188</v>
      </c>
      <c r="E61" s="2" t="s">
        <v>4193</v>
      </c>
      <c r="F61" s="2" t="s">
        <v>4216</v>
      </c>
      <c r="G61" s="2"/>
      <c r="H61" s="2"/>
      <c r="I61" s="2"/>
    </row>
    <row r="62" spans="1:9" x14ac:dyDescent="0.25">
      <c r="A62" s="2" t="s">
        <v>4379</v>
      </c>
      <c r="B62" s="2" t="s">
        <v>4382</v>
      </c>
      <c r="C62" s="2" t="s">
        <v>4198</v>
      </c>
      <c r="D62" s="2" t="s">
        <v>4188</v>
      </c>
      <c r="E62" s="2" t="s">
        <v>4193</v>
      </c>
      <c r="F62" s="2" t="s">
        <v>4217</v>
      </c>
      <c r="G62" s="2"/>
      <c r="H62" s="2"/>
      <c r="I62" s="2"/>
    </row>
    <row r="63" spans="1:9" x14ac:dyDescent="0.25">
      <c r="A63" s="2" t="s">
        <v>4380</v>
      </c>
      <c r="B63" s="2" t="s">
        <v>4383</v>
      </c>
      <c r="C63" s="2" t="s">
        <v>4198</v>
      </c>
      <c r="D63" s="2" t="s">
        <v>4188</v>
      </c>
      <c r="E63" s="2" t="s">
        <v>4193</v>
      </c>
      <c r="F63" s="2" t="s">
        <v>4218</v>
      </c>
      <c r="G63" s="2"/>
      <c r="H63" s="2"/>
      <c r="I63" s="2"/>
    </row>
    <row r="188" spans="2:2" x14ac:dyDescent="0.25"/>
    <row r="190" spans="2:2" x14ac:dyDescent="0.25"/>
    <row r="192" spans="2:2" x14ac:dyDescent="0.25"/>
    <row r="250" spans="2:2" x14ac:dyDescent="0.25"/>
    <row r="251" spans="2:2" x14ac:dyDescent="0.25"/>
  </sheetData>
  <autoFilter ref="A1:H1" xr:uid="{14DC7DD0-F326-4E85-8913-B16C8BC52F27}">
    <sortState xmlns:xlrd2="http://schemas.microsoft.com/office/spreadsheetml/2017/richdata2" ref="A2:H51">
      <sortCondition ref="B1"/>
    </sortState>
  </autoFilter>
  <phoneticPr fontId="45" type="noConversion"/>
  <pageMargins left="0.511811024" right="0.511811024" top="0.78740157499999996" bottom="0.78740157499999996" header="0.31496062000000002" footer="0.31496062000000002"/>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CFBE-76D0-4FE3-A7F0-07EBD5E74904}">
  <sheetPr codeName="Planilha4">
    <tabColor rgb="FFC00000"/>
  </sheetPr>
  <dimension ref="A1:B101"/>
  <sheetViews>
    <sheetView topLeftCell="A61" workbookViewId="0">
      <selection activeCell="B101" sqref="B101"/>
    </sheetView>
  </sheetViews>
  <sheetFormatPr defaultRowHeight="15" x14ac:dyDescent="0.25"/>
  <cols>
    <col min="1" max="1" width="26.140625" customWidth="1"/>
    <col min="2" max="2" width="45.85546875" customWidth="1"/>
  </cols>
  <sheetData>
    <row r="1" spans="1:2" x14ac:dyDescent="0.25">
      <c r="A1" s="1" t="s">
        <v>0</v>
      </c>
      <c r="B1" s="1" t="s">
        <v>1</v>
      </c>
    </row>
    <row r="2" spans="1:2" x14ac:dyDescent="0.25">
      <c r="A2" s="99">
        <v>90</v>
      </c>
      <c r="B2" s="99" t="s">
        <v>460</v>
      </c>
    </row>
    <row r="3" spans="1:2" x14ac:dyDescent="0.25">
      <c r="A3" s="99" t="s">
        <v>4253</v>
      </c>
      <c r="B3" s="99" t="s">
        <v>1282</v>
      </c>
    </row>
    <row r="4" spans="1:2" x14ac:dyDescent="0.25">
      <c r="A4" s="99" t="s">
        <v>4254</v>
      </c>
      <c r="B4" s="99" t="s">
        <v>74</v>
      </c>
    </row>
    <row r="5" spans="1:2" x14ac:dyDescent="0.25">
      <c r="A5" s="99" t="s">
        <v>4255</v>
      </c>
      <c r="B5" s="99" t="s">
        <v>76</v>
      </c>
    </row>
    <row r="6" spans="1:2" x14ac:dyDescent="0.25">
      <c r="A6" s="99" t="s">
        <v>4256</v>
      </c>
      <c r="B6" s="99" t="s">
        <v>78</v>
      </c>
    </row>
    <row r="7" spans="1:2" x14ac:dyDescent="0.25">
      <c r="A7" s="99" t="s">
        <v>4257</v>
      </c>
      <c r="B7" s="99" t="s">
        <v>80</v>
      </c>
    </row>
    <row r="8" spans="1:2" x14ac:dyDescent="0.25">
      <c r="A8" s="99" t="s">
        <v>4258</v>
      </c>
      <c r="B8" s="99" t="s">
        <v>135</v>
      </c>
    </row>
    <row r="9" spans="1:2" x14ac:dyDescent="0.25">
      <c r="A9" s="99" t="s">
        <v>4259</v>
      </c>
      <c r="B9" s="99" t="s">
        <v>135</v>
      </c>
    </row>
    <row r="10" spans="1:2" x14ac:dyDescent="0.25">
      <c r="A10" s="99" t="s">
        <v>4260</v>
      </c>
      <c r="B10" s="100" t="s">
        <v>144</v>
      </c>
    </row>
    <row r="11" spans="1:2" x14ac:dyDescent="0.25">
      <c r="A11" s="99" t="s">
        <v>4261</v>
      </c>
      <c r="B11" s="100" t="s">
        <v>146</v>
      </c>
    </row>
    <row r="12" spans="1:2" x14ac:dyDescent="0.25">
      <c r="A12" s="99" t="s">
        <v>4262</v>
      </c>
      <c r="B12" s="2" t="s">
        <v>141</v>
      </c>
    </row>
    <row r="13" spans="1:2" x14ac:dyDescent="0.25">
      <c r="A13" s="99" t="s">
        <v>4263</v>
      </c>
      <c r="B13" s="2" t="s">
        <v>154</v>
      </c>
    </row>
    <row r="14" spans="1:2" x14ac:dyDescent="0.25">
      <c r="A14" s="99" t="s">
        <v>171</v>
      </c>
      <c r="B14" s="99" t="s">
        <v>183</v>
      </c>
    </row>
    <row r="15" spans="1:2" x14ac:dyDescent="0.25">
      <c r="A15" s="99" t="s">
        <v>4264</v>
      </c>
      <c r="B15" s="99" t="s">
        <v>197</v>
      </c>
    </row>
    <row r="16" spans="1:2" x14ac:dyDescent="0.25">
      <c r="A16" s="99" t="s">
        <v>4265</v>
      </c>
      <c r="B16" s="99" t="s">
        <v>198</v>
      </c>
    </row>
    <row r="17" spans="1:2" x14ac:dyDescent="0.25">
      <c r="A17" s="99" t="s">
        <v>4266</v>
      </c>
      <c r="B17" s="100" t="s">
        <v>243</v>
      </c>
    </row>
    <row r="18" spans="1:2" x14ac:dyDescent="0.25">
      <c r="A18" s="99" t="s">
        <v>4267</v>
      </c>
      <c r="B18" s="100" t="s">
        <v>245</v>
      </c>
    </row>
    <row r="19" spans="1:2" x14ac:dyDescent="0.25">
      <c r="A19" s="99" t="s">
        <v>4268</v>
      </c>
      <c r="B19" s="2" t="s">
        <v>195</v>
      </c>
    </row>
    <row r="20" spans="1:2" x14ac:dyDescent="0.25">
      <c r="A20" s="99" t="s">
        <v>276</v>
      </c>
      <c r="B20" s="2" t="s">
        <v>2830</v>
      </c>
    </row>
    <row r="21" spans="1:2" x14ac:dyDescent="0.25">
      <c r="A21" s="99" t="s">
        <v>4269</v>
      </c>
      <c r="B21" s="2" t="s">
        <v>275</v>
      </c>
    </row>
    <row r="22" spans="1:2" x14ac:dyDescent="0.25">
      <c r="A22" s="99" t="s">
        <v>278</v>
      </c>
      <c r="B22" s="2" t="s">
        <v>2831</v>
      </c>
    </row>
    <row r="23" spans="1:2" x14ac:dyDescent="0.25">
      <c r="A23" s="99" t="s">
        <v>4270</v>
      </c>
      <c r="B23" s="2">
        <v>67</v>
      </c>
    </row>
    <row r="24" spans="1:2" x14ac:dyDescent="0.25">
      <c r="A24" s="99" t="s">
        <v>4271</v>
      </c>
      <c r="B24" s="2" t="s">
        <v>300</v>
      </c>
    </row>
    <row r="25" spans="1:2" x14ac:dyDescent="0.25">
      <c r="A25" s="99" t="s">
        <v>4272</v>
      </c>
      <c r="B25" s="2" t="s">
        <v>300</v>
      </c>
    </row>
    <row r="26" spans="1:2" x14ac:dyDescent="0.25">
      <c r="A26" s="99" t="s">
        <v>4273</v>
      </c>
      <c r="B26" s="99" t="s">
        <v>383</v>
      </c>
    </row>
    <row r="27" spans="1:2" x14ac:dyDescent="0.25">
      <c r="A27" s="99" t="s">
        <v>4274</v>
      </c>
      <c r="B27" s="99" t="s">
        <v>384</v>
      </c>
    </row>
    <row r="28" spans="1:2" x14ac:dyDescent="0.25">
      <c r="A28" s="99" t="s">
        <v>4275</v>
      </c>
      <c r="B28" s="2" t="s">
        <v>377</v>
      </c>
    </row>
    <row r="29" spans="1:2" x14ac:dyDescent="0.25">
      <c r="A29" s="99" t="s">
        <v>4276</v>
      </c>
      <c r="B29" s="2" t="s">
        <v>848</v>
      </c>
    </row>
    <row r="30" spans="1:2" x14ac:dyDescent="0.25">
      <c r="A30" s="99" t="s">
        <v>4277</v>
      </c>
      <c r="B30" s="99">
        <v>86</v>
      </c>
    </row>
    <row r="31" spans="1:2" x14ac:dyDescent="0.25">
      <c r="A31" s="99" t="s">
        <v>4278</v>
      </c>
      <c r="B31" s="2" t="s">
        <v>417</v>
      </c>
    </row>
    <row r="32" spans="1:2" x14ac:dyDescent="0.25">
      <c r="A32" s="99" t="s">
        <v>1128</v>
      </c>
      <c r="B32" s="101" t="s">
        <v>4326</v>
      </c>
    </row>
    <row r="33" spans="1:2" x14ac:dyDescent="0.25">
      <c r="A33" s="99" t="s">
        <v>4280</v>
      </c>
      <c r="B33" s="2" t="s">
        <v>1084</v>
      </c>
    </row>
    <row r="34" spans="1:2" x14ac:dyDescent="0.25">
      <c r="A34" s="99" t="s">
        <v>4281</v>
      </c>
      <c r="B34" s="99" t="s">
        <v>470</v>
      </c>
    </row>
    <row r="35" spans="1:2" x14ac:dyDescent="0.25">
      <c r="A35" s="99" t="s">
        <v>4282</v>
      </c>
      <c r="B35" s="99" t="s">
        <v>472</v>
      </c>
    </row>
    <row r="36" spans="1:2" x14ac:dyDescent="0.25">
      <c r="A36" s="99" t="s">
        <v>4283</v>
      </c>
      <c r="B36" s="99" t="s">
        <v>473</v>
      </c>
    </row>
    <row r="37" spans="1:2" x14ac:dyDescent="0.25">
      <c r="A37" s="99" t="s">
        <v>4284</v>
      </c>
      <c r="B37" s="99" t="s">
        <v>474</v>
      </c>
    </row>
    <row r="38" spans="1:2" x14ac:dyDescent="0.25">
      <c r="A38" s="99" t="s">
        <v>4285</v>
      </c>
      <c r="B38" s="99" t="s">
        <v>475</v>
      </c>
    </row>
    <row r="39" spans="1:2" x14ac:dyDescent="0.25">
      <c r="A39" s="99" t="s">
        <v>4225</v>
      </c>
      <c r="B39" s="99" t="s">
        <v>565</v>
      </c>
    </row>
    <row r="40" spans="1:2" x14ac:dyDescent="0.25">
      <c r="A40" s="99" t="s">
        <v>4286</v>
      </c>
      <c r="B40" s="2" t="s">
        <v>541</v>
      </c>
    </row>
    <row r="41" spans="1:2" x14ac:dyDescent="0.25">
      <c r="A41" s="99" t="s">
        <v>4287</v>
      </c>
      <c r="B41" s="101" t="s">
        <v>4326</v>
      </c>
    </row>
    <row r="42" spans="1:2" x14ac:dyDescent="0.25">
      <c r="A42" s="99" t="s">
        <v>4288</v>
      </c>
      <c r="B42" s="2" t="s">
        <v>609</v>
      </c>
    </row>
    <row r="43" spans="1:2" x14ac:dyDescent="0.25">
      <c r="A43" s="99" t="s">
        <v>4289</v>
      </c>
      <c r="B43" s="2" t="s">
        <v>848</v>
      </c>
    </row>
    <row r="44" spans="1:2" x14ac:dyDescent="0.25">
      <c r="A44" s="99" t="s">
        <v>4290</v>
      </c>
      <c r="B44" s="99" t="s">
        <v>356</v>
      </c>
    </row>
    <row r="45" spans="1:2" x14ac:dyDescent="0.25">
      <c r="A45" s="99" t="s">
        <v>4291</v>
      </c>
      <c r="B45" s="5" t="s">
        <v>825</v>
      </c>
    </row>
    <row r="46" spans="1:2" x14ac:dyDescent="0.25">
      <c r="A46" s="99" t="s">
        <v>4292</v>
      </c>
      <c r="B46" s="5" t="s">
        <v>825</v>
      </c>
    </row>
    <row r="47" spans="1:2" x14ac:dyDescent="0.25">
      <c r="A47" s="99" t="s">
        <v>4293</v>
      </c>
      <c r="B47" s="99" t="s">
        <v>609</v>
      </c>
    </row>
    <row r="48" spans="1:2" x14ac:dyDescent="0.25">
      <c r="A48" s="99" t="s">
        <v>4294</v>
      </c>
      <c r="B48" s="2" t="s">
        <v>828</v>
      </c>
    </row>
    <row r="49" spans="1:2" x14ac:dyDescent="0.25">
      <c r="A49" s="99" t="s">
        <v>4295</v>
      </c>
      <c r="B49" s="2" t="s">
        <v>183</v>
      </c>
    </row>
    <row r="50" spans="1:2" x14ac:dyDescent="0.25">
      <c r="A50" s="99" t="s">
        <v>4296</v>
      </c>
      <c r="B50" s="99"/>
    </row>
    <row r="51" spans="1:2" x14ac:dyDescent="0.25">
      <c r="A51" s="99" t="s">
        <v>4297</v>
      </c>
      <c r="B51" s="2" t="s">
        <v>615</v>
      </c>
    </row>
    <row r="52" spans="1:2" x14ac:dyDescent="0.25">
      <c r="A52" s="99" t="s">
        <v>4298</v>
      </c>
      <c r="B52" s="99" t="s">
        <v>450</v>
      </c>
    </row>
    <row r="53" spans="1:2" x14ac:dyDescent="0.25">
      <c r="A53" s="99" t="s">
        <v>4299</v>
      </c>
      <c r="B53" s="2" t="s">
        <v>685</v>
      </c>
    </row>
    <row r="54" spans="1:2" x14ac:dyDescent="0.25">
      <c r="A54" s="99" t="s">
        <v>4300</v>
      </c>
      <c r="B54" s="2" t="s">
        <v>711</v>
      </c>
    </row>
    <row r="55" spans="1:2" x14ac:dyDescent="0.25">
      <c r="A55" s="99" t="s">
        <v>4301</v>
      </c>
      <c r="B55" s="2" t="s">
        <v>711</v>
      </c>
    </row>
    <row r="56" spans="1:2" x14ac:dyDescent="0.25">
      <c r="A56" s="99" t="s">
        <v>4302</v>
      </c>
      <c r="B56" s="2" t="s">
        <v>711</v>
      </c>
    </row>
    <row r="57" spans="1:2" x14ac:dyDescent="0.25">
      <c r="A57" s="2" t="s">
        <v>4303</v>
      </c>
      <c r="B57" s="2" t="s">
        <v>751</v>
      </c>
    </row>
    <row r="58" spans="1:2" x14ac:dyDescent="0.25">
      <c r="A58" s="99" t="s">
        <v>4304</v>
      </c>
      <c r="B58" s="2" t="s">
        <v>742</v>
      </c>
    </row>
    <row r="59" spans="1:2" x14ac:dyDescent="0.25">
      <c r="A59" s="99" t="s">
        <v>4305</v>
      </c>
      <c r="B59" s="2" t="s">
        <v>744</v>
      </c>
    </row>
    <row r="60" spans="1:2" x14ac:dyDescent="0.25">
      <c r="A60" s="99" t="s">
        <v>4306</v>
      </c>
      <c r="B60" s="2" t="s">
        <v>759</v>
      </c>
    </row>
    <row r="61" spans="1:2" x14ac:dyDescent="0.25">
      <c r="A61" s="99" t="s">
        <v>2884</v>
      </c>
      <c r="B61" s="99" t="s">
        <v>880</v>
      </c>
    </row>
    <row r="62" spans="1:2" x14ac:dyDescent="0.25">
      <c r="A62" s="99" t="s">
        <v>4307</v>
      </c>
      <c r="B62" s="99" t="s">
        <v>461</v>
      </c>
    </row>
    <row r="63" spans="1:2" x14ac:dyDescent="0.25">
      <c r="A63" s="99" t="s">
        <v>4222</v>
      </c>
      <c r="B63" s="101" t="s">
        <v>4326</v>
      </c>
    </row>
    <row r="64" spans="1:2" x14ac:dyDescent="0.25">
      <c r="A64" s="99" t="s">
        <v>4308</v>
      </c>
      <c r="B64" s="5" t="s">
        <v>1213</v>
      </c>
    </row>
    <row r="65" spans="1:2" x14ac:dyDescent="0.25">
      <c r="A65" s="99" t="s">
        <v>4309</v>
      </c>
      <c r="B65" s="2" t="s">
        <v>924</v>
      </c>
    </row>
    <row r="66" spans="1:2" x14ac:dyDescent="0.25">
      <c r="A66" s="99" t="s">
        <v>4310</v>
      </c>
      <c r="B66" s="2" t="s">
        <v>922</v>
      </c>
    </row>
    <row r="67" spans="1:2" x14ac:dyDescent="0.25">
      <c r="A67" s="99" t="s">
        <v>1132</v>
      </c>
      <c r="B67" s="99" t="s">
        <v>966</v>
      </c>
    </row>
    <row r="68" spans="1:2" x14ac:dyDescent="0.25">
      <c r="A68" s="99" t="s">
        <v>1133</v>
      </c>
      <c r="B68" s="99" t="s">
        <v>966</v>
      </c>
    </row>
    <row r="69" spans="1:2" x14ac:dyDescent="0.25">
      <c r="A69" s="99" t="s">
        <v>1134</v>
      </c>
      <c r="B69" s="99" t="s">
        <v>966</v>
      </c>
    </row>
    <row r="70" spans="1:2" x14ac:dyDescent="0.25">
      <c r="A70" s="99" t="s">
        <v>4311</v>
      </c>
      <c r="B70" s="2" t="s">
        <v>979</v>
      </c>
    </row>
    <row r="71" spans="1:2" x14ac:dyDescent="0.25">
      <c r="A71" s="99" t="s">
        <v>1135</v>
      </c>
      <c r="B71" s="99" t="s">
        <v>966</v>
      </c>
    </row>
    <row r="72" spans="1:2" x14ac:dyDescent="0.25">
      <c r="A72" s="99" t="s">
        <v>1136</v>
      </c>
      <c r="B72" s="99" t="s">
        <v>966</v>
      </c>
    </row>
    <row r="73" spans="1:2" x14ac:dyDescent="0.25">
      <c r="A73" s="99" t="s">
        <v>4312</v>
      </c>
      <c r="B73" s="99" t="s">
        <v>1229</v>
      </c>
    </row>
    <row r="74" spans="1:2" x14ac:dyDescent="0.25">
      <c r="A74" s="99" t="s">
        <v>4313</v>
      </c>
      <c r="B74" s="99" t="s">
        <v>464</v>
      </c>
    </row>
    <row r="75" spans="1:2" x14ac:dyDescent="0.25">
      <c r="A75" s="99" t="s">
        <v>4314</v>
      </c>
      <c r="B75" s="99" t="s">
        <v>986</v>
      </c>
    </row>
    <row r="76" spans="1:2" x14ac:dyDescent="0.25">
      <c r="A76" s="99" t="s">
        <v>989</v>
      </c>
      <c r="B76" s="101" t="s">
        <v>4326</v>
      </c>
    </row>
    <row r="77" spans="1:2" x14ac:dyDescent="0.25">
      <c r="A77" s="99" t="s">
        <v>4315</v>
      </c>
      <c r="B77" s="2" t="s">
        <v>1035</v>
      </c>
    </row>
    <row r="78" spans="1:2" x14ac:dyDescent="0.25">
      <c r="A78" s="99" t="s">
        <v>4316</v>
      </c>
      <c r="B78" s="2" t="s">
        <v>692</v>
      </c>
    </row>
    <row r="79" spans="1:2" x14ac:dyDescent="0.25">
      <c r="A79" s="99" t="s">
        <v>4317</v>
      </c>
      <c r="B79" s="2" t="s">
        <v>974</v>
      </c>
    </row>
    <row r="80" spans="1:2" x14ac:dyDescent="0.25">
      <c r="A80" s="99" t="s">
        <v>4318</v>
      </c>
      <c r="B80" s="99" t="s">
        <v>1055</v>
      </c>
    </row>
    <row r="81" spans="1:2" x14ac:dyDescent="0.25">
      <c r="A81" s="99" t="s">
        <v>4319</v>
      </c>
      <c r="B81" s="2" t="s">
        <v>1068</v>
      </c>
    </row>
    <row r="82" spans="1:2" x14ac:dyDescent="0.25">
      <c r="A82" s="99" t="s">
        <v>4320</v>
      </c>
      <c r="B82" s="101" t="s">
        <v>4279</v>
      </c>
    </row>
    <row r="83" spans="1:2" x14ac:dyDescent="0.25">
      <c r="A83" s="99" t="s">
        <v>4321</v>
      </c>
      <c r="B83" s="101" t="s">
        <v>4279</v>
      </c>
    </row>
    <row r="84" spans="1:2" x14ac:dyDescent="0.25">
      <c r="A84" s="99" t="s">
        <v>4322</v>
      </c>
      <c r="B84" s="2" t="s">
        <v>1084</v>
      </c>
    </row>
    <row r="85" spans="1:2" x14ac:dyDescent="0.25">
      <c r="A85" s="99" t="s">
        <v>4323</v>
      </c>
      <c r="B85" s="2" t="s">
        <v>2819</v>
      </c>
    </row>
    <row r="86" spans="1:2" x14ac:dyDescent="0.25">
      <c r="A86" s="99" t="s">
        <v>4248</v>
      </c>
      <c r="B86" s="101" t="s">
        <v>157</v>
      </c>
    </row>
    <row r="87" spans="1:2" x14ac:dyDescent="0.25">
      <c r="A87" s="99">
        <v>94</v>
      </c>
      <c r="B87" s="99" t="s">
        <v>1084</v>
      </c>
    </row>
    <row r="88" spans="1:2" x14ac:dyDescent="0.25">
      <c r="A88" s="99" t="s">
        <v>4324</v>
      </c>
      <c r="B88" s="99" t="s">
        <v>1084</v>
      </c>
    </row>
    <row r="89" spans="1:2" x14ac:dyDescent="0.25">
      <c r="A89" s="99" t="s">
        <v>4325</v>
      </c>
      <c r="B89" s="99" t="s">
        <v>1084</v>
      </c>
    </row>
    <row r="90" spans="1:2" x14ac:dyDescent="0.25">
      <c r="A90" s="99" t="s">
        <v>182</v>
      </c>
      <c r="B90" s="99" t="s">
        <v>183</v>
      </c>
    </row>
    <row r="91" spans="1:2" x14ac:dyDescent="0.25">
      <c r="A91" s="99" t="s">
        <v>4327</v>
      </c>
      <c r="B91" s="99" t="s">
        <v>817</v>
      </c>
    </row>
    <row r="92" spans="1:2" x14ac:dyDescent="0.25">
      <c r="A92" s="99" t="s">
        <v>4328</v>
      </c>
      <c r="B92" s="99" t="s">
        <v>135</v>
      </c>
    </row>
    <row r="93" spans="1:2" x14ac:dyDescent="0.25">
      <c r="A93" s="99" t="s">
        <v>4329</v>
      </c>
      <c r="B93" s="99" t="s">
        <v>907</v>
      </c>
    </row>
    <row r="94" spans="1:2" x14ac:dyDescent="0.25">
      <c r="A94" s="99" t="s">
        <v>4330</v>
      </c>
      <c r="B94" s="99">
        <v>61</v>
      </c>
    </row>
    <row r="95" spans="1:2" x14ac:dyDescent="0.25">
      <c r="A95" s="99" t="s">
        <v>4333</v>
      </c>
      <c r="B95" s="94" t="s">
        <v>751</v>
      </c>
    </row>
    <row r="96" spans="1:2" x14ac:dyDescent="0.25">
      <c r="A96" s="99" t="s">
        <v>4340</v>
      </c>
      <c r="B96" s="99" t="s">
        <v>4341</v>
      </c>
    </row>
    <row r="97" spans="1:2" x14ac:dyDescent="0.25">
      <c r="A97" s="99" t="s">
        <v>715</v>
      </c>
      <c r="B97" s="99" t="s">
        <v>4341</v>
      </c>
    </row>
    <row r="98" spans="1:2" x14ac:dyDescent="0.25">
      <c r="A98" s="99" t="s">
        <v>4342</v>
      </c>
      <c r="B98" s="99" t="s">
        <v>4343</v>
      </c>
    </row>
    <row r="99" spans="1:2" x14ac:dyDescent="0.25">
      <c r="A99" s="99" t="s">
        <v>4344</v>
      </c>
      <c r="B99" s="99" t="s">
        <v>774</v>
      </c>
    </row>
    <row r="100" spans="1:2" x14ac:dyDescent="0.25">
      <c r="A100" s="99" t="s">
        <v>4368</v>
      </c>
      <c r="B100" s="99" t="s">
        <v>774</v>
      </c>
    </row>
    <row r="101" spans="1:2" x14ac:dyDescent="0.25">
      <c r="A101" s="99"/>
      <c r="B101" s="99"/>
    </row>
  </sheetData>
  <autoFilter ref="A1:B1" xr:uid="{8A3ACFBE-76D0-4FE3-A7F0-07EBD5E74904}"/>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AE079-89E6-4B86-9736-E3B0FBCA6586}">
  <sheetPr codeName="Planilha2">
    <tabColor theme="6"/>
  </sheetPr>
  <dimension ref="A1:J27"/>
  <sheetViews>
    <sheetView topLeftCell="B1" zoomScaleNormal="100" workbookViewId="0">
      <selection activeCell="B26" sqref="A26:XFD26"/>
    </sheetView>
  </sheetViews>
  <sheetFormatPr defaultRowHeight="15" x14ac:dyDescent="0.25"/>
  <cols>
    <col min="1" max="1" width="11.85546875" style="60" bestFit="1" customWidth="1"/>
    <col min="2" max="2" width="10.42578125" style="60" bestFit="1" customWidth="1"/>
    <col min="3" max="3" width="19.140625" style="60" bestFit="1" customWidth="1"/>
    <col min="4" max="4" width="62.5703125" style="60" bestFit="1" customWidth="1"/>
    <col min="5" max="5" width="17.85546875" style="60" bestFit="1" customWidth="1"/>
    <col min="6" max="6" width="9.140625" style="60"/>
    <col min="7" max="7" width="24.7109375" style="60" bestFit="1" customWidth="1"/>
    <col min="8" max="8" width="11.140625" style="60" bestFit="1" customWidth="1"/>
    <col min="9" max="9" width="10.42578125" style="60" bestFit="1" customWidth="1"/>
    <col min="10" max="10" width="19.140625" style="60" bestFit="1" customWidth="1"/>
    <col min="11" max="16384" width="9.140625" style="60"/>
  </cols>
  <sheetData>
    <row r="1" spans="1:10" x14ac:dyDescent="0.25">
      <c r="A1" s="118" t="s">
        <v>4179</v>
      </c>
      <c r="B1" s="118"/>
      <c r="C1" s="118"/>
      <c r="D1" s="118"/>
      <c r="E1" s="118"/>
      <c r="G1" s="104" t="s">
        <v>4180</v>
      </c>
      <c r="H1" s="104"/>
      <c r="I1" s="104"/>
      <c r="J1" s="104"/>
    </row>
    <row r="2" spans="1:10" x14ac:dyDescent="0.25">
      <c r="A2" s="92" t="s">
        <v>3</v>
      </c>
      <c r="B2" s="92" t="s">
        <v>7</v>
      </c>
      <c r="C2" s="92" t="s">
        <v>4133</v>
      </c>
      <c r="D2" s="92" t="s">
        <v>4134</v>
      </c>
      <c r="E2" s="92" t="s">
        <v>4135</v>
      </c>
      <c r="G2" s="92" t="s">
        <v>4131</v>
      </c>
      <c r="H2" s="92" t="s">
        <v>4132</v>
      </c>
      <c r="I2" s="92" t="s">
        <v>7</v>
      </c>
      <c r="J2" s="92" t="s">
        <v>4133</v>
      </c>
    </row>
    <row r="3" spans="1:10" x14ac:dyDescent="0.25">
      <c r="A3" s="80"/>
      <c r="B3" s="105">
        <v>1</v>
      </c>
      <c r="C3" s="107" t="s">
        <v>7</v>
      </c>
      <c r="D3" s="91" t="s">
        <v>4136</v>
      </c>
      <c r="E3" s="91" t="s">
        <v>4137</v>
      </c>
      <c r="G3" s="79" t="s">
        <v>1170</v>
      </c>
      <c r="H3" s="79" t="s">
        <v>1171</v>
      </c>
      <c r="I3" s="79">
        <v>2</v>
      </c>
      <c r="J3" s="81" t="s">
        <v>7</v>
      </c>
    </row>
    <row r="4" spans="1:10" x14ac:dyDescent="0.25">
      <c r="A4" s="7"/>
      <c r="B4" s="106"/>
      <c r="C4" s="108"/>
      <c r="D4" s="79" t="s">
        <v>4138</v>
      </c>
      <c r="E4" s="79" t="s">
        <v>4139</v>
      </c>
      <c r="G4" s="79" t="s">
        <v>1172</v>
      </c>
      <c r="H4" s="79" t="s">
        <v>1173</v>
      </c>
      <c r="I4" s="79">
        <v>3</v>
      </c>
      <c r="J4" s="82" t="s">
        <v>7</v>
      </c>
    </row>
    <row r="5" spans="1:10" x14ac:dyDescent="0.25">
      <c r="A5" s="7" t="s">
        <v>1171</v>
      </c>
      <c r="B5" s="7">
        <v>2</v>
      </c>
      <c r="C5" s="81" t="s">
        <v>7</v>
      </c>
      <c r="D5" s="79" t="s">
        <v>4140</v>
      </c>
      <c r="E5" s="79" t="s">
        <v>4141</v>
      </c>
      <c r="G5" s="79" t="s">
        <v>12</v>
      </c>
      <c r="H5" s="79" t="s">
        <v>1174</v>
      </c>
      <c r="I5" s="79">
        <v>4</v>
      </c>
      <c r="J5" s="83" t="s">
        <v>7</v>
      </c>
    </row>
    <row r="6" spans="1:10" x14ac:dyDescent="0.25">
      <c r="A6" s="7" t="s">
        <v>1173</v>
      </c>
      <c r="B6" s="7">
        <v>3</v>
      </c>
      <c r="C6" s="82" t="s">
        <v>7</v>
      </c>
      <c r="D6" s="79" t="s">
        <v>4142</v>
      </c>
      <c r="E6" s="79" t="s">
        <v>4143</v>
      </c>
      <c r="G6" s="79" t="s">
        <v>123</v>
      </c>
      <c r="H6" s="79" t="s">
        <v>1175</v>
      </c>
      <c r="I6" s="79">
        <v>5</v>
      </c>
      <c r="J6" s="84" t="s">
        <v>7</v>
      </c>
    </row>
    <row r="7" spans="1:10" x14ac:dyDescent="0.25">
      <c r="A7" s="7" t="s">
        <v>1174</v>
      </c>
      <c r="B7" s="7">
        <v>4</v>
      </c>
      <c r="C7" s="83" t="s">
        <v>7</v>
      </c>
      <c r="D7" s="79" t="s">
        <v>4144</v>
      </c>
      <c r="E7" s="79" t="s">
        <v>4145</v>
      </c>
      <c r="G7" s="79" t="s">
        <v>1176</v>
      </c>
      <c r="H7" s="79" t="s">
        <v>1177</v>
      </c>
      <c r="I7" s="79">
        <v>6</v>
      </c>
      <c r="J7" s="85" t="s">
        <v>7</v>
      </c>
    </row>
    <row r="8" spans="1:10" x14ac:dyDescent="0.25">
      <c r="A8" s="7" t="s">
        <v>1175</v>
      </c>
      <c r="B8" s="7">
        <v>5</v>
      </c>
      <c r="C8" s="84" t="s">
        <v>7</v>
      </c>
      <c r="D8" s="79" t="s">
        <v>4146</v>
      </c>
      <c r="E8" s="79" t="s">
        <v>4145</v>
      </c>
      <c r="G8" s="79" t="s">
        <v>1234</v>
      </c>
      <c r="H8" s="79" t="s">
        <v>1178</v>
      </c>
      <c r="I8" s="79">
        <v>7</v>
      </c>
      <c r="J8" s="86" t="s">
        <v>7</v>
      </c>
    </row>
    <row r="9" spans="1:10" x14ac:dyDescent="0.25">
      <c r="A9" s="7" t="s">
        <v>1177</v>
      </c>
      <c r="B9" s="7">
        <v>6</v>
      </c>
      <c r="C9" s="85" t="s">
        <v>7</v>
      </c>
      <c r="D9" s="79" t="s">
        <v>4147</v>
      </c>
      <c r="E9" s="79" t="s">
        <v>4145</v>
      </c>
      <c r="G9" s="79" t="s">
        <v>35</v>
      </c>
      <c r="H9" s="79" t="s">
        <v>1179</v>
      </c>
      <c r="I9" s="79">
        <v>8</v>
      </c>
      <c r="J9" s="87" t="s">
        <v>7</v>
      </c>
    </row>
    <row r="10" spans="1:10" x14ac:dyDescent="0.25">
      <c r="A10" s="7" t="s">
        <v>1178</v>
      </c>
      <c r="B10" s="7">
        <v>7</v>
      </c>
      <c r="C10" s="86" t="s">
        <v>7</v>
      </c>
      <c r="D10" s="79" t="s">
        <v>4148</v>
      </c>
      <c r="E10" s="79" t="s">
        <v>4143</v>
      </c>
    </row>
    <row r="11" spans="1:10" x14ac:dyDescent="0.25">
      <c r="A11" s="7" t="s">
        <v>1179</v>
      </c>
      <c r="B11" s="7">
        <v>8</v>
      </c>
      <c r="C11" s="87" t="s">
        <v>7</v>
      </c>
      <c r="D11" s="79" t="s">
        <v>4149</v>
      </c>
      <c r="E11" s="79" t="s">
        <v>4145</v>
      </c>
    </row>
    <row r="12" spans="1:10" x14ac:dyDescent="0.25">
      <c r="A12" s="109" t="s">
        <v>4150</v>
      </c>
      <c r="B12" s="109">
        <v>9</v>
      </c>
      <c r="C12" s="110" t="s">
        <v>7</v>
      </c>
      <c r="D12" s="79" t="s">
        <v>4151</v>
      </c>
      <c r="E12" s="79" t="s">
        <v>4152</v>
      </c>
    </row>
    <row r="13" spans="1:10" x14ac:dyDescent="0.25">
      <c r="A13" s="105"/>
      <c r="B13" s="105"/>
      <c r="C13" s="111"/>
      <c r="D13" s="79" t="s">
        <v>4153</v>
      </c>
      <c r="E13" s="79" t="s">
        <v>4154</v>
      </c>
    </row>
    <row r="14" spans="1:10" x14ac:dyDescent="0.25">
      <c r="A14" s="106"/>
      <c r="B14" s="106"/>
      <c r="C14" s="112"/>
      <c r="D14" s="79" t="s">
        <v>4155</v>
      </c>
      <c r="E14" s="79" t="s">
        <v>4156</v>
      </c>
    </row>
    <row r="15" spans="1:10" x14ac:dyDescent="0.25">
      <c r="A15" s="7" t="s">
        <v>4157</v>
      </c>
      <c r="B15" s="109">
        <v>10</v>
      </c>
      <c r="C15" s="119" t="s">
        <v>7</v>
      </c>
      <c r="D15" s="79" t="s">
        <v>4158</v>
      </c>
      <c r="E15" s="79" t="s">
        <v>4159</v>
      </c>
    </row>
    <row r="16" spans="1:10" x14ac:dyDescent="0.25">
      <c r="A16" s="7" t="s">
        <v>4157</v>
      </c>
      <c r="B16" s="105"/>
      <c r="C16" s="120"/>
      <c r="D16" s="79" t="s">
        <v>4160</v>
      </c>
      <c r="E16" s="79" t="s">
        <v>4161</v>
      </c>
    </row>
    <row r="17" spans="1:5" x14ac:dyDescent="0.25">
      <c r="A17" s="7" t="s">
        <v>4157</v>
      </c>
      <c r="B17" s="105"/>
      <c r="C17" s="120"/>
      <c r="D17" s="79" t="s">
        <v>4162</v>
      </c>
      <c r="E17" s="79" t="s">
        <v>4163</v>
      </c>
    </row>
    <row r="18" spans="1:5" x14ac:dyDescent="0.25">
      <c r="A18" s="7" t="s">
        <v>4157</v>
      </c>
      <c r="B18" s="106"/>
      <c r="C18" s="121"/>
      <c r="D18" s="79" t="s">
        <v>4164</v>
      </c>
      <c r="E18" s="79" t="s">
        <v>4157</v>
      </c>
    </row>
    <row r="19" spans="1:5" x14ac:dyDescent="0.25">
      <c r="A19" s="7"/>
      <c r="B19" s="109">
        <v>11</v>
      </c>
      <c r="C19" s="113" t="s">
        <v>7</v>
      </c>
      <c r="D19" s="79" t="s">
        <v>4165</v>
      </c>
      <c r="E19" s="79" t="s">
        <v>4166</v>
      </c>
    </row>
    <row r="20" spans="1:5" x14ac:dyDescent="0.25">
      <c r="A20" s="7"/>
      <c r="B20" s="105"/>
      <c r="C20" s="114"/>
      <c r="D20" s="79" t="s">
        <v>4167</v>
      </c>
      <c r="E20" s="79" t="s">
        <v>4168</v>
      </c>
    </row>
    <row r="21" spans="1:5" x14ac:dyDescent="0.25">
      <c r="A21" s="7"/>
      <c r="B21" s="106"/>
      <c r="C21" s="115"/>
      <c r="D21" s="79" t="s">
        <v>4169</v>
      </c>
      <c r="E21" s="79" t="s">
        <v>4170</v>
      </c>
    </row>
    <row r="22" spans="1:5" x14ac:dyDescent="0.25">
      <c r="A22" s="7"/>
      <c r="B22" s="109">
        <v>12</v>
      </c>
      <c r="C22" s="116" t="s">
        <v>7</v>
      </c>
      <c r="D22" s="79" t="s">
        <v>4171</v>
      </c>
      <c r="E22" s="79" t="s">
        <v>4172</v>
      </c>
    </row>
    <row r="23" spans="1:5" x14ac:dyDescent="0.25">
      <c r="A23" s="7"/>
      <c r="B23" s="106"/>
      <c r="C23" s="117"/>
      <c r="D23" s="79" t="s">
        <v>4173</v>
      </c>
      <c r="E23" s="79" t="s">
        <v>4174</v>
      </c>
    </row>
    <row r="24" spans="1:5" x14ac:dyDescent="0.25">
      <c r="A24" s="7" t="s">
        <v>4157</v>
      </c>
      <c r="B24" s="7">
        <v>13</v>
      </c>
      <c r="C24" s="88" t="s">
        <v>7</v>
      </c>
      <c r="D24" s="79" t="s">
        <v>4175</v>
      </c>
      <c r="E24" s="79" t="s">
        <v>4176</v>
      </c>
    </row>
    <row r="25" spans="1:5" x14ac:dyDescent="0.25">
      <c r="A25" s="7"/>
      <c r="B25" s="7">
        <v>14</v>
      </c>
      <c r="C25" s="89" t="s">
        <v>7</v>
      </c>
      <c r="D25" s="79" t="s">
        <v>4177</v>
      </c>
      <c r="E25" s="79"/>
    </row>
    <row r="26" spans="1:5" x14ac:dyDescent="0.25">
      <c r="A26" s="7"/>
      <c r="B26" s="7">
        <v>15</v>
      </c>
      <c r="C26" s="89" t="s">
        <v>7</v>
      </c>
      <c r="D26" s="79"/>
      <c r="E26" s="79"/>
    </row>
    <row r="27" spans="1:5" x14ac:dyDescent="0.25">
      <c r="A27" s="7" t="s">
        <v>4157</v>
      </c>
      <c r="B27" s="7">
        <v>16</v>
      </c>
      <c r="C27" s="90" t="s">
        <v>7</v>
      </c>
      <c r="D27" s="79" t="s">
        <v>4178</v>
      </c>
      <c r="E27" s="79"/>
    </row>
  </sheetData>
  <mergeCells count="13">
    <mergeCell ref="B19:B21"/>
    <mergeCell ref="C19:C21"/>
    <mergeCell ref="B22:B23"/>
    <mergeCell ref="C22:C23"/>
    <mergeCell ref="A1:E1"/>
    <mergeCell ref="B15:B18"/>
    <mergeCell ref="C15:C18"/>
    <mergeCell ref="G1:J1"/>
    <mergeCell ref="B3:B4"/>
    <mergeCell ref="C3:C4"/>
    <mergeCell ref="A12:A14"/>
    <mergeCell ref="B12:B14"/>
    <mergeCell ref="C12:C14"/>
  </mergeCells>
  <conditionalFormatting sqref="A2:E2">
    <cfRule type="duplicateValues" dxfId="8" priority="80"/>
  </conditionalFormatting>
  <conditionalFormatting sqref="G2:J2">
    <cfRule type="duplicateValues" dxfId="7" priority="1"/>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74A9A-27D9-4DCA-8B9F-F6B8766CA9FF}">
  <sheetPr codeName="Planilha5">
    <tabColor rgb="FFFFC000"/>
  </sheetPr>
  <dimension ref="A1:D110"/>
  <sheetViews>
    <sheetView workbookViewId="0">
      <selection activeCell="C836" sqref="C836"/>
    </sheetView>
  </sheetViews>
  <sheetFormatPr defaultRowHeight="14.25" x14ac:dyDescent="0.2"/>
  <cols>
    <col min="1" max="1" width="23" style="11" bestFit="1" customWidth="1"/>
    <col min="2" max="2" width="13.28515625" style="11" bestFit="1" customWidth="1"/>
    <col min="3" max="3" width="42.85546875" style="11" bestFit="1" customWidth="1"/>
    <col min="4" max="4" width="73.7109375" style="11" customWidth="1"/>
    <col min="5" max="5" width="12.7109375" style="11" customWidth="1"/>
    <col min="6" max="6" width="20.7109375" style="11" customWidth="1"/>
    <col min="7" max="7" width="23" style="11" customWidth="1"/>
    <col min="8" max="8" width="9.140625" style="11"/>
    <col min="9" max="9" width="22.140625" style="11" bestFit="1" customWidth="1"/>
    <col min="10" max="10" width="23.5703125" style="11" bestFit="1" customWidth="1"/>
    <col min="11" max="16384" width="9.140625" style="11"/>
  </cols>
  <sheetData>
    <row r="1" spans="1:4" ht="15.75" thickBot="1" x14ac:dyDescent="0.25">
      <c r="A1" s="9" t="s">
        <v>1288</v>
      </c>
      <c r="B1" s="10" t="s">
        <v>1289</v>
      </c>
      <c r="C1" s="10" t="s">
        <v>1290</v>
      </c>
      <c r="D1" s="10" t="s">
        <v>1291</v>
      </c>
    </row>
    <row r="2" spans="1:4" ht="27.75" customHeight="1" x14ac:dyDescent="0.2">
      <c r="A2" s="12" t="s">
        <v>11</v>
      </c>
      <c r="B2" s="130" t="s">
        <v>1292</v>
      </c>
      <c r="C2" s="136" t="s">
        <v>1293</v>
      </c>
      <c r="D2" s="132" t="s">
        <v>1294</v>
      </c>
    </row>
    <row r="3" spans="1:4" ht="15" thickBot="1" x14ac:dyDescent="0.25">
      <c r="A3" s="13" t="s">
        <v>1295</v>
      </c>
      <c r="B3" s="131"/>
      <c r="C3" s="137"/>
      <c r="D3" s="133"/>
    </row>
    <row r="4" spans="1:4" x14ac:dyDescent="0.2">
      <c r="A4" s="12" t="s">
        <v>708</v>
      </c>
      <c r="B4" s="130" t="s">
        <v>708</v>
      </c>
      <c r="C4" s="15" t="s">
        <v>1296</v>
      </c>
      <c r="D4" s="132" t="s">
        <v>1297</v>
      </c>
    </row>
    <row r="5" spans="1:4" ht="15.75" thickBot="1" x14ac:dyDescent="0.25">
      <c r="A5" s="16" t="s">
        <v>1298</v>
      </c>
      <c r="B5" s="131"/>
      <c r="C5" s="17" t="s">
        <v>1299</v>
      </c>
      <c r="D5" s="133"/>
    </row>
    <row r="6" spans="1:4" x14ac:dyDescent="0.2">
      <c r="A6" s="12" t="s">
        <v>1300</v>
      </c>
      <c r="B6" s="130" t="s">
        <v>1301</v>
      </c>
      <c r="C6" s="18" t="s">
        <v>1296</v>
      </c>
      <c r="D6" s="132" t="s">
        <v>1302</v>
      </c>
    </row>
    <row r="7" spans="1:4" x14ac:dyDescent="0.2">
      <c r="A7" s="19" t="s">
        <v>1159</v>
      </c>
      <c r="B7" s="134"/>
      <c r="C7" s="20" t="s">
        <v>1303</v>
      </c>
      <c r="D7" s="135"/>
    </row>
    <row r="8" spans="1:4" x14ac:dyDescent="0.2">
      <c r="A8" s="21"/>
      <c r="B8" s="134"/>
      <c r="C8" s="20" t="s">
        <v>1304</v>
      </c>
      <c r="D8" s="135"/>
    </row>
    <row r="9" spans="1:4" x14ac:dyDescent="0.2">
      <c r="A9" s="21"/>
      <c r="B9" s="134"/>
      <c r="C9" s="20" t="s">
        <v>1305</v>
      </c>
      <c r="D9" s="135"/>
    </row>
    <row r="10" spans="1:4" x14ac:dyDescent="0.2">
      <c r="A10" s="21"/>
      <c r="B10" s="134"/>
      <c r="C10" s="20" t="s">
        <v>1299</v>
      </c>
      <c r="D10" s="135"/>
    </row>
    <row r="11" spans="1:4" ht="15" thickBot="1" x14ac:dyDescent="0.25">
      <c r="A11" s="22"/>
      <c r="B11" s="131"/>
      <c r="C11" s="14" t="s">
        <v>1306</v>
      </c>
      <c r="D11" s="133"/>
    </row>
    <row r="12" spans="1:4" x14ac:dyDescent="0.2">
      <c r="A12" s="12" t="s">
        <v>1307</v>
      </c>
      <c r="B12" s="130" t="s">
        <v>1308</v>
      </c>
      <c r="C12" s="18" t="s">
        <v>1296</v>
      </c>
      <c r="D12" s="132" t="s">
        <v>1309</v>
      </c>
    </row>
    <row r="13" spans="1:4" ht="15" thickBot="1" x14ac:dyDescent="0.25">
      <c r="A13" s="16" t="s">
        <v>1159</v>
      </c>
      <c r="B13" s="131"/>
      <c r="C13" s="14" t="s">
        <v>1304</v>
      </c>
      <c r="D13" s="133"/>
    </row>
    <row r="14" spans="1:4" ht="15" x14ac:dyDescent="0.2">
      <c r="A14" s="12" t="s">
        <v>1310</v>
      </c>
      <c r="B14" s="130" t="s">
        <v>1308</v>
      </c>
      <c r="C14" s="23" t="s">
        <v>1304</v>
      </c>
      <c r="D14" s="132" t="s">
        <v>1311</v>
      </c>
    </row>
    <row r="15" spans="1:4" ht="15" thickBot="1" x14ac:dyDescent="0.25">
      <c r="A15" s="16" t="s">
        <v>1298</v>
      </c>
      <c r="B15" s="131"/>
      <c r="C15" s="14" t="s">
        <v>1312</v>
      </c>
      <c r="D15" s="133"/>
    </row>
    <row r="16" spans="1:4" x14ac:dyDescent="0.2">
      <c r="A16" s="12" t="s">
        <v>649</v>
      </c>
      <c r="B16" s="130" t="s">
        <v>1301</v>
      </c>
      <c r="C16" s="20" t="s">
        <v>1304</v>
      </c>
      <c r="D16" s="132" t="s">
        <v>1313</v>
      </c>
    </row>
    <row r="17" spans="1:4" ht="15" thickBot="1" x14ac:dyDescent="0.25">
      <c r="A17" s="16" t="s">
        <v>1164</v>
      </c>
      <c r="B17" s="131"/>
      <c r="C17" s="14" t="s">
        <v>1312</v>
      </c>
      <c r="D17" s="133"/>
    </row>
    <row r="18" spans="1:4" ht="15" x14ac:dyDescent="0.2">
      <c r="A18" s="12" t="s">
        <v>34</v>
      </c>
      <c r="B18" s="130" t="s">
        <v>1301</v>
      </c>
      <c r="C18" s="23" t="s">
        <v>1306</v>
      </c>
      <c r="D18" s="132" t="s">
        <v>1314</v>
      </c>
    </row>
    <row r="19" spans="1:4" x14ac:dyDescent="0.2">
      <c r="A19" s="19" t="s">
        <v>1298</v>
      </c>
      <c r="B19" s="134"/>
      <c r="C19" s="20" t="s">
        <v>1315</v>
      </c>
      <c r="D19" s="135"/>
    </row>
    <row r="20" spans="1:4" x14ac:dyDescent="0.2">
      <c r="A20" s="21"/>
      <c r="B20" s="134"/>
      <c r="C20" s="20" t="s">
        <v>1316</v>
      </c>
      <c r="D20" s="135"/>
    </row>
    <row r="21" spans="1:4" ht="15" x14ac:dyDescent="0.2">
      <c r="A21" s="21"/>
      <c r="B21" s="134"/>
      <c r="C21" s="23" t="s">
        <v>1317</v>
      </c>
      <c r="D21" s="135"/>
    </row>
    <row r="22" spans="1:4" x14ac:dyDescent="0.2">
      <c r="A22" s="21"/>
      <c r="B22" s="134"/>
      <c r="C22" s="20" t="s">
        <v>1318</v>
      </c>
      <c r="D22" s="135"/>
    </row>
    <row r="23" spans="1:4" x14ac:dyDescent="0.2">
      <c r="A23" s="21"/>
      <c r="B23" s="134"/>
      <c r="C23" s="20" t="s">
        <v>1319</v>
      </c>
      <c r="D23" s="135"/>
    </row>
    <row r="24" spans="1:4" x14ac:dyDescent="0.2">
      <c r="A24" s="21"/>
      <c r="B24" s="134"/>
      <c r="C24" s="20" t="s">
        <v>1320</v>
      </c>
      <c r="D24" s="135"/>
    </row>
    <row r="25" spans="1:4" x14ac:dyDescent="0.2">
      <c r="A25" s="21"/>
      <c r="B25" s="134"/>
      <c r="C25" s="20" t="s">
        <v>1321</v>
      </c>
      <c r="D25" s="135"/>
    </row>
    <row r="26" spans="1:4" x14ac:dyDescent="0.2">
      <c r="A26" s="21"/>
      <c r="B26" s="134"/>
      <c r="C26" s="20" t="s">
        <v>1322</v>
      </c>
      <c r="D26" s="135"/>
    </row>
    <row r="27" spans="1:4" x14ac:dyDescent="0.2">
      <c r="A27" s="21"/>
      <c r="B27" s="134"/>
      <c r="C27" s="20" t="s">
        <v>1323</v>
      </c>
      <c r="D27" s="135"/>
    </row>
    <row r="28" spans="1:4" ht="15" thickBot="1" x14ac:dyDescent="0.25">
      <c r="A28" s="22"/>
      <c r="B28" s="131"/>
      <c r="C28" s="14" t="s">
        <v>1324</v>
      </c>
      <c r="D28" s="133"/>
    </row>
    <row r="29" spans="1:4" ht="28.5" customHeight="1" x14ac:dyDescent="0.2">
      <c r="A29" s="12" t="s">
        <v>1325</v>
      </c>
      <c r="B29" s="130" t="s">
        <v>1301</v>
      </c>
      <c r="C29" s="130" t="s">
        <v>1306</v>
      </c>
      <c r="D29" s="132" t="s">
        <v>1326</v>
      </c>
    </row>
    <row r="30" spans="1:4" ht="15" thickBot="1" x14ac:dyDescent="0.25">
      <c r="A30" s="16" t="s">
        <v>1298</v>
      </c>
      <c r="B30" s="131"/>
      <c r="C30" s="131"/>
      <c r="D30" s="133"/>
    </row>
    <row r="31" spans="1:4" ht="15" x14ac:dyDescent="0.2">
      <c r="A31" s="12" t="s">
        <v>353</v>
      </c>
      <c r="B31" s="130" t="s">
        <v>1301</v>
      </c>
      <c r="C31" s="23" t="s">
        <v>1327</v>
      </c>
      <c r="D31" s="132" t="s">
        <v>1328</v>
      </c>
    </row>
    <row r="32" spans="1:4" x14ac:dyDescent="0.2">
      <c r="A32" s="19" t="s">
        <v>1298</v>
      </c>
      <c r="B32" s="134"/>
      <c r="C32" s="20" t="s">
        <v>1329</v>
      </c>
      <c r="D32" s="135"/>
    </row>
    <row r="33" spans="1:4" ht="15" thickBot="1" x14ac:dyDescent="0.25">
      <c r="A33" s="22"/>
      <c r="B33" s="131"/>
      <c r="C33" s="14" t="s">
        <v>1330</v>
      </c>
      <c r="D33" s="133"/>
    </row>
    <row r="34" spans="1:4" x14ac:dyDescent="0.2">
      <c r="A34" s="12" t="s">
        <v>358</v>
      </c>
      <c r="B34" s="130" t="s">
        <v>1301</v>
      </c>
      <c r="C34" s="20" t="s">
        <v>1331</v>
      </c>
      <c r="D34" s="132" t="s">
        <v>1332</v>
      </c>
    </row>
    <row r="35" spans="1:4" ht="15" thickBot="1" x14ac:dyDescent="0.25">
      <c r="A35" s="16" t="s">
        <v>1159</v>
      </c>
      <c r="B35" s="131"/>
      <c r="C35" s="14" t="s">
        <v>1330</v>
      </c>
      <c r="D35" s="133"/>
    </row>
    <row r="36" spans="1:4" x14ac:dyDescent="0.2">
      <c r="A36" s="12" t="s">
        <v>1333</v>
      </c>
      <c r="B36" s="130" t="s">
        <v>1308</v>
      </c>
      <c r="C36" s="20" t="s">
        <v>1306</v>
      </c>
      <c r="D36" s="132" t="s">
        <v>1334</v>
      </c>
    </row>
    <row r="37" spans="1:4" x14ac:dyDescent="0.2">
      <c r="A37" s="19" t="s">
        <v>1298</v>
      </c>
      <c r="B37" s="134"/>
      <c r="C37" s="20" t="s">
        <v>1318</v>
      </c>
      <c r="D37" s="135"/>
    </row>
    <row r="38" spans="1:4" x14ac:dyDescent="0.2">
      <c r="A38" s="21"/>
      <c r="B38" s="134"/>
      <c r="C38" s="20" t="s">
        <v>1319</v>
      </c>
      <c r="D38" s="135"/>
    </row>
    <row r="39" spans="1:4" x14ac:dyDescent="0.2">
      <c r="A39" s="21"/>
      <c r="B39" s="134"/>
      <c r="C39" s="20" t="s">
        <v>1320</v>
      </c>
      <c r="D39" s="135"/>
    </row>
    <row r="40" spans="1:4" x14ac:dyDescent="0.2">
      <c r="A40" s="21"/>
      <c r="B40" s="134"/>
      <c r="C40" s="20" t="s">
        <v>1331</v>
      </c>
      <c r="D40" s="135"/>
    </row>
    <row r="41" spans="1:4" x14ac:dyDescent="0.2">
      <c r="A41" s="21"/>
      <c r="B41" s="134"/>
      <c r="C41" s="20" t="s">
        <v>1324</v>
      </c>
      <c r="D41" s="135"/>
    </row>
    <row r="42" spans="1:4" ht="15" thickBot="1" x14ac:dyDescent="0.25">
      <c r="A42" s="22"/>
      <c r="B42" s="131"/>
      <c r="C42" s="14" t="s">
        <v>1323</v>
      </c>
      <c r="D42" s="133"/>
    </row>
    <row r="43" spans="1:4" x14ac:dyDescent="0.2">
      <c r="A43" s="12" t="s">
        <v>1335</v>
      </c>
      <c r="B43" s="20" t="s">
        <v>1301</v>
      </c>
      <c r="C43" s="130" t="s">
        <v>1306</v>
      </c>
      <c r="D43" s="132" t="s">
        <v>1336</v>
      </c>
    </row>
    <row r="44" spans="1:4" ht="15" thickBot="1" x14ac:dyDescent="0.25">
      <c r="A44" s="16" t="s">
        <v>1337</v>
      </c>
      <c r="B44" s="14" t="s">
        <v>1308</v>
      </c>
      <c r="C44" s="131"/>
      <c r="D44" s="133"/>
    </row>
    <row r="45" spans="1:4" x14ac:dyDescent="0.2">
      <c r="A45" s="12" t="s">
        <v>1338</v>
      </c>
      <c r="B45" s="130" t="s">
        <v>1308</v>
      </c>
      <c r="C45" s="130" t="s">
        <v>1339</v>
      </c>
      <c r="D45" s="132" t="s">
        <v>1340</v>
      </c>
    </row>
    <row r="46" spans="1:4" x14ac:dyDescent="0.2">
      <c r="A46" s="12" t="s">
        <v>1341</v>
      </c>
      <c r="B46" s="134"/>
      <c r="C46" s="134"/>
      <c r="D46" s="135"/>
    </row>
    <row r="47" spans="1:4" ht="15" thickBot="1" x14ac:dyDescent="0.25">
      <c r="A47" s="16" t="s">
        <v>1337</v>
      </c>
      <c r="B47" s="131"/>
      <c r="C47" s="131"/>
      <c r="D47" s="133"/>
    </row>
    <row r="48" spans="1:4" ht="28.5" customHeight="1" x14ac:dyDescent="0.2">
      <c r="A48" s="12" t="s">
        <v>1342</v>
      </c>
      <c r="B48" s="130" t="s">
        <v>1308</v>
      </c>
      <c r="C48" s="20" t="s">
        <v>1343</v>
      </c>
      <c r="D48" s="132" t="s">
        <v>1344</v>
      </c>
    </row>
    <row r="49" spans="1:4" ht="15" thickBot="1" x14ac:dyDescent="0.25">
      <c r="A49" s="24" t="s">
        <v>1337</v>
      </c>
      <c r="B49" s="131"/>
      <c r="C49" s="14" t="s">
        <v>1345</v>
      </c>
      <c r="D49" s="133"/>
    </row>
    <row r="50" spans="1:4" x14ac:dyDescent="0.2">
      <c r="A50" s="12" t="s">
        <v>1346</v>
      </c>
      <c r="B50" s="130" t="s">
        <v>1301</v>
      </c>
      <c r="C50" s="20" t="s">
        <v>1296</v>
      </c>
      <c r="D50" s="132" t="s">
        <v>1347</v>
      </c>
    </row>
    <row r="51" spans="1:4" x14ac:dyDescent="0.2">
      <c r="A51" s="19" t="s">
        <v>1298</v>
      </c>
      <c r="B51" s="134"/>
      <c r="C51" s="20" t="s">
        <v>1348</v>
      </c>
      <c r="D51" s="135"/>
    </row>
    <row r="52" spans="1:4" x14ac:dyDescent="0.2">
      <c r="A52" s="21"/>
      <c r="B52" s="134"/>
      <c r="C52" s="20" t="s">
        <v>1349</v>
      </c>
      <c r="D52" s="135"/>
    </row>
    <row r="53" spans="1:4" x14ac:dyDescent="0.2">
      <c r="A53" s="21"/>
      <c r="B53" s="134"/>
      <c r="C53" s="25" t="s">
        <v>1350</v>
      </c>
      <c r="D53" s="135"/>
    </row>
    <row r="54" spans="1:4" x14ac:dyDescent="0.2">
      <c r="A54" s="21"/>
      <c r="B54" s="134"/>
      <c r="C54" s="20"/>
      <c r="D54" s="135"/>
    </row>
    <row r="55" spans="1:4" ht="15" thickBot="1" x14ac:dyDescent="0.25">
      <c r="A55" s="22"/>
      <c r="B55" s="131"/>
      <c r="C55" s="14"/>
      <c r="D55" s="133"/>
    </row>
    <row r="56" spans="1:4" x14ac:dyDescent="0.2">
      <c r="A56" s="12" t="s">
        <v>1351</v>
      </c>
      <c r="B56" s="130" t="s">
        <v>1301</v>
      </c>
      <c r="C56" s="20" t="s">
        <v>1296</v>
      </c>
      <c r="D56" s="132" t="s">
        <v>1352</v>
      </c>
    </row>
    <row r="57" spans="1:4" ht="15" x14ac:dyDescent="0.2">
      <c r="A57" s="19" t="s">
        <v>1298</v>
      </c>
      <c r="B57" s="134"/>
      <c r="C57" s="23" t="s">
        <v>1348</v>
      </c>
      <c r="D57" s="135"/>
    </row>
    <row r="58" spans="1:4" x14ac:dyDescent="0.2">
      <c r="A58" s="21"/>
      <c r="B58" s="134"/>
      <c r="C58" s="20" t="s">
        <v>1349</v>
      </c>
      <c r="D58" s="135"/>
    </row>
    <row r="59" spans="1:4" x14ac:dyDescent="0.2">
      <c r="A59" s="21"/>
      <c r="B59" s="134"/>
      <c r="C59" s="25" t="s">
        <v>1350</v>
      </c>
      <c r="D59" s="135"/>
    </row>
    <row r="60" spans="1:4" x14ac:dyDescent="0.2">
      <c r="A60" s="21"/>
      <c r="B60" s="134"/>
      <c r="C60" s="20"/>
      <c r="D60" s="135"/>
    </row>
    <row r="61" spans="1:4" ht="15" thickBot="1" x14ac:dyDescent="0.25">
      <c r="A61" s="22"/>
      <c r="B61" s="131"/>
      <c r="C61" s="14"/>
      <c r="D61" s="133"/>
    </row>
    <row r="62" spans="1:4" x14ac:dyDescent="0.2">
      <c r="A62" s="12" t="s">
        <v>1353</v>
      </c>
      <c r="B62" s="130" t="s">
        <v>1301</v>
      </c>
      <c r="C62" s="130" t="s">
        <v>1339</v>
      </c>
      <c r="D62" s="132" t="s">
        <v>1354</v>
      </c>
    </row>
    <row r="63" spans="1:4" ht="15" thickBot="1" x14ac:dyDescent="0.25">
      <c r="A63" s="26" t="s">
        <v>1298</v>
      </c>
      <c r="B63" s="131"/>
      <c r="C63" s="131"/>
      <c r="D63" s="133"/>
    </row>
    <row r="64" spans="1:4" x14ac:dyDescent="0.2">
      <c r="A64" s="12" t="s">
        <v>1355</v>
      </c>
      <c r="B64" s="130" t="s">
        <v>1301</v>
      </c>
      <c r="C64" s="130" t="s">
        <v>1356</v>
      </c>
      <c r="D64" s="132" t="s">
        <v>1357</v>
      </c>
    </row>
    <row r="65" spans="1:4" ht="15" thickBot="1" x14ac:dyDescent="0.25">
      <c r="A65" s="26" t="s">
        <v>1298</v>
      </c>
      <c r="B65" s="131"/>
      <c r="C65" s="131"/>
      <c r="D65" s="133"/>
    </row>
    <row r="66" spans="1:4" ht="14.25" customHeight="1" x14ac:dyDescent="0.2">
      <c r="A66" s="12" t="s">
        <v>912</v>
      </c>
      <c r="B66" s="122" t="s">
        <v>1301</v>
      </c>
      <c r="C66" s="27" t="s">
        <v>1358</v>
      </c>
      <c r="D66" s="124" t="s">
        <v>1359</v>
      </c>
    </row>
    <row r="67" spans="1:4" ht="15" thickBot="1" x14ac:dyDescent="0.25">
      <c r="A67" s="26" t="s">
        <v>1298</v>
      </c>
      <c r="B67" s="123"/>
      <c r="C67" s="28" t="s">
        <v>1303</v>
      </c>
      <c r="D67" s="125"/>
    </row>
    <row r="68" spans="1:4" ht="28.5" customHeight="1" x14ac:dyDescent="0.2">
      <c r="A68" s="12" t="s">
        <v>1360</v>
      </c>
      <c r="B68" s="122" t="s">
        <v>1308</v>
      </c>
      <c r="C68" s="27" t="s">
        <v>1296</v>
      </c>
      <c r="D68" s="124" t="s">
        <v>1361</v>
      </c>
    </row>
    <row r="69" spans="1:4" ht="15" thickBot="1" x14ac:dyDescent="0.25">
      <c r="A69" s="26" t="s">
        <v>1362</v>
      </c>
      <c r="B69" s="123"/>
      <c r="C69" s="28" t="s">
        <v>1304</v>
      </c>
      <c r="D69" s="125"/>
    </row>
    <row r="70" spans="1:4" x14ac:dyDescent="0.2">
      <c r="A70" s="12" t="s">
        <v>1363</v>
      </c>
      <c r="B70" s="122" t="s">
        <v>1308</v>
      </c>
      <c r="C70" s="27" t="s">
        <v>1296</v>
      </c>
      <c r="D70" s="124" t="s">
        <v>1364</v>
      </c>
    </row>
    <row r="71" spans="1:4" ht="15" thickBot="1" x14ac:dyDescent="0.25">
      <c r="A71" s="26" t="s">
        <v>1159</v>
      </c>
      <c r="B71" s="123"/>
      <c r="C71" s="28" t="s">
        <v>1304</v>
      </c>
      <c r="D71" s="125"/>
    </row>
    <row r="72" spans="1:4" x14ac:dyDescent="0.2">
      <c r="A72" s="12" t="s">
        <v>1365</v>
      </c>
      <c r="B72" s="122" t="s">
        <v>1308</v>
      </c>
      <c r="C72" s="27" t="s">
        <v>1296</v>
      </c>
      <c r="D72" s="124" t="s">
        <v>1366</v>
      </c>
    </row>
    <row r="73" spans="1:4" ht="15" thickBot="1" x14ac:dyDescent="0.25">
      <c r="A73" s="26" t="s">
        <v>1159</v>
      </c>
      <c r="B73" s="123"/>
      <c r="C73" s="28" t="s">
        <v>1304</v>
      </c>
      <c r="D73" s="125"/>
    </row>
    <row r="74" spans="1:4" x14ac:dyDescent="0.2">
      <c r="A74" s="12" t="s">
        <v>1367</v>
      </c>
      <c r="B74" s="122" t="s">
        <v>1308</v>
      </c>
      <c r="C74" s="27" t="s">
        <v>1296</v>
      </c>
      <c r="D74" s="124" t="s">
        <v>1368</v>
      </c>
    </row>
    <row r="75" spans="1:4" ht="15" thickBot="1" x14ac:dyDescent="0.25">
      <c r="A75" s="26" t="s">
        <v>1159</v>
      </c>
      <c r="B75" s="123"/>
      <c r="C75" s="28" t="s">
        <v>1304</v>
      </c>
      <c r="D75" s="125"/>
    </row>
    <row r="76" spans="1:4" ht="14.25" customHeight="1" x14ac:dyDescent="0.2">
      <c r="A76" s="12" t="s">
        <v>1369</v>
      </c>
      <c r="B76" s="122" t="s">
        <v>1301</v>
      </c>
      <c r="C76" s="27" t="s">
        <v>1343</v>
      </c>
      <c r="D76" s="124" t="s">
        <v>1370</v>
      </c>
    </row>
    <row r="77" spans="1:4" ht="15" thickBot="1" x14ac:dyDescent="0.25">
      <c r="A77" s="26" t="s">
        <v>1371</v>
      </c>
      <c r="B77" s="123"/>
      <c r="C77" s="28" t="s">
        <v>1372</v>
      </c>
      <c r="D77" s="125"/>
    </row>
    <row r="78" spans="1:4" x14ac:dyDescent="0.2">
      <c r="A78" s="12" t="s">
        <v>1373</v>
      </c>
      <c r="B78" s="122" t="s">
        <v>1301</v>
      </c>
      <c r="C78" s="27" t="s">
        <v>1374</v>
      </c>
      <c r="D78" s="124" t="s">
        <v>1375</v>
      </c>
    </row>
    <row r="79" spans="1:4" x14ac:dyDescent="0.2">
      <c r="A79" s="19" t="s">
        <v>1159</v>
      </c>
      <c r="B79" s="126"/>
      <c r="C79" s="27" t="s">
        <v>1348</v>
      </c>
      <c r="D79" s="127"/>
    </row>
    <row r="80" spans="1:4" ht="15" thickBot="1" x14ac:dyDescent="0.25">
      <c r="A80" s="29"/>
      <c r="B80" s="123"/>
      <c r="C80" s="28" t="s">
        <v>1306</v>
      </c>
      <c r="D80" s="125"/>
    </row>
    <row r="81" spans="1:4" x14ac:dyDescent="0.2">
      <c r="A81" s="12" t="s">
        <v>39</v>
      </c>
      <c r="B81" s="122" t="s">
        <v>1301</v>
      </c>
      <c r="C81" s="27" t="s">
        <v>1318</v>
      </c>
      <c r="D81" s="124" t="s">
        <v>1376</v>
      </c>
    </row>
    <row r="82" spans="1:4" x14ac:dyDescent="0.2">
      <c r="A82" s="19" t="s">
        <v>1159</v>
      </c>
      <c r="B82" s="126"/>
      <c r="C82" s="27" t="s">
        <v>1319</v>
      </c>
      <c r="D82" s="127"/>
    </row>
    <row r="83" spans="1:4" x14ac:dyDescent="0.2">
      <c r="A83" s="30"/>
      <c r="B83" s="126"/>
      <c r="C83" s="27" t="s">
        <v>1320</v>
      </c>
      <c r="D83" s="127"/>
    </row>
    <row r="84" spans="1:4" ht="15" thickBot="1" x14ac:dyDescent="0.25">
      <c r="A84" s="29"/>
      <c r="B84" s="123"/>
      <c r="C84" s="28" t="s">
        <v>1377</v>
      </c>
      <c r="D84" s="125"/>
    </row>
    <row r="85" spans="1:4" ht="14.25" customHeight="1" x14ac:dyDescent="0.2">
      <c r="A85" s="12" t="s">
        <v>1378</v>
      </c>
      <c r="B85" s="122" t="s">
        <v>1308</v>
      </c>
      <c r="C85" s="122" t="s">
        <v>1306</v>
      </c>
      <c r="D85" s="124" t="s">
        <v>1379</v>
      </c>
    </row>
    <row r="86" spans="1:4" ht="15" thickBot="1" x14ac:dyDescent="0.25">
      <c r="A86" s="26" t="s">
        <v>1298</v>
      </c>
      <c r="B86" s="123"/>
      <c r="C86" s="123"/>
      <c r="D86" s="125"/>
    </row>
    <row r="87" spans="1:4" ht="14.25" customHeight="1" x14ac:dyDescent="0.2">
      <c r="A87" s="12" t="s">
        <v>1380</v>
      </c>
      <c r="B87" s="122" t="s">
        <v>1301</v>
      </c>
      <c r="C87" s="27" t="s">
        <v>1381</v>
      </c>
      <c r="D87" s="124" t="s">
        <v>1382</v>
      </c>
    </row>
    <row r="88" spans="1:4" ht="15" thickBot="1" x14ac:dyDescent="0.25">
      <c r="A88" s="26" t="s">
        <v>1298</v>
      </c>
      <c r="B88" s="123"/>
      <c r="C88" s="28" t="s">
        <v>1383</v>
      </c>
      <c r="D88" s="125"/>
    </row>
    <row r="89" spans="1:4" ht="28.5" customHeight="1" x14ac:dyDescent="0.2">
      <c r="A89" s="12" t="s">
        <v>1384</v>
      </c>
      <c r="B89" s="122" t="s">
        <v>1301</v>
      </c>
      <c r="C89" s="128" t="s">
        <v>1385</v>
      </c>
      <c r="D89" s="124" t="s">
        <v>1386</v>
      </c>
    </row>
    <row r="90" spans="1:4" ht="15" thickBot="1" x14ac:dyDescent="0.25">
      <c r="A90" s="26" t="s">
        <v>1298</v>
      </c>
      <c r="B90" s="123"/>
      <c r="C90" s="129"/>
      <c r="D90" s="125"/>
    </row>
    <row r="91" spans="1:4" ht="28.5" customHeight="1" x14ac:dyDescent="0.2">
      <c r="A91" s="12" t="s">
        <v>451</v>
      </c>
      <c r="B91" s="122" t="s">
        <v>1301</v>
      </c>
      <c r="C91" s="122" t="s">
        <v>1306</v>
      </c>
      <c r="D91" s="124" t="s">
        <v>1387</v>
      </c>
    </row>
    <row r="92" spans="1:4" ht="15" thickBot="1" x14ac:dyDescent="0.25">
      <c r="A92" s="31" t="s">
        <v>1298</v>
      </c>
      <c r="B92" s="123"/>
      <c r="C92" s="123"/>
      <c r="D92" s="125"/>
    </row>
    <row r="93" spans="1:4" x14ac:dyDescent="0.2">
      <c r="A93" s="12" t="s">
        <v>1388</v>
      </c>
      <c r="B93" s="122" t="s">
        <v>1301</v>
      </c>
      <c r="C93" s="27" t="s">
        <v>1349</v>
      </c>
      <c r="D93" s="124" t="s">
        <v>1389</v>
      </c>
    </row>
    <row r="94" spans="1:4" x14ac:dyDescent="0.2">
      <c r="A94" s="32" t="s">
        <v>1159</v>
      </c>
      <c r="B94" s="126"/>
      <c r="C94" s="27" t="s">
        <v>1390</v>
      </c>
      <c r="D94" s="127"/>
    </row>
    <row r="95" spans="1:4" x14ac:dyDescent="0.2">
      <c r="A95" s="30"/>
      <c r="B95" s="126"/>
      <c r="C95" s="27" t="s">
        <v>1391</v>
      </c>
      <c r="D95" s="127"/>
    </row>
    <row r="96" spans="1:4" x14ac:dyDescent="0.2">
      <c r="A96" s="30"/>
      <c r="B96" s="126"/>
      <c r="C96" s="33" t="s">
        <v>1296</v>
      </c>
      <c r="D96" s="127"/>
    </row>
    <row r="97" spans="1:4" x14ac:dyDescent="0.2">
      <c r="A97" s="30"/>
      <c r="B97" s="126"/>
      <c r="C97" s="27" t="s">
        <v>1392</v>
      </c>
      <c r="D97" s="127"/>
    </row>
    <row r="98" spans="1:4" x14ac:dyDescent="0.2">
      <c r="A98" s="30"/>
      <c r="B98" s="126"/>
      <c r="C98" s="27" t="s">
        <v>1393</v>
      </c>
      <c r="D98" s="127"/>
    </row>
    <row r="99" spans="1:4" ht="15" thickBot="1" x14ac:dyDescent="0.25">
      <c r="A99" s="29"/>
      <c r="B99" s="123"/>
      <c r="C99" s="28" t="s">
        <v>1348</v>
      </c>
      <c r="D99" s="125"/>
    </row>
    <row r="100" spans="1:4" x14ac:dyDescent="0.2">
      <c r="A100" s="12" t="s">
        <v>1394</v>
      </c>
      <c r="B100" s="122" t="s">
        <v>1301</v>
      </c>
      <c r="C100" s="27" t="s">
        <v>1395</v>
      </c>
      <c r="D100" s="124" t="s">
        <v>1396</v>
      </c>
    </row>
    <row r="101" spans="1:4" x14ac:dyDescent="0.2">
      <c r="A101" s="32" t="s">
        <v>1298</v>
      </c>
      <c r="B101" s="126"/>
      <c r="C101" s="27" t="s">
        <v>1392</v>
      </c>
      <c r="D101" s="127"/>
    </row>
    <row r="102" spans="1:4" ht="15" thickBot="1" x14ac:dyDescent="0.25">
      <c r="A102" s="29"/>
      <c r="B102" s="123"/>
      <c r="C102" s="28" t="s">
        <v>1393</v>
      </c>
      <c r="D102" s="125"/>
    </row>
    <row r="103" spans="1:4" x14ac:dyDescent="0.2">
      <c r="A103" s="12" t="s">
        <v>1397</v>
      </c>
      <c r="B103" s="122" t="s">
        <v>1301</v>
      </c>
      <c r="C103" s="33" t="s">
        <v>1339</v>
      </c>
      <c r="D103" s="124" t="s">
        <v>1398</v>
      </c>
    </row>
    <row r="104" spans="1:4" x14ac:dyDescent="0.2">
      <c r="A104" s="32" t="s">
        <v>1159</v>
      </c>
      <c r="B104" s="126"/>
      <c r="C104" s="33" t="s">
        <v>1296</v>
      </c>
      <c r="D104" s="127"/>
    </row>
    <row r="105" spans="1:4" x14ac:dyDescent="0.2">
      <c r="A105" s="30"/>
      <c r="B105" s="126"/>
      <c r="C105" s="27" t="s">
        <v>1304</v>
      </c>
      <c r="D105" s="127"/>
    </row>
    <row r="106" spans="1:4" x14ac:dyDescent="0.2">
      <c r="A106" s="30"/>
      <c r="B106" s="126"/>
      <c r="C106" s="27" t="s">
        <v>1331</v>
      </c>
      <c r="D106" s="127"/>
    </row>
    <row r="107" spans="1:4" x14ac:dyDescent="0.2">
      <c r="A107" s="30"/>
      <c r="B107" s="126"/>
      <c r="C107" s="27" t="s">
        <v>1399</v>
      </c>
      <c r="D107" s="127"/>
    </row>
    <row r="108" spans="1:4" ht="15" thickBot="1" x14ac:dyDescent="0.25">
      <c r="A108" s="29"/>
      <c r="B108" s="123"/>
      <c r="C108" s="28" t="s">
        <v>1303</v>
      </c>
      <c r="D108" s="125"/>
    </row>
    <row r="109" spans="1:4" x14ac:dyDescent="0.2">
      <c r="A109" s="12" t="s">
        <v>1400</v>
      </c>
      <c r="B109" s="122" t="s">
        <v>1308</v>
      </c>
      <c r="C109" s="27" t="s">
        <v>1399</v>
      </c>
      <c r="D109" s="124" t="s">
        <v>1401</v>
      </c>
    </row>
    <row r="110" spans="1:4" ht="15" thickBot="1" x14ac:dyDescent="0.25">
      <c r="A110" s="31" t="s">
        <v>1362</v>
      </c>
      <c r="B110" s="123"/>
      <c r="C110" s="28" t="s">
        <v>1402</v>
      </c>
      <c r="D110" s="125"/>
    </row>
  </sheetData>
  <mergeCells count="76">
    <mergeCell ref="B6:B11"/>
    <mergeCell ref="D6:D11"/>
    <mergeCell ref="B2:B3"/>
    <mergeCell ref="C2:C3"/>
    <mergeCell ref="D2:D3"/>
    <mergeCell ref="B4:B5"/>
    <mergeCell ref="D4:D5"/>
    <mergeCell ref="B31:B33"/>
    <mergeCell ref="D31:D33"/>
    <mergeCell ref="B12:B13"/>
    <mergeCell ref="D12:D13"/>
    <mergeCell ref="B14:B15"/>
    <mergeCell ref="D14:D15"/>
    <mergeCell ref="B16:B17"/>
    <mergeCell ref="D16:D17"/>
    <mergeCell ref="B18:B28"/>
    <mergeCell ref="D18:D28"/>
    <mergeCell ref="B29:B30"/>
    <mergeCell ref="C29:C30"/>
    <mergeCell ref="D29:D30"/>
    <mergeCell ref="B34:B35"/>
    <mergeCell ref="D34:D35"/>
    <mergeCell ref="B36:B42"/>
    <mergeCell ref="D36:D42"/>
    <mergeCell ref="C43:C44"/>
    <mergeCell ref="D43:D44"/>
    <mergeCell ref="B64:B65"/>
    <mergeCell ref="C64:C65"/>
    <mergeCell ref="D64:D65"/>
    <mergeCell ref="B45:B47"/>
    <mergeCell ref="C45:C47"/>
    <mergeCell ref="D45:D47"/>
    <mergeCell ref="B48:B49"/>
    <mergeCell ref="D48:D49"/>
    <mergeCell ref="B50:B55"/>
    <mergeCell ref="D50:D55"/>
    <mergeCell ref="B56:B61"/>
    <mergeCell ref="D56:D61"/>
    <mergeCell ref="B62:B63"/>
    <mergeCell ref="C62:C63"/>
    <mergeCell ref="D62:D63"/>
    <mergeCell ref="B66:B67"/>
    <mergeCell ref="D66:D67"/>
    <mergeCell ref="B68:B69"/>
    <mergeCell ref="D68:D69"/>
    <mergeCell ref="B70:B71"/>
    <mergeCell ref="D70:D71"/>
    <mergeCell ref="B72:B73"/>
    <mergeCell ref="D72:D73"/>
    <mergeCell ref="B74:B75"/>
    <mergeCell ref="D74:D75"/>
    <mergeCell ref="B76:B77"/>
    <mergeCell ref="D76:D77"/>
    <mergeCell ref="B91:B92"/>
    <mergeCell ref="C91:C92"/>
    <mergeCell ref="D91:D92"/>
    <mergeCell ref="B78:B80"/>
    <mergeCell ref="D78:D80"/>
    <mergeCell ref="B81:B84"/>
    <mergeCell ref="D81:D84"/>
    <mergeCell ref="B85:B86"/>
    <mergeCell ref="C85:C86"/>
    <mergeCell ref="D85:D86"/>
    <mergeCell ref="B87:B88"/>
    <mergeCell ref="D87:D88"/>
    <mergeCell ref="B89:B90"/>
    <mergeCell ref="C89:C90"/>
    <mergeCell ref="D89:D90"/>
    <mergeCell ref="B109:B110"/>
    <mergeCell ref="D109:D110"/>
    <mergeCell ref="B93:B99"/>
    <mergeCell ref="D93:D99"/>
    <mergeCell ref="B100:B102"/>
    <mergeCell ref="D100:D102"/>
    <mergeCell ref="B103:B108"/>
    <mergeCell ref="D103:D108"/>
  </mergeCells>
  <pageMargins left="0.511811024" right="0.511811024" top="0.78740157499999996" bottom="0.78740157499999996" header="0.31496062000000002" footer="0.31496062000000002"/>
  <pageSetup orientation="portrait" r:id="rId1"/>
  <headerFooter>
    <oddHeader>&amp;L&amp;"Calibri"&amp;10&amp;K0000FF Uso Interno CPFL&amp;1#_x000D_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8E93-6120-41B9-A8ED-116342B3D437}">
  <sheetPr codeName="Planilha6">
    <tabColor rgb="FFFFC000"/>
  </sheetPr>
  <dimension ref="A1:AE1141"/>
  <sheetViews>
    <sheetView topLeftCell="G37" workbookViewId="0">
      <selection activeCell="K45" sqref="K45"/>
    </sheetView>
  </sheetViews>
  <sheetFormatPr defaultRowHeight="14.25" x14ac:dyDescent="0.2"/>
  <cols>
    <col min="1" max="1" width="33.85546875" style="11" hidden="1" customWidth="1"/>
    <col min="2" max="2" width="29.85546875" style="11" hidden="1" customWidth="1"/>
    <col min="3" max="3" width="19.5703125" style="11" hidden="1" customWidth="1"/>
    <col min="4" max="4" width="25.28515625" style="11" hidden="1" customWidth="1"/>
    <col min="5" max="5" width="28.140625" style="11" hidden="1" customWidth="1"/>
    <col min="6" max="6" width="0" style="11" hidden="1" customWidth="1"/>
    <col min="7" max="7" width="31.85546875" style="11" customWidth="1"/>
    <col min="8" max="8" width="64.5703125" style="11" customWidth="1"/>
    <col min="9" max="9" width="9.140625" style="11"/>
    <col min="10" max="10" width="24.28515625" style="11" customWidth="1"/>
    <col min="11" max="11" width="64.7109375" style="11" customWidth="1"/>
    <col min="12" max="12" width="12.5703125" style="11" customWidth="1"/>
    <col min="13" max="13" width="20" style="11" customWidth="1"/>
    <col min="14" max="14" width="79.5703125" style="11" customWidth="1"/>
    <col min="15" max="15" width="21.5703125" style="11" customWidth="1"/>
    <col min="16" max="16" width="12" style="41" bestFit="1" customWidth="1"/>
    <col min="17" max="17" width="11.7109375" style="41" bestFit="1" customWidth="1"/>
    <col min="18" max="18" width="19.28515625" style="11" customWidth="1"/>
    <col min="19" max="21" width="21.7109375" style="11" customWidth="1"/>
    <col min="22" max="23" width="14.5703125" style="11" customWidth="1"/>
    <col min="24" max="24" width="21.7109375" style="11" customWidth="1"/>
    <col min="25" max="25" width="42" style="11" customWidth="1"/>
    <col min="26" max="26" width="32.140625" style="11" customWidth="1"/>
    <col min="27" max="27" width="12" style="11" customWidth="1"/>
    <col min="28" max="28" width="21.7109375" style="11" customWidth="1"/>
    <col min="29" max="29" width="12" style="11" customWidth="1"/>
    <col min="30" max="30" width="19.7109375" style="11" customWidth="1"/>
    <col min="31" max="31" width="21.7109375" style="11" customWidth="1"/>
    <col min="32" max="16384" width="9.140625" style="11"/>
  </cols>
  <sheetData>
    <row r="1" spans="1:31" ht="49.7" customHeight="1" thickTop="1" thickBot="1" x14ac:dyDescent="0.3">
      <c r="A1" s="34" t="s">
        <v>1403</v>
      </c>
      <c r="B1" s="35" t="s">
        <v>1404</v>
      </c>
      <c r="C1" s="35" t="s">
        <v>1405</v>
      </c>
      <c r="D1" s="35" t="s">
        <v>1406</v>
      </c>
      <c r="E1" s="36" t="s">
        <v>1407</v>
      </c>
      <c r="G1" s="37" t="s">
        <v>1405</v>
      </c>
      <c r="H1" s="38" t="s">
        <v>1408</v>
      </c>
      <c r="J1" s="37" t="s">
        <v>1406</v>
      </c>
      <c r="K1" s="39" t="s">
        <v>1408</v>
      </c>
      <c r="M1" s="37" t="s">
        <v>1409</v>
      </c>
      <c r="N1" s="39" t="s">
        <v>1408</v>
      </c>
      <c r="P1" s="40" t="s">
        <v>1410</v>
      </c>
      <c r="S1" s="42" t="s">
        <v>1411</v>
      </c>
      <c r="T1" s="42" t="s">
        <v>1412</v>
      </c>
      <c r="U1" s="42" t="s">
        <v>1413</v>
      </c>
      <c r="V1" s="42" t="s">
        <v>1414</v>
      </c>
      <c r="W1" s="42" t="s">
        <v>1415</v>
      </c>
      <c r="X1" s="42" t="s">
        <v>1416</v>
      </c>
      <c r="Y1" s="42" t="s">
        <v>1417</v>
      </c>
      <c r="Z1" s="42" t="s">
        <v>1418</v>
      </c>
      <c r="AA1" s="42" t="s">
        <v>1419</v>
      </c>
      <c r="AB1" s="42" t="s">
        <v>1420</v>
      </c>
      <c r="AC1" s="42" t="s">
        <v>1421</v>
      </c>
      <c r="AD1" s="42" t="s">
        <v>1422</v>
      </c>
      <c r="AE1" s="42" t="s">
        <v>1423</v>
      </c>
    </row>
    <row r="2" spans="1:31" ht="15.75" thickBot="1" x14ac:dyDescent="0.3">
      <c r="A2" s="43" t="str">
        <f>CONCATENATE(C2,D2,E2)</f>
        <v>SwitchStatusSwitchStatusABC</v>
      </c>
      <c r="B2" s="44" t="s">
        <v>1424</v>
      </c>
      <c r="C2" s="44" t="s">
        <v>708</v>
      </c>
      <c r="D2" s="44" t="s">
        <v>708</v>
      </c>
      <c r="E2" s="44" t="s">
        <v>1425</v>
      </c>
      <c r="G2" s="44" t="s">
        <v>708</v>
      </c>
      <c r="H2" s="44" t="s">
        <v>1426</v>
      </c>
      <c r="J2" s="44" t="s">
        <v>708</v>
      </c>
      <c r="K2" s="44" t="s">
        <v>1427</v>
      </c>
      <c r="M2" s="44" t="s">
        <v>1425</v>
      </c>
      <c r="N2" s="44" t="s">
        <v>1428</v>
      </c>
      <c r="P2" s="45" t="s">
        <v>1429</v>
      </c>
      <c r="Q2" s="45" t="s">
        <v>1430</v>
      </c>
      <c r="S2" s="46" t="s">
        <v>1431</v>
      </c>
      <c r="T2" s="47" t="s">
        <v>1343</v>
      </c>
      <c r="U2" s="47" t="s">
        <v>1432</v>
      </c>
      <c r="V2" s="48">
        <v>1</v>
      </c>
      <c r="W2" s="48">
        <v>1</v>
      </c>
      <c r="X2" s="11" t="s">
        <v>1433</v>
      </c>
      <c r="Y2" s="49" t="s">
        <v>1434</v>
      </c>
      <c r="Z2" s="11" t="s">
        <v>1435</v>
      </c>
      <c r="AA2" s="11" t="s">
        <v>650</v>
      </c>
      <c r="AC2" s="11" t="s">
        <v>1436</v>
      </c>
      <c r="AD2" s="11" t="s">
        <v>1437</v>
      </c>
      <c r="AE2" s="11" t="s">
        <v>1438</v>
      </c>
    </row>
    <row r="3" spans="1:31" ht="44.25" thickTop="1" x14ac:dyDescent="0.25">
      <c r="A3" s="50" t="str">
        <f t="shared" ref="A3:A66" si="0">CONCATENATE(C3,D3,E3)</f>
        <v>SwitchStatusSwitchStatusA</v>
      </c>
      <c r="B3" s="51" t="s">
        <v>1439</v>
      </c>
      <c r="C3" s="51" t="s">
        <v>708</v>
      </c>
      <c r="D3" s="51" t="s">
        <v>708</v>
      </c>
      <c r="E3" s="51" t="s">
        <v>1440</v>
      </c>
      <c r="G3" s="51" t="s">
        <v>169</v>
      </c>
      <c r="H3" s="52" t="s">
        <v>1441</v>
      </c>
      <c r="J3" s="44" t="s">
        <v>1301</v>
      </c>
      <c r="K3" s="44" t="s">
        <v>1442</v>
      </c>
      <c r="M3" s="44" t="s">
        <v>1440</v>
      </c>
      <c r="N3" s="44" t="s">
        <v>1443</v>
      </c>
      <c r="P3" s="53" t="str">
        <f>HYPERLINK("#RTU_IEC104!A1", "RTU_IEC104")</f>
        <v>RTU_IEC104</v>
      </c>
      <c r="Q3" s="41">
        <v>1</v>
      </c>
      <c r="S3" s="46" t="s">
        <v>1444</v>
      </c>
      <c r="T3" s="47" t="s">
        <v>1445</v>
      </c>
      <c r="U3" s="47" t="s">
        <v>1446</v>
      </c>
      <c r="V3" s="54"/>
      <c r="W3" s="54"/>
      <c r="X3" s="11" t="s">
        <v>1447</v>
      </c>
      <c r="Y3" s="49" t="s">
        <v>1448</v>
      </c>
      <c r="Z3" s="11" t="s">
        <v>1449</v>
      </c>
      <c r="AA3" s="11" t="s">
        <v>1450</v>
      </c>
      <c r="AB3" s="11" t="s">
        <v>1451</v>
      </c>
      <c r="AC3" s="11" t="s">
        <v>1452</v>
      </c>
      <c r="AD3" s="11" t="s">
        <v>1453</v>
      </c>
      <c r="AE3" s="11" t="s">
        <v>1454</v>
      </c>
    </row>
    <row r="4" spans="1:31" ht="15" x14ac:dyDescent="0.25">
      <c r="A4" s="50" t="str">
        <f t="shared" si="0"/>
        <v>SwitchStatusSwitchStatusB</v>
      </c>
      <c r="B4" s="51" t="s">
        <v>1455</v>
      </c>
      <c r="C4" s="51" t="s">
        <v>708</v>
      </c>
      <c r="D4" s="51" t="s">
        <v>708</v>
      </c>
      <c r="E4" s="51" t="s">
        <v>1456</v>
      </c>
      <c r="G4" s="51" t="s">
        <v>1307</v>
      </c>
      <c r="H4" s="44" t="s">
        <v>1457</v>
      </c>
      <c r="J4" s="44" t="s">
        <v>1308</v>
      </c>
      <c r="K4" s="44" t="s">
        <v>1458</v>
      </c>
      <c r="M4" s="44" t="s">
        <v>1456</v>
      </c>
      <c r="N4" s="44" t="s">
        <v>1459</v>
      </c>
      <c r="S4" s="46" t="s">
        <v>1460</v>
      </c>
      <c r="T4" s="47" t="s">
        <v>1461</v>
      </c>
      <c r="U4" s="47"/>
      <c r="V4" s="54"/>
      <c r="W4" s="54"/>
      <c r="X4" s="11" t="s">
        <v>1462</v>
      </c>
      <c r="Y4" s="49" t="s">
        <v>1463</v>
      </c>
      <c r="Z4" s="11" t="s">
        <v>1464</v>
      </c>
      <c r="AD4" s="11" t="s">
        <v>1465</v>
      </c>
    </row>
    <row r="5" spans="1:31" ht="29.25" x14ac:dyDescent="0.25">
      <c r="A5" s="50" t="str">
        <f t="shared" si="0"/>
        <v>SwitchStatusSwitchStatusC</v>
      </c>
      <c r="B5" s="51" t="s">
        <v>1466</v>
      </c>
      <c r="C5" s="51" t="s">
        <v>708</v>
      </c>
      <c r="D5" s="51" t="s">
        <v>708</v>
      </c>
      <c r="E5" s="51" t="s">
        <v>1467</v>
      </c>
      <c r="G5" s="51" t="s">
        <v>1351</v>
      </c>
      <c r="H5" s="52" t="s">
        <v>1468</v>
      </c>
      <c r="J5" s="44" t="s">
        <v>1469</v>
      </c>
      <c r="K5" s="44" t="s">
        <v>1469</v>
      </c>
      <c r="M5" s="44" t="s">
        <v>1467</v>
      </c>
      <c r="N5" s="44" t="s">
        <v>1470</v>
      </c>
      <c r="T5" s="47" t="s">
        <v>1471</v>
      </c>
      <c r="U5" s="47"/>
      <c r="V5" s="54"/>
      <c r="W5" s="54"/>
      <c r="X5" s="11" t="s">
        <v>1472</v>
      </c>
      <c r="Y5" s="49" t="s">
        <v>1473</v>
      </c>
      <c r="AD5" s="11" t="s">
        <v>1474</v>
      </c>
    </row>
    <row r="6" spans="1:31" ht="29.25" x14ac:dyDescent="0.25">
      <c r="A6" s="50" t="str">
        <f t="shared" si="0"/>
        <v>LocalStatusABC</v>
      </c>
      <c r="B6" s="51" t="s">
        <v>1475</v>
      </c>
      <c r="C6" s="51" t="s">
        <v>169</v>
      </c>
      <c r="D6" s="51" t="s">
        <v>1301</v>
      </c>
      <c r="E6" s="51" t="s">
        <v>1425</v>
      </c>
      <c r="G6" s="51" t="s">
        <v>1360</v>
      </c>
      <c r="H6" s="52" t="s">
        <v>1476</v>
      </c>
      <c r="J6" s="44" t="s">
        <v>1477</v>
      </c>
      <c r="K6" s="52" t="s">
        <v>1478</v>
      </c>
      <c r="M6" s="44" t="s">
        <v>1479</v>
      </c>
      <c r="N6" s="44" t="s">
        <v>1480</v>
      </c>
      <c r="T6" s="47" t="s">
        <v>1481</v>
      </c>
      <c r="U6" s="47"/>
      <c r="V6" s="54"/>
      <c r="W6" s="54"/>
      <c r="Y6" s="49" t="s">
        <v>1482</v>
      </c>
    </row>
    <row r="7" spans="1:31" ht="28.5" x14ac:dyDescent="0.2">
      <c r="A7" s="50" t="str">
        <f t="shared" si="0"/>
        <v>LocalStatusA</v>
      </c>
      <c r="B7" s="51" t="s">
        <v>1483</v>
      </c>
      <c r="C7" s="51" t="s">
        <v>169</v>
      </c>
      <c r="D7" s="51" t="s">
        <v>1301</v>
      </c>
      <c r="E7" s="51" t="s">
        <v>1440</v>
      </c>
      <c r="G7" s="51" t="s">
        <v>1363</v>
      </c>
      <c r="H7" s="52" t="s">
        <v>1484</v>
      </c>
      <c r="J7" s="44" t="s">
        <v>1485</v>
      </c>
      <c r="K7" s="44" t="s">
        <v>1485</v>
      </c>
      <c r="M7" s="44" t="s">
        <v>1486</v>
      </c>
      <c r="N7" s="44" t="s">
        <v>1487</v>
      </c>
      <c r="V7" s="55"/>
      <c r="W7" s="55"/>
      <c r="Y7" s="49" t="s">
        <v>1488</v>
      </c>
    </row>
    <row r="8" spans="1:31" ht="28.5" x14ac:dyDescent="0.2">
      <c r="A8" s="50" t="str">
        <f t="shared" si="0"/>
        <v>LocalStatusB</v>
      </c>
      <c r="B8" s="51" t="s">
        <v>1489</v>
      </c>
      <c r="C8" s="51" t="s">
        <v>169</v>
      </c>
      <c r="D8" s="51" t="s">
        <v>1301</v>
      </c>
      <c r="E8" s="51" t="s">
        <v>1456</v>
      </c>
      <c r="G8" s="51" t="s">
        <v>1365</v>
      </c>
      <c r="H8" s="52" t="s">
        <v>1490</v>
      </c>
      <c r="J8" s="44" t="s">
        <v>1491</v>
      </c>
      <c r="K8" s="52" t="s">
        <v>1492</v>
      </c>
      <c r="M8" s="44" t="s">
        <v>1493</v>
      </c>
      <c r="N8" s="44" t="s">
        <v>1494</v>
      </c>
      <c r="V8" s="55"/>
      <c r="W8" s="55"/>
      <c r="Y8" s="49" t="s">
        <v>1495</v>
      </c>
    </row>
    <row r="9" spans="1:31" ht="28.5" x14ac:dyDescent="0.2">
      <c r="A9" s="50" t="str">
        <f t="shared" si="0"/>
        <v>LocalStatusC</v>
      </c>
      <c r="B9" s="51" t="s">
        <v>1496</v>
      </c>
      <c r="C9" s="51" t="s">
        <v>169</v>
      </c>
      <c r="D9" s="51" t="s">
        <v>1301</v>
      </c>
      <c r="E9" s="51" t="s">
        <v>1467</v>
      </c>
      <c r="G9" s="51" t="s">
        <v>1367</v>
      </c>
      <c r="H9" s="52" t="s">
        <v>1497</v>
      </c>
      <c r="J9" s="44" t="s">
        <v>1498</v>
      </c>
      <c r="K9" s="52" t="s">
        <v>1498</v>
      </c>
      <c r="M9" s="44" t="s">
        <v>1499</v>
      </c>
      <c r="N9" s="44" t="s">
        <v>1500</v>
      </c>
      <c r="V9" s="55"/>
      <c r="W9" s="55"/>
      <c r="Y9" s="49" t="s">
        <v>1501</v>
      </c>
    </row>
    <row r="10" spans="1:31" ht="28.5" x14ac:dyDescent="0.2">
      <c r="A10" s="50" t="str">
        <f t="shared" si="0"/>
        <v>OperationCountDiscreteABC</v>
      </c>
      <c r="B10" s="51" t="s">
        <v>1502</v>
      </c>
      <c r="C10" s="51" t="s">
        <v>1307</v>
      </c>
      <c r="D10" s="51" t="s">
        <v>1308</v>
      </c>
      <c r="E10" s="51" t="s">
        <v>1425</v>
      </c>
      <c r="G10" s="51" t="s">
        <v>1388</v>
      </c>
      <c r="H10" s="52" t="s">
        <v>1503</v>
      </c>
      <c r="J10" s="44" t="s">
        <v>1504</v>
      </c>
      <c r="K10" s="52" t="s">
        <v>1505</v>
      </c>
      <c r="M10" s="44" t="s">
        <v>1506</v>
      </c>
      <c r="N10" s="44" t="s">
        <v>1507</v>
      </c>
      <c r="V10" s="55"/>
      <c r="W10" s="55"/>
      <c r="Y10" s="49" t="s">
        <v>1508</v>
      </c>
    </row>
    <row r="11" spans="1:31" ht="28.5" x14ac:dyDescent="0.2">
      <c r="A11" s="50" t="str">
        <f t="shared" si="0"/>
        <v>OperationCountDiscreteA</v>
      </c>
      <c r="B11" s="51" t="s">
        <v>1509</v>
      </c>
      <c r="C11" s="51" t="s">
        <v>1307</v>
      </c>
      <c r="D11" s="51" t="s">
        <v>1308</v>
      </c>
      <c r="E11" s="51" t="s">
        <v>1440</v>
      </c>
      <c r="G11" s="51" t="s">
        <v>1373</v>
      </c>
      <c r="H11" s="52" t="s">
        <v>1510</v>
      </c>
      <c r="J11" s="44" t="s">
        <v>1511</v>
      </c>
      <c r="K11" s="52" t="s">
        <v>1512</v>
      </c>
      <c r="M11" s="44" t="s">
        <v>1513</v>
      </c>
      <c r="N11" s="44" t="s">
        <v>1514</v>
      </c>
      <c r="V11" s="55"/>
      <c r="W11" s="55"/>
      <c r="Y11" s="49" t="s">
        <v>1515</v>
      </c>
    </row>
    <row r="12" spans="1:31" ht="28.5" x14ac:dyDescent="0.2">
      <c r="A12" s="50" t="str">
        <f t="shared" si="0"/>
        <v>OperationCountDiscreteB</v>
      </c>
      <c r="B12" s="51" t="s">
        <v>1516</v>
      </c>
      <c r="C12" s="51" t="s">
        <v>1307</v>
      </c>
      <c r="D12" s="51" t="s">
        <v>1308</v>
      </c>
      <c r="E12" s="51" t="s">
        <v>1456</v>
      </c>
      <c r="G12" s="51" t="s">
        <v>912</v>
      </c>
      <c r="H12" s="52" t="s">
        <v>1517</v>
      </c>
      <c r="J12" s="44" t="s">
        <v>1518</v>
      </c>
      <c r="K12" s="52" t="s">
        <v>1519</v>
      </c>
      <c r="M12" s="44" t="s">
        <v>1520</v>
      </c>
      <c r="N12" s="44" t="s">
        <v>1521</v>
      </c>
      <c r="V12" s="55"/>
      <c r="W12" s="55"/>
      <c r="Y12" s="49" t="s">
        <v>1522</v>
      </c>
    </row>
    <row r="13" spans="1:31" ht="15" x14ac:dyDescent="0.2">
      <c r="A13" s="50" t="str">
        <f t="shared" si="0"/>
        <v>OperationCountDiscreteC</v>
      </c>
      <c r="B13" s="51" t="s">
        <v>1523</v>
      </c>
      <c r="C13" s="51" t="s">
        <v>1307</v>
      </c>
      <c r="D13" s="51" t="s">
        <v>1308</v>
      </c>
      <c r="E13" s="51" t="s">
        <v>1467</v>
      </c>
      <c r="G13" s="51" t="s">
        <v>1524</v>
      </c>
      <c r="H13" s="52" t="s">
        <v>1525</v>
      </c>
      <c r="J13" s="44" t="s">
        <v>1526</v>
      </c>
      <c r="K13" s="52" t="s">
        <v>1527</v>
      </c>
      <c r="M13" s="44" t="s">
        <v>1528</v>
      </c>
      <c r="N13" s="44" t="s">
        <v>1529</v>
      </c>
      <c r="V13" s="55"/>
      <c r="W13" s="55"/>
      <c r="Y13" s="49" t="s">
        <v>1530</v>
      </c>
    </row>
    <row r="14" spans="1:31" ht="15" x14ac:dyDescent="0.2">
      <c r="A14" s="50" t="str">
        <f t="shared" si="0"/>
        <v>FaultStatusStatusABC</v>
      </c>
      <c r="B14" s="51" t="s">
        <v>1531</v>
      </c>
      <c r="C14" s="51" t="s">
        <v>1351</v>
      </c>
      <c r="D14" s="51" t="s">
        <v>1301</v>
      </c>
      <c r="E14" s="51" t="s">
        <v>1425</v>
      </c>
      <c r="G14" s="56" t="s">
        <v>1532</v>
      </c>
      <c r="H14" s="52" t="s">
        <v>1533</v>
      </c>
      <c r="J14" s="44" t="s">
        <v>1534</v>
      </c>
      <c r="K14" s="52" t="s">
        <v>1535</v>
      </c>
      <c r="M14" s="44" t="s">
        <v>1536</v>
      </c>
      <c r="N14" s="44" t="s">
        <v>1537</v>
      </c>
      <c r="V14" s="55"/>
      <c r="W14" s="55"/>
      <c r="Y14" s="49" t="s">
        <v>1538</v>
      </c>
    </row>
    <row r="15" spans="1:31" ht="28.5" x14ac:dyDescent="0.2">
      <c r="A15" s="50" t="str">
        <f t="shared" si="0"/>
        <v>FaultStatusStatusA</v>
      </c>
      <c r="B15" s="51" t="s">
        <v>1539</v>
      </c>
      <c r="C15" s="51" t="s">
        <v>1351</v>
      </c>
      <c r="D15" s="51" t="s">
        <v>1301</v>
      </c>
      <c r="E15" s="51" t="s">
        <v>1440</v>
      </c>
      <c r="G15" s="51" t="s">
        <v>1540</v>
      </c>
      <c r="H15" s="52" t="s">
        <v>1541</v>
      </c>
      <c r="J15" s="44" t="s">
        <v>1542</v>
      </c>
      <c r="K15" s="52" t="s">
        <v>1543</v>
      </c>
      <c r="M15" s="44" t="s">
        <v>1544</v>
      </c>
      <c r="N15" s="44" t="s">
        <v>1545</v>
      </c>
      <c r="V15" s="55"/>
      <c r="W15" s="55"/>
      <c r="Y15" s="49" t="s">
        <v>1546</v>
      </c>
    </row>
    <row r="16" spans="1:31" ht="28.5" x14ac:dyDescent="0.2">
      <c r="A16" s="50" t="str">
        <f t="shared" si="0"/>
        <v>FaultStatusStatusB</v>
      </c>
      <c r="B16" s="51" t="s">
        <v>1547</v>
      </c>
      <c r="C16" s="51" t="s">
        <v>1351</v>
      </c>
      <c r="D16" s="51" t="s">
        <v>1301</v>
      </c>
      <c r="E16" s="51" t="s">
        <v>1456</v>
      </c>
      <c r="G16" s="51" t="s">
        <v>1548</v>
      </c>
      <c r="H16" s="52" t="s">
        <v>1525</v>
      </c>
      <c r="J16" s="44" t="s">
        <v>1549</v>
      </c>
      <c r="K16" s="52" t="s">
        <v>1550</v>
      </c>
      <c r="M16" s="44" t="s">
        <v>1551</v>
      </c>
      <c r="N16" s="44" t="s">
        <v>1552</v>
      </c>
      <c r="V16" s="55"/>
      <c r="W16" s="55"/>
      <c r="Y16" s="49" t="s">
        <v>1553</v>
      </c>
    </row>
    <row r="17" spans="1:31" ht="28.5" x14ac:dyDescent="0.2">
      <c r="A17" s="50" t="str">
        <f t="shared" si="0"/>
        <v>FaultStatusStatusC</v>
      </c>
      <c r="B17" s="51" t="s">
        <v>1554</v>
      </c>
      <c r="C17" s="51" t="s">
        <v>1351</v>
      </c>
      <c r="D17" s="51" t="s">
        <v>1301</v>
      </c>
      <c r="E17" s="51" t="s">
        <v>1467</v>
      </c>
      <c r="G17" s="51" t="s">
        <v>34</v>
      </c>
      <c r="H17" s="52" t="s">
        <v>1555</v>
      </c>
      <c r="J17" s="44" t="s">
        <v>1556</v>
      </c>
      <c r="K17" s="52" t="s">
        <v>1557</v>
      </c>
      <c r="M17" s="44" t="s">
        <v>1558</v>
      </c>
      <c r="N17" s="44" t="s">
        <v>1559</v>
      </c>
      <c r="V17" s="55"/>
      <c r="W17" s="55"/>
      <c r="Y17" s="49" t="s">
        <v>1560</v>
      </c>
    </row>
    <row r="18" spans="1:31" ht="15" x14ac:dyDescent="0.2">
      <c r="A18" s="50" t="str">
        <f t="shared" si="0"/>
        <v>MaxOpCountDiscreteABC</v>
      </c>
      <c r="B18" s="51" t="s">
        <v>1561</v>
      </c>
      <c r="C18" s="51" t="s">
        <v>1360</v>
      </c>
      <c r="D18" s="51" t="s">
        <v>1308</v>
      </c>
      <c r="E18" s="51" t="s">
        <v>1425</v>
      </c>
      <c r="G18" s="51" t="s">
        <v>1310</v>
      </c>
      <c r="H18" s="52" t="s">
        <v>1562</v>
      </c>
      <c r="J18" s="44" t="s">
        <v>1563</v>
      </c>
      <c r="K18" s="52" t="s">
        <v>1564</v>
      </c>
      <c r="M18" s="44" t="s">
        <v>1565</v>
      </c>
      <c r="N18" s="44" t="s">
        <v>1566</v>
      </c>
      <c r="V18" s="55"/>
      <c r="W18" s="55"/>
      <c r="Y18" s="49" t="s">
        <v>1567</v>
      </c>
    </row>
    <row r="19" spans="1:31" ht="15" x14ac:dyDescent="0.2">
      <c r="A19" s="50" t="str">
        <f t="shared" si="0"/>
        <v>MaxOpCountDiscreteA</v>
      </c>
      <c r="B19" s="51" t="s">
        <v>1568</v>
      </c>
      <c r="C19" s="51" t="s">
        <v>1360</v>
      </c>
      <c r="D19" s="51" t="s">
        <v>1308</v>
      </c>
      <c r="E19" s="51" t="s">
        <v>1440</v>
      </c>
      <c r="G19" s="51" t="s">
        <v>649</v>
      </c>
      <c r="H19" s="52" t="s">
        <v>1569</v>
      </c>
      <c r="J19" s="44" t="s">
        <v>1570</v>
      </c>
      <c r="K19" s="52" t="s">
        <v>1571</v>
      </c>
      <c r="M19" s="44" t="s">
        <v>1572</v>
      </c>
      <c r="N19" s="44" t="s">
        <v>1573</v>
      </c>
      <c r="V19" s="55"/>
      <c r="W19" s="55"/>
      <c r="Y19" s="49" t="s">
        <v>1574</v>
      </c>
    </row>
    <row r="20" spans="1:31" ht="15" x14ac:dyDescent="0.2">
      <c r="A20" s="50" t="str">
        <f t="shared" si="0"/>
        <v>MaxOpCountDiscreteB</v>
      </c>
      <c r="B20" s="51" t="s">
        <v>1575</v>
      </c>
      <c r="C20" s="51" t="s">
        <v>1360</v>
      </c>
      <c r="D20" s="51" t="s">
        <v>1308</v>
      </c>
      <c r="E20" s="51" t="s">
        <v>1456</v>
      </c>
      <c r="G20" s="51" t="s">
        <v>1576</v>
      </c>
      <c r="H20" s="52" t="s">
        <v>1577</v>
      </c>
      <c r="J20" s="44" t="s">
        <v>1578</v>
      </c>
      <c r="K20" s="52" t="s">
        <v>1579</v>
      </c>
      <c r="M20" s="44" t="s">
        <v>1580</v>
      </c>
      <c r="N20" s="44" t="s">
        <v>1581</v>
      </c>
      <c r="V20" s="55"/>
      <c r="W20" s="55"/>
      <c r="Y20" s="49" t="s">
        <v>1582</v>
      </c>
    </row>
    <row r="21" spans="1:31" ht="28.5" x14ac:dyDescent="0.2">
      <c r="A21" s="50" t="str">
        <f t="shared" si="0"/>
        <v>MaxOpCountDiscreteC</v>
      </c>
      <c r="B21" s="51" t="s">
        <v>1583</v>
      </c>
      <c r="C21" s="51" t="s">
        <v>1360</v>
      </c>
      <c r="D21" s="51" t="s">
        <v>1308</v>
      </c>
      <c r="E21" s="51" t="s">
        <v>1467</v>
      </c>
      <c r="G21" s="51" t="s">
        <v>1378</v>
      </c>
      <c r="H21" s="52" t="s">
        <v>1584</v>
      </c>
      <c r="J21" s="44" t="s">
        <v>1585</v>
      </c>
      <c r="K21" s="52" t="s">
        <v>1586</v>
      </c>
      <c r="M21" s="44" t="s">
        <v>1587</v>
      </c>
      <c r="N21" s="44" t="s">
        <v>1588</v>
      </c>
      <c r="V21" s="55"/>
      <c r="W21" s="55"/>
      <c r="Y21" s="11" t="s">
        <v>1589</v>
      </c>
    </row>
    <row r="22" spans="1:31" ht="28.5" x14ac:dyDescent="0.2">
      <c r="A22" s="50" t="str">
        <f t="shared" si="0"/>
        <v>HourlyOpCountDiscreteABC</v>
      </c>
      <c r="B22" s="51" t="s">
        <v>1590</v>
      </c>
      <c r="C22" s="51" t="s">
        <v>1363</v>
      </c>
      <c r="D22" s="51" t="s">
        <v>1308</v>
      </c>
      <c r="E22" s="51" t="s">
        <v>1425</v>
      </c>
      <c r="G22" s="51" t="s">
        <v>451</v>
      </c>
      <c r="H22" s="52" t="s">
        <v>1591</v>
      </c>
      <c r="J22" s="44" t="s">
        <v>1592</v>
      </c>
      <c r="K22" s="52" t="s">
        <v>1593</v>
      </c>
      <c r="M22" s="44" t="s">
        <v>1594</v>
      </c>
      <c r="N22" s="44" t="s">
        <v>1595</v>
      </c>
      <c r="S22" s="57"/>
      <c r="T22" s="57"/>
      <c r="U22" s="57"/>
      <c r="V22" s="57"/>
      <c r="W22" s="57"/>
      <c r="X22" s="57"/>
      <c r="Y22" s="57"/>
      <c r="Z22" s="57"/>
      <c r="AA22" s="57"/>
      <c r="AB22" s="57"/>
      <c r="AC22" s="57"/>
      <c r="AD22" s="57"/>
      <c r="AE22" s="57"/>
    </row>
    <row r="23" spans="1:31" ht="28.5" x14ac:dyDescent="0.2">
      <c r="A23" s="50" t="str">
        <f t="shared" si="0"/>
        <v>HourlyOpCountDiscreteA</v>
      </c>
      <c r="B23" s="51" t="s">
        <v>1596</v>
      </c>
      <c r="C23" s="51" t="s">
        <v>1363</v>
      </c>
      <c r="D23" s="51" t="s">
        <v>1308</v>
      </c>
      <c r="E23" s="51" t="s">
        <v>1440</v>
      </c>
      <c r="G23" s="51" t="s">
        <v>1333</v>
      </c>
      <c r="H23" s="52" t="s">
        <v>1597</v>
      </c>
      <c r="J23" s="44" t="s">
        <v>1598</v>
      </c>
      <c r="K23" s="52" t="s">
        <v>1599</v>
      </c>
      <c r="M23" s="44" t="s">
        <v>1600</v>
      </c>
      <c r="N23" s="52" t="s">
        <v>1601</v>
      </c>
      <c r="S23" s="57"/>
      <c r="T23" s="57"/>
      <c r="U23" s="57"/>
      <c r="V23" s="57"/>
      <c r="W23" s="57"/>
      <c r="X23" s="57"/>
      <c r="Y23" s="57"/>
      <c r="Z23" s="57"/>
      <c r="AA23" s="57"/>
      <c r="AB23" s="57"/>
      <c r="AC23" s="57"/>
      <c r="AD23" s="57"/>
      <c r="AE23" s="57"/>
    </row>
    <row r="24" spans="1:31" ht="15" x14ac:dyDescent="0.2">
      <c r="A24" s="50" t="str">
        <f t="shared" si="0"/>
        <v>HourlyOpCountDiscreteB</v>
      </c>
      <c r="B24" s="51" t="s">
        <v>1602</v>
      </c>
      <c r="C24" s="51" t="s">
        <v>1363</v>
      </c>
      <c r="D24" s="51" t="s">
        <v>1308</v>
      </c>
      <c r="E24" s="51" t="s">
        <v>1456</v>
      </c>
      <c r="G24" s="51" t="s">
        <v>1603</v>
      </c>
      <c r="H24" s="52" t="s">
        <v>1604</v>
      </c>
      <c r="J24" s="44" t="s">
        <v>1605</v>
      </c>
      <c r="K24" s="52" t="s">
        <v>1606</v>
      </c>
      <c r="M24" s="44" t="s">
        <v>1607</v>
      </c>
      <c r="N24" s="52" t="s">
        <v>1608</v>
      </c>
    </row>
    <row r="25" spans="1:31" ht="15" x14ac:dyDescent="0.2">
      <c r="A25" s="50" t="str">
        <f t="shared" si="0"/>
        <v>HourlyOpCountDiscreteC</v>
      </c>
      <c r="B25" s="51" t="s">
        <v>1609</v>
      </c>
      <c r="C25" s="51" t="s">
        <v>1363</v>
      </c>
      <c r="D25" s="51" t="s">
        <v>1308</v>
      </c>
      <c r="E25" s="51" t="s">
        <v>1467</v>
      </c>
      <c r="G25" s="51" t="s">
        <v>1610</v>
      </c>
      <c r="H25" s="52" t="s">
        <v>1611</v>
      </c>
      <c r="J25" s="44" t="s">
        <v>1612</v>
      </c>
      <c r="K25" s="52" t="s">
        <v>1613</v>
      </c>
      <c r="M25" s="44" t="s">
        <v>1614</v>
      </c>
      <c r="N25" s="52" t="s">
        <v>1615</v>
      </c>
    </row>
    <row r="26" spans="1:31" ht="28.5" x14ac:dyDescent="0.2">
      <c r="A26" s="50" t="str">
        <f t="shared" si="0"/>
        <v>DailyOpCountDiscreteABC</v>
      </c>
      <c r="B26" s="51" t="s">
        <v>1616</v>
      </c>
      <c r="C26" s="51" t="s">
        <v>1365</v>
      </c>
      <c r="D26" s="51" t="s">
        <v>1308</v>
      </c>
      <c r="E26" s="51" t="s">
        <v>1425</v>
      </c>
      <c r="G26" s="51" t="s">
        <v>1617</v>
      </c>
      <c r="H26" s="52" t="s">
        <v>1618</v>
      </c>
      <c r="J26" s="44" t="s">
        <v>1619</v>
      </c>
      <c r="K26" s="52" t="s">
        <v>1619</v>
      </c>
      <c r="M26" s="44" t="s">
        <v>1620</v>
      </c>
      <c r="N26" s="52" t="s">
        <v>1621</v>
      </c>
    </row>
    <row r="27" spans="1:31" ht="28.5" x14ac:dyDescent="0.2">
      <c r="A27" s="50" t="str">
        <f t="shared" si="0"/>
        <v>DailyOpCountDiscreteA</v>
      </c>
      <c r="B27" s="51" t="s">
        <v>1622</v>
      </c>
      <c r="C27" s="51" t="s">
        <v>1365</v>
      </c>
      <c r="D27" s="51" t="s">
        <v>1308</v>
      </c>
      <c r="E27" s="51" t="s">
        <v>1440</v>
      </c>
      <c r="G27" s="51" t="s">
        <v>1623</v>
      </c>
      <c r="H27" s="52" t="s">
        <v>1624</v>
      </c>
      <c r="J27" s="44" t="s">
        <v>1625</v>
      </c>
      <c r="K27" s="52" t="s">
        <v>1626</v>
      </c>
      <c r="M27" s="51" t="s">
        <v>984</v>
      </c>
      <c r="N27" s="58" t="s">
        <v>1627</v>
      </c>
    </row>
    <row r="28" spans="1:31" ht="28.5" x14ac:dyDescent="0.2">
      <c r="A28" s="50" t="str">
        <f t="shared" si="0"/>
        <v>DailyOpCountDiscreteB</v>
      </c>
      <c r="B28" s="51" t="s">
        <v>1628</v>
      </c>
      <c r="C28" s="51" t="s">
        <v>1365</v>
      </c>
      <c r="D28" s="51" t="s">
        <v>1308</v>
      </c>
      <c r="E28" s="51" t="s">
        <v>1456</v>
      </c>
      <c r="G28" s="51" t="s">
        <v>1629</v>
      </c>
      <c r="H28" s="52" t="s">
        <v>1630</v>
      </c>
      <c r="J28" s="44" t="s">
        <v>1631</v>
      </c>
      <c r="K28" s="52" t="s">
        <v>1632</v>
      </c>
      <c r="M28" s="51" t="s">
        <v>1633</v>
      </c>
      <c r="N28" s="51" t="s">
        <v>1634</v>
      </c>
    </row>
    <row r="29" spans="1:31" ht="15" x14ac:dyDescent="0.2">
      <c r="A29" s="50" t="str">
        <f t="shared" si="0"/>
        <v>DailyOpCountDiscreteC</v>
      </c>
      <c r="B29" s="51" t="s">
        <v>1635</v>
      </c>
      <c r="C29" s="51" t="s">
        <v>1365</v>
      </c>
      <c r="D29" s="51" t="s">
        <v>1308</v>
      </c>
      <c r="E29" s="51" t="s">
        <v>1467</v>
      </c>
      <c r="G29" s="51" t="s">
        <v>1636</v>
      </c>
      <c r="H29" s="52" t="s">
        <v>1637</v>
      </c>
      <c r="J29" s="44" t="s">
        <v>1638</v>
      </c>
      <c r="K29" s="52" t="s">
        <v>1639</v>
      </c>
      <c r="M29" s="51" t="s">
        <v>1640</v>
      </c>
      <c r="N29" s="51" t="s">
        <v>1641</v>
      </c>
    </row>
    <row r="30" spans="1:31" ht="15" x14ac:dyDescent="0.2">
      <c r="A30" s="50" t="str">
        <f t="shared" si="0"/>
        <v>MonthlyOpCountDiscreteABC</v>
      </c>
      <c r="B30" s="51" t="s">
        <v>1642</v>
      </c>
      <c r="C30" s="51" t="s">
        <v>1367</v>
      </c>
      <c r="D30" s="51" t="s">
        <v>1308</v>
      </c>
      <c r="E30" s="51" t="s">
        <v>1425</v>
      </c>
      <c r="G30" s="51" t="s">
        <v>1643</v>
      </c>
      <c r="H30" s="52" t="s">
        <v>1644</v>
      </c>
      <c r="J30" s="44" t="s">
        <v>1645</v>
      </c>
      <c r="K30" s="52" t="s">
        <v>1646</v>
      </c>
      <c r="M30" s="51" t="s">
        <v>1647</v>
      </c>
      <c r="N30" s="51" t="s">
        <v>1648</v>
      </c>
    </row>
    <row r="31" spans="1:31" ht="15" x14ac:dyDescent="0.2">
      <c r="A31" s="50" t="str">
        <f t="shared" si="0"/>
        <v>MonthlyOpCountDiscreteA</v>
      </c>
      <c r="B31" s="51" t="s">
        <v>1649</v>
      </c>
      <c r="C31" s="51" t="s">
        <v>1367</v>
      </c>
      <c r="D31" s="51" t="s">
        <v>1308</v>
      </c>
      <c r="E31" s="51" t="s">
        <v>1440</v>
      </c>
      <c r="G31" s="51" t="s">
        <v>1650</v>
      </c>
      <c r="H31" s="52" t="s">
        <v>1651</v>
      </c>
      <c r="J31" s="44" t="s">
        <v>1652</v>
      </c>
      <c r="K31" s="52" t="s">
        <v>1653</v>
      </c>
    </row>
    <row r="32" spans="1:31" ht="28.5" x14ac:dyDescent="0.2">
      <c r="A32" s="50" t="str">
        <f t="shared" si="0"/>
        <v>MonthlyOpCountDiscreteB</v>
      </c>
      <c r="B32" s="51" t="s">
        <v>1654</v>
      </c>
      <c r="C32" s="51" t="s">
        <v>1367</v>
      </c>
      <c r="D32" s="51" t="s">
        <v>1308</v>
      </c>
      <c r="E32" s="51" t="s">
        <v>1456</v>
      </c>
      <c r="G32" s="51" t="s">
        <v>39</v>
      </c>
      <c r="H32" s="52" t="s">
        <v>1655</v>
      </c>
      <c r="J32" s="44" t="s">
        <v>1656</v>
      </c>
      <c r="K32" s="52" t="s">
        <v>1657</v>
      </c>
    </row>
    <row r="33" spans="1:11" ht="15" x14ac:dyDescent="0.2">
      <c r="A33" s="50" t="str">
        <f t="shared" si="0"/>
        <v>MonthlyOpCountDiscreteC</v>
      </c>
      <c r="B33" s="51" t="s">
        <v>1658</v>
      </c>
      <c r="C33" s="51" t="s">
        <v>1367</v>
      </c>
      <c r="D33" s="51" t="s">
        <v>1308</v>
      </c>
      <c r="E33" s="51" t="s">
        <v>1467</v>
      </c>
      <c r="G33" s="51" t="s">
        <v>353</v>
      </c>
      <c r="H33" s="52" t="s">
        <v>1659</v>
      </c>
      <c r="J33" s="44" t="s">
        <v>1660</v>
      </c>
      <c r="K33" s="52" t="s">
        <v>1661</v>
      </c>
    </row>
    <row r="34" spans="1:11" ht="15" x14ac:dyDescent="0.2">
      <c r="A34" s="50" t="str">
        <f t="shared" si="0"/>
        <v>PowerOnStatusABC</v>
      </c>
      <c r="B34" s="51" t="s">
        <v>1662</v>
      </c>
      <c r="C34" s="51" t="s">
        <v>1388</v>
      </c>
      <c r="D34" s="51" t="s">
        <v>1301</v>
      </c>
      <c r="E34" s="51" t="s">
        <v>1425</v>
      </c>
      <c r="G34" s="51" t="s">
        <v>358</v>
      </c>
      <c r="H34" s="52" t="s">
        <v>1663</v>
      </c>
      <c r="J34" s="44" t="s">
        <v>1664</v>
      </c>
      <c r="K34" s="52" t="s">
        <v>1665</v>
      </c>
    </row>
    <row r="35" spans="1:11" ht="15" x14ac:dyDescent="0.2">
      <c r="A35" s="50" t="str">
        <f t="shared" si="0"/>
        <v>PowerOnStatusA</v>
      </c>
      <c r="B35" s="51" t="s">
        <v>1666</v>
      </c>
      <c r="C35" s="51" t="s">
        <v>1388</v>
      </c>
      <c r="D35" s="51" t="s">
        <v>1301</v>
      </c>
      <c r="E35" s="51" t="s">
        <v>1440</v>
      </c>
      <c r="G35" s="51" t="s">
        <v>1667</v>
      </c>
      <c r="H35" s="52" t="s">
        <v>1668</v>
      </c>
      <c r="J35" s="44" t="s">
        <v>1669</v>
      </c>
      <c r="K35" s="52" t="s">
        <v>1669</v>
      </c>
    </row>
    <row r="36" spans="1:11" ht="15" x14ac:dyDescent="0.2">
      <c r="A36" s="50" t="str">
        <f t="shared" si="0"/>
        <v>PowerOnStatusB</v>
      </c>
      <c r="B36" s="51" t="s">
        <v>1670</v>
      </c>
      <c r="C36" s="51" t="s">
        <v>1388</v>
      </c>
      <c r="D36" s="51" t="s">
        <v>1301</v>
      </c>
      <c r="E36" s="51" t="s">
        <v>1456</v>
      </c>
      <c r="G36" s="51" t="s">
        <v>1369</v>
      </c>
      <c r="H36" s="52" t="s">
        <v>1671</v>
      </c>
      <c r="J36" s="44" t="s">
        <v>1672</v>
      </c>
      <c r="K36" s="52" t="s">
        <v>1673</v>
      </c>
    </row>
    <row r="37" spans="1:11" ht="28.5" x14ac:dyDescent="0.2">
      <c r="A37" s="50" t="str">
        <f t="shared" si="0"/>
        <v>PowerOnStatusC</v>
      </c>
      <c r="B37" s="51" t="s">
        <v>1674</v>
      </c>
      <c r="C37" s="51" t="s">
        <v>1388</v>
      </c>
      <c r="D37" s="51" t="s">
        <v>1301</v>
      </c>
      <c r="E37" s="51" t="s">
        <v>1467</v>
      </c>
      <c r="G37" s="51" t="s">
        <v>1353</v>
      </c>
      <c r="H37" s="52" t="s">
        <v>1675</v>
      </c>
      <c r="J37" s="44" t="s">
        <v>1676</v>
      </c>
      <c r="K37" s="52" t="s">
        <v>1677</v>
      </c>
    </row>
    <row r="38" spans="1:11" ht="21.75" customHeight="1" x14ac:dyDescent="0.2">
      <c r="A38" s="50" t="str">
        <f t="shared" si="0"/>
        <v>ForwardStatusABC</v>
      </c>
      <c r="B38" s="51" t="s">
        <v>1678</v>
      </c>
      <c r="C38" s="51" t="s">
        <v>1373</v>
      </c>
      <c r="D38" s="51" t="s">
        <v>1301</v>
      </c>
      <c r="E38" s="51" t="s">
        <v>1425</v>
      </c>
      <c r="G38" s="51" t="s">
        <v>1355</v>
      </c>
      <c r="H38" s="52" t="s">
        <v>1679</v>
      </c>
      <c r="J38" s="44" t="s">
        <v>1680</v>
      </c>
      <c r="K38" s="52" t="s">
        <v>1681</v>
      </c>
    </row>
    <row r="39" spans="1:11" ht="15" x14ac:dyDescent="0.2">
      <c r="A39" s="50" t="str">
        <f t="shared" si="0"/>
        <v>ForwardStatusA</v>
      </c>
      <c r="B39" s="51" t="s">
        <v>1682</v>
      </c>
      <c r="C39" s="51" t="s">
        <v>1373</v>
      </c>
      <c r="D39" s="51" t="s">
        <v>1301</v>
      </c>
      <c r="E39" s="51" t="s">
        <v>1440</v>
      </c>
      <c r="G39" s="51" t="s">
        <v>1380</v>
      </c>
      <c r="H39" s="52" t="s">
        <v>1683</v>
      </c>
      <c r="J39" s="44" t="s">
        <v>1684</v>
      </c>
      <c r="K39" s="52" t="s">
        <v>1685</v>
      </c>
    </row>
    <row r="40" spans="1:11" ht="42.75" x14ac:dyDescent="0.2">
      <c r="A40" s="50" t="str">
        <f t="shared" si="0"/>
        <v>ForwardStatusB</v>
      </c>
      <c r="B40" s="51" t="s">
        <v>1686</v>
      </c>
      <c r="C40" s="51" t="s">
        <v>1373</v>
      </c>
      <c r="D40" s="51" t="s">
        <v>1301</v>
      </c>
      <c r="E40" s="51" t="s">
        <v>1456</v>
      </c>
      <c r="G40" s="51" t="s">
        <v>1687</v>
      </c>
      <c r="H40" s="52" t="s">
        <v>1688</v>
      </c>
      <c r="J40" s="44" t="s">
        <v>1689</v>
      </c>
      <c r="K40" s="52" t="s">
        <v>1690</v>
      </c>
    </row>
    <row r="41" spans="1:11" ht="28.5" x14ac:dyDescent="0.2">
      <c r="A41" s="50" t="str">
        <f t="shared" si="0"/>
        <v>ForwardStatusC</v>
      </c>
      <c r="B41" s="51" t="s">
        <v>1691</v>
      </c>
      <c r="C41" s="51" t="s">
        <v>1373</v>
      </c>
      <c r="D41" s="51" t="s">
        <v>1301</v>
      </c>
      <c r="E41" s="51" t="s">
        <v>1467</v>
      </c>
      <c r="G41" s="51" t="s">
        <v>1692</v>
      </c>
      <c r="H41" s="52" t="s">
        <v>1693</v>
      </c>
      <c r="J41" s="44" t="s">
        <v>1694</v>
      </c>
      <c r="K41" s="52" t="s">
        <v>1695</v>
      </c>
    </row>
    <row r="42" spans="1:11" ht="28.5" x14ac:dyDescent="0.2">
      <c r="A42" s="50" t="str">
        <f t="shared" si="0"/>
        <v>HotLineTagStatusABC</v>
      </c>
      <c r="B42" s="51" t="s">
        <v>1696</v>
      </c>
      <c r="C42" s="51" t="s">
        <v>912</v>
      </c>
      <c r="D42" s="51" t="s">
        <v>1301</v>
      </c>
      <c r="E42" s="51" t="s">
        <v>1425</v>
      </c>
      <c r="G42" s="51" t="s">
        <v>1697</v>
      </c>
      <c r="H42" s="52" t="s">
        <v>1688</v>
      </c>
    </row>
    <row r="43" spans="1:11" ht="28.5" x14ac:dyDescent="0.2">
      <c r="A43" s="50" t="str">
        <f t="shared" si="0"/>
        <v>HotLineTagStatusA</v>
      </c>
      <c r="B43" s="51" t="s">
        <v>1698</v>
      </c>
      <c r="C43" s="51" t="s">
        <v>912</v>
      </c>
      <c r="D43" s="51" t="s">
        <v>1301</v>
      </c>
      <c r="E43" s="51" t="s">
        <v>1440</v>
      </c>
      <c r="G43" s="51" t="s">
        <v>1699</v>
      </c>
      <c r="H43" s="52" t="s">
        <v>1693</v>
      </c>
    </row>
    <row r="44" spans="1:11" ht="28.5" x14ac:dyDescent="0.2">
      <c r="A44" s="50" t="str">
        <f t="shared" si="0"/>
        <v>HotLineTagStatusB</v>
      </c>
      <c r="B44" s="51" t="s">
        <v>1700</v>
      </c>
      <c r="C44" s="51" t="s">
        <v>912</v>
      </c>
      <c r="D44" s="51" t="s">
        <v>1301</v>
      </c>
      <c r="E44" s="51" t="s">
        <v>1456</v>
      </c>
      <c r="G44" s="51" t="s">
        <v>1701</v>
      </c>
      <c r="H44" s="52" t="s">
        <v>1702</v>
      </c>
    </row>
    <row r="45" spans="1:11" ht="28.5" x14ac:dyDescent="0.2">
      <c r="A45" s="50" t="str">
        <f t="shared" si="0"/>
        <v>HotLineTagStatusC</v>
      </c>
      <c r="B45" s="51" t="s">
        <v>1703</v>
      </c>
      <c r="C45" s="51" t="s">
        <v>912</v>
      </c>
      <c r="D45" s="51" t="s">
        <v>1301</v>
      </c>
      <c r="E45" s="51" t="s">
        <v>1467</v>
      </c>
      <c r="G45" s="51" t="s">
        <v>1704</v>
      </c>
      <c r="H45" s="52" t="s">
        <v>1705</v>
      </c>
    </row>
    <row r="46" spans="1:11" ht="30" x14ac:dyDescent="0.2">
      <c r="A46" s="50" t="str">
        <f t="shared" si="0"/>
        <v>DiscreteSignalType.CustomStatusABC</v>
      </c>
      <c r="B46" s="51" t="s">
        <v>1706</v>
      </c>
      <c r="C46" s="51" t="s">
        <v>1524</v>
      </c>
      <c r="D46" s="51" t="s">
        <v>1301</v>
      </c>
      <c r="E46" s="51" t="s">
        <v>1425</v>
      </c>
    </row>
    <row r="47" spans="1:11" ht="15" x14ac:dyDescent="0.2">
      <c r="A47" s="50" t="str">
        <f t="shared" si="0"/>
        <v>DiscreteSignalType.CustomStatusA</v>
      </c>
      <c r="B47" s="51" t="s">
        <v>1707</v>
      </c>
      <c r="C47" s="51" t="s">
        <v>1524</v>
      </c>
      <c r="D47" s="51" t="s">
        <v>1301</v>
      </c>
      <c r="E47" s="51" t="s">
        <v>1440</v>
      </c>
    </row>
    <row r="48" spans="1:11" ht="15" x14ac:dyDescent="0.2">
      <c r="A48" s="50" t="str">
        <f t="shared" si="0"/>
        <v>DiscreteSignalType.CustomStatusB</v>
      </c>
      <c r="B48" s="51" t="s">
        <v>1708</v>
      </c>
      <c r="C48" s="51" t="s">
        <v>1524</v>
      </c>
      <c r="D48" s="51" t="s">
        <v>1301</v>
      </c>
      <c r="E48" s="51" t="s">
        <v>1456</v>
      </c>
    </row>
    <row r="49" spans="1:5" ht="15" x14ac:dyDescent="0.2">
      <c r="A49" s="50" t="str">
        <f t="shared" si="0"/>
        <v>DiscreteSignalType.CustomStatusC</v>
      </c>
      <c r="B49" s="51" t="s">
        <v>1709</v>
      </c>
      <c r="C49" s="51" t="s">
        <v>1524</v>
      </c>
      <c r="D49" s="51" t="s">
        <v>1301</v>
      </c>
      <c r="E49" s="51" t="s">
        <v>1467</v>
      </c>
    </row>
    <row r="50" spans="1:5" ht="15" x14ac:dyDescent="0.2">
      <c r="A50" s="50" t="str">
        <f t="shared" si="0"/>
        <v>MeasuredValueVoltageABC</v>
      </c>
      <c r="B50" s="51" t="s">
        <v>1710</v>
      </c>
      <c r="C50" s="51" t="s">
        <v>1532</v>
      </c>
      <c r="D50" s="51" t="s">
        <v>1469</v>
      </c>
      <c r="E50" s="51" t="s">
        <v>1425</v>
      </c>
    </row>
    <row r="51" spans="1:5" ht="15" x14ac:dyDescent="0.2">
      <c r="A51" s="50" t="str">
        <f t="shared" si="0"/>
        <v>MeasuredValueVoltageAB</v>
      </c>
      <c r="B51" s="51" t="s">
        <v>1711</v>
      </c>
      <c r="C51" s="51" t="s">
        <v>1532</v>
      </c>
      <c r="D51" s="51" t="s">
        <v>1469</v>
      </c>
      <c r="E51" s="51" t="s">
        <v>1479</v>
      </c>
    </row>
    <row r="52" spans="1:5" ht="15" x14ac:dyDescent="0.2">
      <c r="A52" s="50" t="str">
        <f t="shared" si="0"/>
        <v>MeasuredValueVoltageBC</v>
      </c>
      <c r="B52" s="51" t="s">
        <v>1712</v>
      </c>
      <c r="C52" s="51" t="s">
        <v>1532</v>
      </c>
      <c r="D52" s="51" t="s">
        <v>1469</v>
      </c>
      <c r="E52" s="51" t="s">
        <v>1486</v>
      </c>
    </row>
    <row r="53" spans="1:5" ht="15" x14ac:dyDescent="0.2">
      <c r="A53" s="50" t="str">
        <f t="shared" si="0"/>
        <v>MeasuredValueVoltageAC</v>
      </c>
      <c r="B53" s="51" t="s">
        <v>1713</v>
      </c>
      <c r="C53" s="51" t="s">
        <v>1532</v>
      </c>
      <c r="D53" s="51" t="s">
        <v>1469</v>
      </c>
      <c r="E53" s="51" t="s">
        <v>1493</v>
      </c>
    </row>
    <row r="54" spans="1:5" ht="15" x14ac:dyDescent="0.2">
      <c r="A54" s="50" t="str">
        <f t="shared" si="0"/>
        <v>MeasuredValueVoltageA</v>
      </c>
      <c r="B54" s="51" t="s">
        <v>1714</v>
      </c>
      <c r="C54" s="51" t="s">
        <v>1532</v>
      </c>
      <c r="D54" s="51" t="s">
        <v>1469</v>
      </c>
      <c r="E54" s="51" t="s">
        <v>1440</v>
      </c>
    </row>
    <row r="55" spans="1:5" ht="15" x14ac:dyDescent="0.2">
      <c r="A55" s="50" t="str">
        <f t="shared" si="0"/>
        <v>MeasuredValueVoltageB</v>
      </c>
      <c r="B55" s="51" t="s">
        <v>1715</v>
      </c>
      <c r="C55" s="51" t="s">
        <v>1532</v>
      </c>
      <c r="D55" s="51" t="s">
        <v>1469</v>
      </c>
      <c r="E55" s="51" t="s">
        <v>1456</v>
      </c>
    </row>
    <row r="56" spans="1:5" ht="15" x14ac:dyDescent="0.2">
      <c r="A56" s="50" t="str">
        <f t="shared" si="0"/>
        <v>MeasuredValueVoltageC</v>
      </c>
      <c r="B56" s="51" t="s">
        <v>1716</v>
      </c>
      <c r="C56" s="51" t="s">
        <v>1532</v>
      </c>
      <c r="D56" s="51" t="s">
        <v>1469</v>
      </c>
      <c r="E56" s="51" t="s">
        <v>1467</v>
      </c>
    </row>
    <row r="57" spans="1:5" ht="15" x14ac:dyDescent="0.2">
      <c r="A57" s="50" t="str">
        <f t="shared" si="0"/>
        <v>MeasuredValueVoltageAngleABC</v>
      </c>
      <c r="B57" s="51" t="s">
        <v>1717</v>
      </c>
      <c r="C57" s="51" t="s">
        <v>1532</v>
      </c>
      <c r="D57" s="51" t="s">
        <v>1477</v>
      </c>
      <c r="E57" s="51" t="s">
        <v>1425</v>
      </c>
    </row>
    <row r="58" spans="1:5" ht="15" x14ac:dyDescent="0.2">
      <c r="A58" s="50" t="str">
        <f t="shared" si="0"/>
        <v>MeasuredValueVoltageAngleAB</v>
      </c>
      <c r="B58" s="51" t="s">
        <v>1718</v>
      </c>
      <c r="C58" s="51" t="s">
        <v>1532</v>
      </c>
      <c r="D58" s="51" t="s">
        <v>1477</v>
      </c>
      <c r="E58" s="51" t="s">
        <v>1479</v>
      </c>
    </row>
    <row r="59" spans="1:5" ht="15" x14ac:dyDescent="0.2">
      <c r="A59" s="50" t="str">
        <f t="shared" si="0"/>
        <v>MeasuredValueVoltageAngleBC</v>
      </c>
      <c r="B59" s="51" t="s">
        <v>1719</v>
      </c>
      <c r="C59" s="51" t="s">
        <v>1532</v>
      </c>
      <c r="D59" s="51" t="s">
        <v>1477</v>
      </c>
      <c r="E59" s="51" t="s">
        <v>1486</v>
      </c>
    </row>
    <row r="60" spans="1:5" ht="15" x14ac:dyDescent="0.2">
      <c r="A60" s="50" t="str">
        <f t="shared" si="0"/>
        <v>MeasuredValueVoltageAngleAC</v>
      </c>
      <c r="B60" s="51" t="s">
        <v>1720</v>
      </c>
      <c r="C60" s="51" t="s">
        <v>1532</v>
      </c>
      <c r="D60" s="51" t="s">
        <v>1477</v>
      </c>
      <c r="E60" s="51" t="s">
        <v>1493</v>
      </c>
    </row>
    <row r="61" spans="1:5" ht="15" x14ac:dyDescent="0.2">
      <c r="A61" s="50" t="str">
        <f t="shared" si="0"/>
        <v>MeasuredValueVoltageAngleA</v>
      </c>
      <c r="B61" s="51" t="s">
        <v>1721</v>
      </c>
      <c r="C61" s="51" t="s">
        <v>1532</v>
      </c>
      <c r="D61" s="51" t="s">
        <v>1477</v>
      </c>
      <c r="E61" s="51" t="s">
        <v>1440</v>
      </c>
    </row>
    <row r="62" spans="1:5" ht="15" x14ac:dyDescent="0.2">
      <c r="A62" s="50" t="str">
        <f t="shared" si="0"/>
        <v>MeasuredValueVoltageAngleB</v>
      </c>
      <c r="B62" s="51" t="s">
        <v>1722</v>
      </c>
      <c r="C62" s="51" t="s">
        <v>1532</v>
      </c>
      <c r="D62" s="51" t="s">
        <v>1477</v>
      </c>
      <c r="E62" s="51" t="s">
        <v>1456</v>
      </c>
    </row>
    <row r="63" spans="1:5" ht="15" x14ac:dyDescent="0.2">
      <c r="A63" s="50" t="str">
        <f t="shared" si="0"/>
        <v>MeasuredValueVoltageAngleC</v>
      </c>
      <c r="B63" s="51" t="s">
        <v>1723</v>
      </c>
      <c r="C63" s="51" t="s">
        <v>1532</v>
      </c>
      <c r="D63" s="51" t="s">
        <v>1477</v>
      </c>
      <c r="E63" s="51" t="s">
        <v>1467</v>
      </c>
    </row>
    <row r="64" spans="1:5" ht="15" x14ac:dyDescent="0.2">
      <c r="A64" s="50" t="str">
        <f t="shared" si="0"/>
        <v>MeasuredValueFrequencyABC</v>
      </c>
      <c r="B64" s="51" t="s">
        <v>1724</v>
      </c>
      <c r="C64" s="51" t="s">
        <v>1532</v>
      </c>
      <c r="D64" s="51" t="s">
        <v>1485</v>
      </c>
      <c r="E64" s="51" t="s">
        <v>1425</v>
      </c>
    </row>
    <row r="65" spans="1:5" ht="15" x14ac:dyDescent="0.2">
      <c r="A65" s="50" t="str">
        <f t="shared" si="0"/>
        <v>MeasuredValueRelativeVoltageABC</v>
      </c>
      <c r="B65" s="51" t="s">
        <v>1725</v>
      </c>
      <c r="C65" s="51" t="s">
        <v>1532</v>
      </c>
      <c r="D65" s="51" t="s">
        <v>1491</v>
      </c>
      <c r="E65" s="51" t="s">
        <v>1425</v>
      </c>
    </row>
    <row r="66" spans="1:5" ht="15" x14ac:dyDescent="0.2">
      <c r="A66" s="50" t="str">
        <f t="shared" si="0"/>
        <v>MeasuredValueRelativeVoltageAB</v>
      </c>
      <c r="B66" s="51" t="s">
        <v>1726</v>
      </c>
      <c r="C66" s="51" t="s">
        <v>1532</v>
      </c>
      <c r="D66" s="51" t="s">
        <v>1491</v>
      </c>
      <c r="E66" s="51" t="s">
        <v>1479</v>
      </c>
    </row>
    <row r="67" spans="1:5" ht="15" x14ac:dyDescent="0.2">
      <c r="A67" s="50" t="str">
        <f t="shared" ref="A67:A132" si="1">CONCATENATE(C67,D67,E67)</f>
        <v>MeasuredValueRelativeVoltageBC</v>
      </c>
      <c r="B67" s="51" t="s">
        <v>1727</v>
      </c>
      <c r="C67" s="51" t="s">
        <v>1532</v>
      </c>
      <c r="D67" s="51" t="s">
        <v>1491</v>
      </c>
      <c r="E67" s="51" t="s">
        <v>1486</v>
      </c>
    </row>
    <row r="68" spans="1:5" ht="15" x14ac:dyDescent="0.2">
      <c r="A68" s="50" t="str">
        <f t="shared" si="1"/>
        <v>MeasuredValueRelativeVoltageAC</v>
      </c>
      <c r="B68" s="51" t="s">
        <v>1728</v>
      </c>
      <c r="C68" s="51" t="s">
        <v>1532</v>
      </c>
      <c r="D68" s="51" t="s">
        <v>1491</v>
      </c>
      <c r="E68" s="51" t="s">
        <v>1493</v>
      </c>
    </row>
    <row r="69" spans="1:5" ht="15" x14ac:dyDescent="0.2">
      <c r="A69" s="50" t="str">
        <f t="shared" si="1"/>
        <v>MeasuredValueRelativeVoltageA</v>
      </c>
      <c r="B69" s="51" t="s">
        <v>1729</v>
      </c>
      <c r="C69" s="51" t="s">
        <v>1532</v>
      </c>
      <c r="D69" s="51" t="s">
        <v>1491</v>
      </c>
      <c r="E69" s="51" t="s">
        <v>1440</v>
      </c>
    </row>
    <row r="70" spans="1:5" ht="15" x14ac:dyDescent="0.2">
      <c r="A70" s="50" t="str">
        <f t="shared" si="1"/>
        <v>MeasuredValueRelativeVoltageB</v>
      </c>
      <c r="B70" s="51" t="s">
        <v>1730</v>
      </c>
      <c r="C70" s="51" t="s">
        <v>1532</v>
      </c>
      <c r="D70" s="51" t="s">
        <v>1491</v>
      </c>
      <c r="E70" s="51" t="s">
        <v>1456</v>
      </c>
    </row>
    <row r="71" spans="1:5" ht="15" x14ac:dyDescent="0.2">
      <c r="A71" s="50" t="str">
        <f t="shared" si="1"/>
        <v>MeasuredValueRelativeVoltageC</v>
      </c>
      <c r="B71" s="51" t="s">
        <v>1731</v>
      </c>
      <c r="C71" s="51" t="s">
        <v>1532</v>
      </c>
      <c r="D71" s="51" t="s">
        <v>1491</v>
      </c>
      <c r="E71" s="51" t="s">
        <v>1467</v>
      </c>
    </row>
    <row r="72" spans="1:5" ht="15" x14ac:dyDescent="0.2">
      <c r="A72" s="50" t="str">
        <f t="shared" si="1"/>
        <v>MeasuredValueCurrentABC</v>
      </c>
      <c r="B72" s="51" t="s">
        <v>1732</v>
      </c>
      <c r="C72" s="51" t="s">
        <v>1532</v>
      </c>
      <c r="D72" s="51" t="s">
        <v>1498</v>
      </c>
      <c r="E72" s="51" t="s">
        <v>1425</v>
      </c>
    </row>
    <row r="73" spans="1:5" ht="15" x14ac:dyDescent="0.2">
      <c r="A73" s="50" t="str">
        <f t="shared" si="1"/>
        <v>MeasuredValueCurrentA</v>
      </c>
      <c r="B73" s="51" t="s">
        <v>1733</v>
      </c>
      <c r="C73" s="51" t="s">
        <v>1532</v>
      </c>
      <c r="D73" s="51" t="s">
        <v>1498</v>
      </c>
      <c r="E73" s="51" t="s">
        <v>1440</v>
      </c>
    </row>
    <row r="74" spans="1:5" ht="15" x14ac:dyDescent="0.2">
      <c r="A74" s="50" t="str">
        <f t="shared" si="1"/>
        <v>MeasuredValueCurrentB</v>
      </c>
      <c r="B74" s="51" t="s">
        <v>1734</v>
      </c>
      <c r="C74" s="51" t="s">
        <v>1532</v>
      </c>
      <c r="D74" s="51" t="s">
        <v>1498</v>
      </c>
      <c r="E74" s="51" t="s">
        <v>1456</v>
      </c>
    </row>
    <row r="75" spans="1:5" ht="15" x14ac:dyDescent="0.2">
      <c r="A75" s="50" t="str">
        <f t="shared" si="1"/>
        <v>MeasuredValueCurrentC</v>
      </c>
      <c r="B75" s="51" t="s">
        <v>1735</v>
      </c>
      <c r="C75" s="51" t="s">
        <v>1532</v>
      </c>
      <c r="D75" s="51" t="s">
        <v>1498</v>
      </c>
      <c r="E75" s="51" t="s">
        <v>1467</v>
      </c>
    </row>
    <row r="76" spans="1:5" ht="15" x14ac:dyDescent="0.2">
      <c r="A76" s="50" t="str">
        <f t="shared" si="1"/>
        <v>MeasuredValueCurrentN</v>
      </c>
      <c r="B76" s="51" t="s">
        <v>1736</v>
      </c>
      <c r="C76" s="51" t="s">
        <v>1532</v>
      </c>
      <c r="D76" s="51" t="s">
        <v>1498</v>
      </c>
      <c r="E76" s="51" t="s">
        <v>984</v>
      </c>
    </row>
    <row r="77" spans="1:5" ht="15" x14ac:dyDescent="0.2">
      <c r="A77" s="50" t="str">
        <f t="shared" si="1"/>
        <v>MeasuredValueActivePowerABC</v>
      </c>
      <c r="B77" s="51" t="s">
        <v>1737</v>
      </c>
      <c r="C77" s="51" t="s">
        <v>1532</v>
      </c>
      <c r="D77" s="51" t="s">
        <v>1504</v>
      </c>
      <c r="E77" s="51" t="s">
        <v>1425</v>
      </c>
    </row>
    <row r="78" spans="1:5" ht="15" x14ac:dyDescent="0.2">
      <c r="A78" s="50" t="str">
        <f t="shared" si="1"/>
        <v>MeasuredValueActivePowerA</v>
      </c>
      <c r="B78" s="51" t="s">
        <v>1738</v>
      </c>
      <c r="C78" s="51" t="s">
        <v>1532</v>
      </c>
      <c r="D78" s="51" t="s">
        <v>1504</v>
      </c>
      <c r="E78" s="51" t="s">
        <v>1440</v>
      </c>
    </row>
    <row r="79" spans="1:5" ht="15" x14ac:dyDescent="0.2">
      <c r="A79" s="50" t="str">
        <f t="shared" si="1"/>
        <v>MeasuredValueActivePowerB</v>
      </c>
      <c r="B79" s="51" t="s">
        <v>1739</v>
      </c>
      <c r="C79" s="51" t="s">
        <v>1532</v>
      </c>
      <c r="D79" s="51" t="s">
        <v>1504</v>
      </c>
      <c r="E79" s="51" t="s">
        <v>1456</v>
      </c>
    </row>
    <row r="80" spans="1:5" ht="15" x14ac:dyDescent="0.2">
      <c r="A80" s="50" t="str">
        <f t="shared" si="1"/>
        <v>MeasuredValueActivePowerC</v>
      </c>
      <c r="B80" s="51" t="s">
        <v>1740</v>
      </c>
      <c r="C80" s="51" t="s">
        <v>1532</v>
      </c>
      <c r="D80" s="51" t="s">
        <v>1504</v>
      </c>
      <c r="E80" s="51" t="s">
        <v>1467</v>
      </c>
    </row>
    <row r="81" spans="1:5" ht="15" x14ac:dyDescent="0.2">
      <c r="A81" s="50" t="str">
        <f t="shared" si="1"/>
        <v>MeasuredValueReactivePowerABC</v>
      </c>
      <c r="B81" s="51" t="s">
        <v>1741</v>
      </c>
      <c r="C81" s="51" t="s">
        <v>1532</v>
      </c>
      <c r="D81" s="51" t="s">
        <v>1563</v>
      </c>
      <c r="E81" s="51" t="s">
        <v>1425</v>
      </c>
    </row>
    <row r="82" spans="1:5" ht="15" x14ac:dyDescent="0.2">
      <c r="A82" s="50" t="str">
        <f t="shared" si="1"/>
        <v>MeasuredValueReactivePowerA</v>
      </c>
      <c r="B82" s="51" t="s">
        <v>1742</v>
      </c>
      <c r="C82" s="51" t="s">
        <v>1532</v>
      </c>
      <c r="D82" s="51" t="s">
        <v>1563</v>
      </c>
      <c r="E82" s="51" t="s">
        <v>1440</v>
      </c>
    </row>
    <row r="83" spans="1:5" ht="15" x14ac:dyDescent="0.2">
      <c r="A83" s="50" t="str">
        <f t="shared" si="1"/>
        <v>MeasuredValueReactivePowerB</v>
      </c>
      <c r="B83" s="51" t="s">
        <v>1743</v>
      </c>
      <c r="C83" s="51" t="s">
        <v>1532</v>
      </c>
      <c r="D83" s="51" t="s">
        <v>1563</v>
      </c>
      <c r="E83" s="51" t="s">
        <v>1456</v>
      </c>
    </row>
    <row r="84" spans="1:5" ht="15" x14ac:dyDescent="0.2">
      <c r="A84" s="50" t="str">
        <f t="shared" si="1"/>
        <v>MeasuredValueReactivePowerC</v>
      </c>
      <c r="B84" s="51" t="s">
        <v>1744</v>
      </c>
      <c r="C84" s="51" t="s">
        <v>1532</v>
      </c>
      <c r="D84" s="51" t="s">
        <v>1563</v>
      </c>
      <c r="E84" s="51" t="s">
        <v>1467</v>
      </c>
    </row>
    <row r="85" spans="1:5" ht="15" x14ac:dyDescent="0.2">
      <c r="A85" s="50" t="str">
        <f t="shared" si="1"/>
        <v>MeasuredValueApparentPowerABC</v>
      </c>
      <c r="B85" s="51" t="s">
        <v>1745</v>
      </c>
      <c r="C85" s="51" t="s">
        <v>1532</v>
      </c>
      <c r="D85" s="51" t="s">
        <v>1511</v>
      </c>
      <c r="E85" s="51" t="s">
        <v>1425</v>
      </c>
    </row>
    <row r="86" spans="1:5" ht="15" x14ac:dyDescent="0.2">
      <c r="A86" s="50" t="str">
        <f t="shared" si="1"/>
        <v>MeasuredValueCosPhiABC</v>
      </c>
      <c r="B86" s="51" t="s">
        <v>1746</v>
      </c>
      <c r="C86" s="51" t="s">
        <v>1532</v>
      </c>
      <c r="D86" s="51" t="s">
        <v>1518</v>
      </c>
      <c r="E86" s="51" t="s">
        <v>1425</v>
      </c>
    </row>
    <row r="87" spans="1:5" ht="15" x14ac:dyDescent="0.2">
      <c r="A87" s="50" t="str">
        <f t="shared" si="1"/>
        <v>MeasuredValueCosPhiA</v>
      </c>
      <c r="B87" s="51" t="s">
        <v>1747</v>
      </c>
      <c r="C87" s="51" t="s">
        <v>1532</v>
      </c>
      <c r="D87" s="51" t="s">
        <v>1518</v>
      </c>
      <c r="E87" s="51" t="s">
        <v>1440</v>
      </c>
    </row>
    <row r="88" spans="1:5" ht="15" x14ac:dyDescent="0.2">
      <c r="A88" s="50" t="str">
        <f t="shared" si="1"/>
        <v>MeasuredValueCosPhiB</v>
      </c>
      <c r="B88" s="51" t="s">
        <v>1748</v>
      </c>
      <c r="C88" s="51" t="s">
        <v>1532</v>
      </c>
      <c r="D88" s="51" t="s">
        <v>1518</v>
      </c>
      <c r="E88" s="51" t="s">
        <v>1456</v>
      </c>
    </row>
    <row r="89" spans="1:5" ht="15" x14ac:dyDescent="0.2">
      <c r="A89" s="50" t="str">
        <f t="shared" si="1"/>
        <v>MeasuredValueCosPhiC</v>
      </c>
      <c r="B89" s="51" t="s">
        <v>1749</v>
      </c>
      <c r="C89" s="51" t="s">
        <v>1532</v>
      </c>
      <c r="D89" s="51" t="s">
        <v>1518</v>
      </c>
      <c r="E89" s="51" t="s">
        <v>1467</v>
      </c>
    </row>
    <row r="90" spans="1:5" ht="15" x14ac:dyDescent="0.2">
      <c r="A90" s="50" t="str">
        <f t="shared" si="1"/>
        <v>MeasuredValueActiveEnergyABC</v>
      </c>
      <c r="B90" s="51" t="s">
        <v>1750</v>
      </c>
      <c r="C90" s="51" t="s">
        <v>1532</v>
      </c>
      <c r="D90" s="51" t="s">
        <v>1526</v>
      </c>
      <c r="E90" s="51" t="s">
        <v>1425</v>
      </c>
    </row>
    <row r="91" spans="1:5" ht="15" x14ac:dyDescent="0.2">
      <c r="A91" s="50" t="str">
        <f t="shared" si="1"/>
        <v>MeasuredValueActiveEnergyA</v>
      </c>
      <c r="B91" s="51" t="s">
        <v>1751</v>
      </c>
      <c r="C91" s="51" t="s">
        <v>1532</v>
      </c>
      <c r="D91" s="51" t="s">
        <v>1526</v>
      </c>
      <c r="E91" s="51" t="s">
        <v>1440</v>
      </c>
    </row>
    <row r="92" spans="1:5" ht="15" x14ac:dyDescent="0.2">
      <c r="A92" s="50" t="str">
        <f t="shared" si="1"/>
        <v>MeasuredValueActiveEnergyB</v>
      </c>
      <c r="B92" s="51" t="s">
        <v>1752</v>
      </c>
      <c r="C92" s="51" t="s">
        <v>1532</v>
      </c>
      <c r="D92" s="51" t="s">
        <v>1526</v>
      </c>
      <c r="E92" s="51" t="s">
        <v>1456</v>
      </c>
    </row>
    <row r="93" spans="1:5" ht="15" x14ac:dyDescent="0.2">
      <c r="A93" s="50" t="str">
        <f t="shared" si="1"/>
        <v>MeasuredValueActiveEnergyC</v>
      </c>
      <c r="B93" s="51" t="s">
        <v>1753</v>
      </c>
      <c r="C93" s="51" t="s">
        <v>1532</v>
      </c>
      <c r="D93" s="51" t="s">
        <v>1526</v>
      </c>
      <c r="E93" s="51" t="s">
        <v>1467</v>
      </c>
    </row>
    <row r="94" spans="1:5" ht="15" x14ac:dyDescent="0.2">
      <c r="A94" s="50" t="str">
        <f t="shared" si="1"/>
        <v>MeasuredValueReactiveEnergyABC</v>
      </c>
      <c r="B94" s="51" t="s">
        <v>1754</v>
      </c>
      <c r="C94" s="51" t="s">
        <v>1532</v>
      </c>
      <c r="D94" s="51" t="s">
        <v>1534</v>
      </c>
      <c r="E94" s="51" t="s">
        <v>1425</v>
      </c>
    </row>
    <row r="95" spans="1:5" ht="15" x14ac:dyDescent="0.2">
      <c r="A95" s="50" t="str">
        <f t="shared" si="1"/>
        <v>MeasuredValueReactiveEnergyA</v>
      </c>
      <c r="B95" s="51" t="s">
        <v>1755</v>
      </c>
      <c r="C95" s="51" t="s">
        <v>1532</v>
      </c>
      <c r="D95" s="51" t="s">
        <v>1534</v>
      </c>
      <c r="E95" s="51" t="s">
        <v>1440</v>
      </c>
    </row>
    <row r="96" spans="1:5" ht="15" x14ac:dyDescent="0.2">
      <c r="A96" s="50" t="str">
        <f t="shared" si="1"/>
        <v>MeasuredValueReactiveEnergyB</v>
      </c>
      <c r="B96" s="51" t="s">
        <v>1756</v>
      </c>
      <c r="C96" s="51" t="s">
        <v>1532</v>
      </c>
      <c r="D96" s="51" t="s">
        <v>1534</v>
      </c>
      <c r="E96" s="51" t="s">
        <v>1456</v>
      </c>
    </row>
    <row r="97" spans="1:5" ht="15" x14ac:dyDescent="0.2">
      <c r="A97" s="50" t="str">
        <f t="shared" si="1"/>
        <v>MeasuredValueReactiveEnergyC</v>
      </c>
      <c r="B97" s="51" t="s">
        <v>1757</v>
      </c>
      <c r="C97" s="51" t="s">
        <v>1532</v>
      </c>
      <c r="D97" s="51" t="s">
        <v>1534</v>
      </c>
      <c r="E97" s="51" t="s">
        <v>1467</v>
      </c>
    </row>
    <row r="98" spans="1:5" ht="15" x14ac:dyDescent="0.2">
      <c r="A98" s="50" t="str">
        <f t="shared" si="1"/>
        <v>FaultRecorderVoltageABC</v>
      </c>
      <c r="B98" s="51" t="s">
        <v>1758</v>
      </c>
      <c r="C98" s="51" t="s">
        <v>1540</v>
      </c>
      <c r="D98" s="51" t="s">
        <v>1469</v>
      </c>
      <c r="E98" s="51" t="s">
        <v>1425</v>
      </c>
    </row>
    <row r="99" spans="1:5" ht="15" x14ac:dyDescent="0.2">
      <c r="A99" s="50" t="str">
        <f t="shared" si="1"/>
        <v>FaultRecorderVoltageA</v>
      </c>
      <c r="B99" s="51" t="s">
        <v>1759</v>
      </c>
      <c r="C99" s="51" t="s">
        <v>1540</v>
      </c>
      <c r="D99" s="51" t="s">
        <v>1469</v>
      </c>
      <c r="E99" s="51" t="s">
        <v>1440</v>
      </c>
    </row>
    <row r="100" spans="1:5" ht="15" x14ac:dyDescent="0.2">
      <c r="A100" s="50" t="str">
        <f t="shared" si="1"/>
        <v>FaultRecorderVoltageB</v>
      </c>
      <c r="B100" s="51" t="s">
        <v>1760</v>
      </c>
      <c r="C100" s="51" t="s">
        <v>1540</v>
      </c>
      <c r="D100" s="51" t="s">
        <v>1469</v>
      </c>
      <c r="E100" s="51" t="s">
        <v>1456</v>
      </c>
    </row>
    <row r="101" spans="1:5" ht="15" x14ac:dyDescent="0.2">
      <c r="A101" s="50" t="str">
        <f t="shared" si="1"/>
        <v>FaultRecorderVoltageC</v>
      </c>
      <c r="B101" s="51" t="s">
        <v>1761</v>
      </c>
      <c r="C101" s="51" t="s">
        <v>1540</v>
      </c>
      <c r="D101" s="51" t="s">
        <v>1469</v>
      </c>
      <c r="E101" s="51" t="s">
        <v>1467</v>
      </c>
    </row>
    <row r="102" spans="1:5" ht="15" x14ac:dyDescent="0.2">
      <c r="A102" s="50" t="str">
        <f t="shared" si="1"/>
        <v>FaultRecorderCurrentABC</v>
      </c>
      <c r="B102" s="51" t="s">
        <v>1762</v>
      </c>
      <c r="C102" s="51" t="s">
        <v>1540</v>
      </c>
      <c r="D102" s="51" t="s">
        <v>1498</v>
      </c>
      <c r="E102" s="51" t="s">
        <v>1425</v>
      </c>
    </row>
    <row r="103" spans="1:5" ht="15" x14ac:dyDescent="0.2">
      <c r="A103" s="50" t="str">
        <f t="shared" si="1"/>
        <v>FaultRecorderCurrentA</v>
      </c>
      <c r="B103" s="51" t="s">
        <v>1763</v>
      </c>
      <c r="C103" s="51" t="s">
        <v>1540</v>
      </c>
      <c r="D103" s="51" t="s">
        <v>1498</v>
      </c>
      <c r="E103" s="51" t="s">
        <v>1440</v>
      </c>
    </row>
    <row r="104" spans="1:5" ht="15" x14ac:dyDescent="0.2">
      <c r="A104" s="50" t="str">
        <f t="shared" si="1"/>
        <v>FaultRecorderCurrentB</v>
      </c>
      <c r="B104" s="51" t="s">
        <v>1764</v>
      </c>
      <c r="C104" s="51" t="s">
        <v>1540</v>
      </c>
      <c r="D104" s="51" t="s">
        <v>1498</v>
      </c>
      <c r="E104" s="51" t="s">
        <v>1456</v>
      </c>
    </row>
    <row r="105" spans="1:5" ht="15" x14ac:dyDescent="0.2">
      <c r="A105" s="50" t="str">
        <f t="shared" si="1"/>
        <v>FaultRecorderCurrentC</v>
      </c>
      <c r="B105" s="51" t="s">
        <v>1765</v>
      </c>
      <c r="C105" s="51" t="s">
        <v>1540</v>
      </c>
      <c r="D105" s="51" t="s">
        <v>1498</v>
      </c>
      <c r="E105" s="51" t="s">
        <v>1467</v>
      </c>
    </row>
    <row r="106" spans="1:5" ht="15" x14ac:dyDescent="0.2">
      <c r="A106" s="50" t="str">
        <f t="shared" si="1"/>
        <v>FaultRecorderVoltageAngleABC</v>
      </c>
      <c r="B106" s="51" t="s">
        <v>1766</v>
      </c>
      <c r="C106" s="51" t="s">
        <v>1540</v>
      </c>
      <c r="D106" s="51" t="s">
        <v>1477</v>
      </c>
      <c r="E106" s="51" t="s">
        <v>1425</v>
      </c>
    </row>
    <row r="107" spans="1:5" ht="15" x14ac:dyDescent="0.2">
      <c r="A107" s="50" t="str">
        <f t="shared" si="1"/>
        <v>FaultRecorderVoltageAngleA</v>
      </c>
      <c r="B107" s="51" t="s">
        <v>1767</v>
      </c>
      <c r="C107" s="51" t="s">
        <v>1540</v>
      </c>
      <c r="D107" s="51" t="s">
        <v>1477</v>
      </c>
      <c r="E107" s="51" t="s">
        <v>1440</v>
      </c>
    </row>
    <row r="108" spans="1:5" ht="15" x14ac:dyDescent="0.2">
      <c r="A108" s="50" t="str">
        <f t="shared" si="1"/>
        <v>FaultRecorderVoltageAngleB</v>
      </c>
      <c r="B108" s="51" t="s">
        <v>1768</v>
      </c>
      <c r="C108" s="51" t="s">
        <v>1540</v>
      </c>
      <c r="D108" s="51" t="s">
        <v>1477</v>
      </c>
      <c r="E108" s="51" t="s">
        <v>1456</v>
      </c>
    </row>
    <row r="109" spans="1:5" ht="15" x14ac:dyDescent="0.2">
      <c r="A109" s="50" t="str">
        <f t="shared" si="1"/>
        <v>FaultRecorderVoltageAngleC</v>
      </c>
      <c r="B109" s="51" t="s">
        <v>1769</v>
      </c>
      <c r="C109" s="51" t="s">
        <v>1540</v>
      </c>
      <c r="D109" s="51" t="s">
        <v>1477</v>
      </c>
      <c r="E109" s="51" t="s">
        <v>1467</v>
      </c>
    </row>
    <row r="110" spans="1:5" ht="15" x14ac:dyDescent="0.2">
      <c r="A110" s="50" t="str">
        <f t="shared" si="1"/>
        <v>FaultRecorderCurrentAngleABC</v>
      </c>
      <c r="B110" s="51" t="s">
        <v>1770</v>
      </c>
      <c r="C110" s="51" t="s">
        <v>1540</v>
      </c>
      <c r="D110" s="51" t="s">
        <v>1542</v>
      </c>
      <c r="E110" s="51" t="s">
        <v>1425</v>
      </c>
    </row>
    <row r="111" spans="1:5" ht="15" x14ac:dyDescent="0.2">
      <c r="A111" s="50" t="str">
        <f t="shared" si="1"/>
        <v>FaultRecorderCurrentAngleA</v>
      </c>
      <c r="B111" s="51" t="s">
        <v>1771</v>
      </c>
      <c r="C111" s="51" t="s">
        <v>1540</v>
      </c>
      <c r="D111" s="51" t="s">
        <v>1542</v>
      </c>
      <c r="E111" s="51" t="s">
        <v>1440</v>
      </c>
    </row>
    <row r="112" spans="1:5" ht="15" x14ac:dyDescent="0.2">
      <c r="A112" s="50" t="str">
        <f t="shared" si="1"/>
        <v>FaultRecorderCurrentAngleB</v>
      </c>
      <c r="B112" s="51" t="s">
        <v>1772</v>
      </c>
      <c r="C112" s="51" t="s">
        <v>1540</v>
      </c>
      <c r="D112" s="51" t="s">
        <v>1542</v>
      </c>
      <c r="E112" s="51" t="s">
        <v>1456</v>
      </c>
    </row>
    <row r="113" spans="1:5" ht="15" x14ac:dyDescent="0.2">
      <c r="A113" s="50" t="str">
        <f t="shared" si="1"/>
        <v>FaultRecorderCurrentAngleC</v>
      </c>
      <c r="B113" s="51" t="s">
        <v>1773</v>
      </c>
      <c r="C113" s="51" t="s">
        <v>1540</v>
      </c>
      <c r="D113" s="51" t="s">
        <v>1542</v>
      </c>
      <c r="E113" s="51" t="s">
        <v>1467</v>
      </c>
    </row>
    <row r="114" spans="1:5" ht="15" x14ac:dyDescent="0.2">
      <c r="A114" s="50" t="str">
        <f t="shared" si="1"/>
        <v>MeasuredValueTemperatureABC</v>
      </c>
      <c r="B114" s="51" t="s">
        <v>1774</v>
      </c>
      <c r="C114" s="51" t="s">
        <v>1532</v>
      </c>
      <c r="D114" s="51" t="s">
        <v>1549</v>
      </c>
      <c r="E114" s="51" t="s">
        <v>1425</v>
      </c>
    </row>
    <row r="115" spans="1:5" ht="15" x14ac:dyDescent="0.2">
      <c r="A115" s="50" t="str">
        <f t="shared" si="1"/>
        <v>MeasuredValueTemperatureA</v>
      </c>
      <c r="B115" s="51" t="s">
        <v>1775</v>
      </c>
      <c r="C115" s="51" t="s">
        <v>1532</v>
      </c>
      <c r="D115" s="51" t="s">
        <v>1549</v>
      </c>
      <c r="E115" s="51" t="s">
        <v>1440</v>
      </c>
    </row>
    <row r="116" spans="1:5" ht="15" x14ac:dyDescent="0.2">
      <c r="A116" s="50" t="str">
        <f t="shared" si="1"/>
        <v>MeasuredValueTemperatureB</v>
      </c>
      <c r="B116" s="51" t="s">
        <v>1776</v>
      </c>
      <c r="C116" s="51" t="s">
        <v>1532</v>
      </c>
      <c r="D116" s="51" t="s">
        <v>1549</v>
      </c>
      <c r="E116" s="51" t="s">
        <v>1456</v>
      </c>
    </row>
    <row r="117" spans="1:5" ht="15" x14ac:dyDescent="0.2">
      <c r="A117" s="50" t="str">
        <f t="shared" si="1"/>
        <v>MeasuredValueTemperatureC</v>
      </c>
      <c r="B117" s="51" t="s">
        <v>1777</v>
      </c>
      <c r="C117" s="51" t="s">
        <v>1532</v>
      </c>
      <c r="D117" s="51" t="s">
        <v>1549</v>
      </c>
      <c r="E117" s="51" t="s">
        <v>1467</v>
      </c>
    </row>
    <row r="118" spans="1:5" ht="30" x14ac:dyDescent="0.2">
      <c r="A118" s="50" t="str">
        <f t="shared" si="1"/>
        <v>AnalogSignalType.CustomUnitlessABC</v>
      </c>
      <c r="B118" s="51" t="s">
        <v>1778</v>
      </c>
      <c r="C118" s="51" t="s">
        <v>1548</v>
      </c>
      <c r="D118" s="51" t="s">
        <v>1556</v>
      </c>
      <c r="E118" s="51" t="s">
        <v>1425</v>
      </c>
    </row>
    <row r="119" spans="1:5" ht="15" x14ac:dyDescent="0.2">
      <c r="A119" s="50" t="str">
        <f t="shared" si="1"/>
        <v>AnalogSignalType.CustomUnitlessA</v>
      </c>
      <c r="B119" s="51" t="s">
        <v>1779</v>
      </c>
      <c r="C119" s="51" t="s">
        <v>1548</v>
      </c>
      <c r="D119" s="51" t="s">
        <v>1556</v>
      </c>
      <c r="E119" s="51" t="s">
        <v>1440</v>
      </c>
    </row>
    <row r="120" spans="1:5" ht="15" x14ac:dyDescent="0.2">
      <c r="A120" s="50" t="str">
        <f t="shared" si="1"/>
        <v>AnalogSignalType.CustomUnitlessB</v>
      </c>
      <c r="B120" s="51" t="s">
        <v>1780</v>
      </c>
      <c r="C120" s="51" t="s">
        <v>1548</v>
      </c>
      <c r="D120" s="51" t="s">
        <v>1556</v>
      </c>
      <c r="E120" s="51" t="s">
        <v>1456</v>
      </c>
    </row>
    <row r="121" spans="1:5" ht="15" x14ac:dyDescent="0.2">
      <c r="A121" s="50" t="str">
        <f t="shared" si="1"/>
        <v>AnalogSignalType.CustomUnitlessC</v>
      </c>
      <c r="B121" s="51" t="s">
        <v>1781</v>
      </c>
      <c r="C121" s="51" t="s">
        <v>1548</v>
      </c>
      <c r="D121" s="51" t="s">
        <v>1556</v>
      </c>
      <c r="E121" s="51" t="s">
        <v>1467</v>
      </c>
    </row>
    <row r="122" spans="1:5" ht="30" x14ac:dyDescent="0.2">
      <c r="A122" s="50" t="str">
        <f t="shared" si="1"/>
        <v>AnalogSignalType.CustomVoltageABC</v>
      </c>
      <c r="B122" s="51" t="s">
        <v>1782</v>
      </c>
      <c r="C122" s="51" t="s">
        <v>1548</v>
      </c>
      <c r="D122" s="51" t="s">
        <v>1469</v>
      </c>
      <c r="E122" s="51" t="s">
        <v>1425</v>
      </c>
    </row>
    <row r="123" spans="1:5" ht="15" x14ac:dyDescent="0.2">
      <c r="A123" s="50" t="str">
        <f t="shared" si="1"/>
        <v>AnalogSignalType.CustomVoltageA</v>
      </c>
      <c r="B123" s="51" t="s">
        <v>1783</v>
      </c>
      <c r="C123" s="51" t="s">
        <v>1548</v>
      </c>
      <c r="D123" s="51" t="s">
        <v>1469</v>
      </c>
      <c r="E123" s="51" t="s">
        <v>1440</v>
      </c>
    </row>
    <row r="124" spans="1:5" ht="15" x14ac:dyDescent="0.2">
      <c r="A124" s="50" t="str">
        <f t="shared" si="1"/>
        <v>AnalogSignalType.CustomVoltageB</v>
      </c>
      <c r="B124" s="51" t="s">
        <v>1784</v>
      </c>
      <c r="C124" s="51" t="s">
        <v>1548</v>
      </c>
      <c r="D124" s="51" t="s">
        <v>1469</v>
      </c>
      <c r="E124" s="51" t="s">
        <v>1456</v>
      </c>
    </row>
    <row r="125" spans="1:5" ht="15" x14ac:dyDescent="0.2">
      <c r="A125" s="50" t="str">
        <f t="shared" si="1"/>
        <v>AnalogSignalType.CustomVoltageC</v>
      </c>
      <c r="B125" s="51" t="s">
        <v>1785</v>
      </c>
      <c r="C125" s="51" t="s">
        <v>1548</v>
      </c>
      <c r="D125" s="51" t="s">
        <v>1469</v>
      </c>
      <c r="E125" s="51" t="s">
        <v>1467</v>
      </c>
    </row>
    <row r="126" spans="1:5" ht="30" x14ac:dyDescent="0.2">
      <c r="A126" s="50" t="str">
        <f t="shared" si="1"/>
        <v>AnalogSignalType.CustomCurrentABC</v>
      </c>
      <c r="B126" s="51" t="s">
        <v>1786</v>
      </c>
      <c r="C126" s="51" t="s">
        <v>1548</v>
      </c>
      <c r="D126" s="51" t="s">
        <v>1498</v>
      </c>
      <c r="E126" s="51" t="s">
        <v>1425</v>
      </c>
    </row>
    <row r="127" spans="1:5" ht="15" x14ac:dyDescent="0.2">
      <c r="A127" s="50" t="str">
        <f t="shared" si="1"/>
        <v>AnalogSignalType.CustomCurrentA</v>
      </c>
      <c r="B127" s="51" t="s">
        <v>1787</v>
      </c>
      <c r="C127" s="51" t="s">
        <v>1548</v>
      </c>
      <c r="D127" s="51" t="s">
        <v>1498</v>
      </c>
      <c r="E127" s="51" t="s">
        <v>1440</v>
      </c>
    </row>
    <row r="128" spans="1:5" ht="15" x14ac:dyDescent="0.2">
      <c r="A128" s="50" t="str">
        <f t="shared" si="1"/>
        <v>AnalogSignalType.CustomCurrentB</v>
      </c>
      <c r="B128" s="51" t="s">
        <v>1788</v>
      </c>
      <c r="C128" s="51" t="s">
        <v>1548</v>
      </c>
      <c r="D128" s="51" t="s">
        <v>1498</v>
      </c>
      <c r="E128" s="51" t="s">
        <v>1456</v>
      </c>
    </row>
    <row r="129" spans="1:5" ht="15" x14ac:dyDescent="0.2">
      <c r="A129" s="50" t="str">
        <f t="shared" si="1"/>
        <v>AnalogSignalType.CustomCurrentC</v>
      </c>
      <c r="B129" s="51" t="s">
        <v>1789</v>
      </c>
      <c r="C129" s="51" t="s">
        <v>1548</v>
      </c>
      <c r="D129" s="51" t="s">
        <v>1498</v>
      </c>
      <c r="E129" s="51" t="s">
        <v>1467</v>
      </c>
    </row>
    <row r="130" spans="1:5" ht="15" x14ac:dyDescent="0.2">
      <c r="A130" s="50" t="str">
        <f t="shared" si="1"/>
        <v>AnalogSignalType.CustomCurrentN</v>
      </c>
      <c r="B130" s="51" t="s">
        <v>1790</v>
      </c>
      <c r="C130" s="51" t="s">
        <v>1548</v>
      </c>
      <c r="D130" s="51" t="s">
        <v>1498</v>
      </c>
      <c r="E130" s="51" t="s">
        <v>984</v>
      </c>
    </row>
    <row r="131" spans="1:5" ht="30" x14ac:dyDescent="0.2">
      <c r="A131" s="50" t="str">
        <f t="shared" si="1"/>
        <v>AnalogSignalType.CustomActivePowerABC</v>
      </c>
      <c r="B131" s="51" t="s">
        <v>1791</v>
      </c>
      <c r="C131" s="51" t="s">
        <v>1548</v>
      </c>
      <c r="D131" s="51" t="s">
        <v>1504</v>
      </c>
      <c r="E131" s="51" t="s">
        <v>1425</v>
      </c>
    </row>
    <row r="132" spans="1:5" ht="30" x14ac:dyDescent="0.2">
      <c r="A132" s="50" t="str">
        <f t="shared" si="1"/>
        <v>AnalogSignalType.CustomActivePowerA</v>
      </c>
      <c r="B132" s="51" t="s">
        <v>1792</v>
      </c>
      <c r="C132" s="51" t="s">
        <v>1548</v>
      </c>
      <c r="D132" s="51" t="s">
        <v>1504</v>
      </c>
      <c r="E132" s="51" t="s">
        <v>1440</v>
      </c>
    </row>
    <row r="133" spans="1:5" ht="30" x14ac:dyDescent="0.2">
      <c r="A133" s="50" t="str">
        <f t="shared" ref="A133:A196" si="2">CONCATENATE(C133,D133,E133)</f>
        <v>AnalogSignalType.CustomActivePowerB</v>
      </c>
      <c r="B133" s="51" t="s">
        <v>1793</v>
      </c>
      <c r="C133" s="51" t="s">
        <v>1548</v>
      </c>
      <c r="D133" s="51" t="s">
        <v>1504</v>
      </c>
      <c r="E133" s="51" t="s">
        <v>1456</v>
      </c>
    </row>
    <row r="134" spans="1:5" ht="30" x14ac:dyDescent="0.2">
      <c r="A134" s="50" t="str">
        <f t="shared" si="2"/>
        <v>AnalogSignalType.CustomActivePowerC</v>
      </c>
      <c r="B134" s="51" t="s">
        <v>1794</v>
      </c>
      <c r="C134" s="51" t="s">
        <v>1548</v>
      </c>
      <c r="D134" s="51" t="s">
        <v>1504</v>
      </c>
      <c r="E134" s="51" t="s">
        <v>1467</v>
      </c>
    </row>
    <row r="135" spans="1:5" ht="30" x14ac:dyDescent="0.2">
      <c r="A135" s="50" t="str">
        <f t="shared" si="2"/>
        <v>AnalogSignalType.CustomReactivePowerABC</v>
      </c>
      <c r="B135" s="51" t="s">
        <v>1795</v>
      </c>
      <c r="C135" s="51" t="s">
        <v>1548</v>
      </c>
      <c r="D135" s="51" t="s">
        <v>1563</v>
      </c>
      <c r="E135" s="51" t="s">
        <v>1425</v>
      </c>
    </row>
    <row r="136" spans="1:5" ht="30" x14ac:dyDescent="0.2">
      <c r="A136" s="50" t="str">
        <f t="shared" si="2"/>
        <v>AnalogSignalType.CustomReactivePowerA</v>
      </c>
      <c r="B136" s="51" t="s">
        <v>1796</v>
      </c>
      <c r="C136" s="51" t="s">
        <v>1548</v>
      </c>
      <c r="D136" s="51" t="s">
        <v>1563</v>
      </c>
      <c r="E136" s="51" t="s">
        <v>1440</v>
      </c>
    </row>
    <row r="137" spans="1:5" ht="30" x14ac:dyDescent="0.2">
      <c r="A137" s="50" t="str">
        <f t="shared" si="2"/>
        <v>AnalogSignalType.CustomReactivePowerB</v>
      </c>
      <c r="B137" s="51" t="s">
        <v>1797</v>
      </c>
      <c r="C137" s="51" t="s">
        <v>1548</v>
      </c>
      <c r="D137" s="51" t="s">
        <v>1563</v>
      </c>
      <c r="E137" s="51" t="s">
        <v>1456</v>
      </c>
    </row>
    <row r="138" spans="1:5" ht="30" x14ac:dyDescent="0.2">
      <c r="A138" s="50" t="str">
        <f t="shared" si="2"/>
        <v>AnalogSignalType.CustomReactivePowerC</v>
      </c>
      <c r="B138" s="51" t="s">
        <v>1798</v>
      </c>
      <c r="C138" s="51" t="s">
        <v>1548</v>
      </c>
      <c r="D138" s="51" t="s">
        <v>1563</v>
      </c>
      <c r="E138" s="51" t="s">
        <v>1467</v>
      </c>
    </row>
    <row r="139" spans="1:5" ht="30" x14ac:dyDescent="0.2">
      <c r="A139" s="50" t="str">
        <f t="shared" si="2"/>
        <v>AnalogSignalType.CustomFrequencyABC</v>
      </c>
      <c r="B139" s="51" t="s">
        <v>1799</v>
      </c>
      <c r="C139" s="51" t="s">
        <v>1548</v>
      </c>
      <c r="D139" s="51" t="s">
        <v>1485</v>
      </c>
      <c r="E139" s="51" t="s">
        <v>1425</v>
      </c>
    </row>
    <row r="140" spans="1:5" ht="30" x14ac:dyDescent="0.2">
      <c r="A140" s="50" t="str">
        <f t="shared" si="2"/>
        <v>AnalogSignalType.CustomFrequencyA</v>
      </c>
      <c r="B140" s="51" t="s">
        <v>1800</v>
      </c>
      <c r="C140" s="51" t="s">
        <v>1548</v>
      </c>
      <c r="D140" s="51" t="s">
        <v>1485</v>
      </c>
      <c r="E140" s="51" t="s">
        <v>1440</v>
      </c>
    </row>
    <row r="141" spans="1:5" ht="30" x14ac:dyDescent="0.2">
      <c r="A141" s="50" t="str">
        <f t="shared" si="2"/>
        <v>AnalogSignalType.CustomFrequencyB</v>
      </c>
      <c r="B141" s="51" t="s">
        <v>1801</v>
      </c>
      <c r="C141" s="51" t="s">
        <v>1548</v>
      </c>
      <c r="D141" s="51" t="s">
        <v>1485</v>
      </c>
      <c r="E141" s="51" t="s">
        <v>1456</v>
      </c>
    </row>
    <row r="142" spans="1:5" ht="30" x14ac:dyDescent="0.2">
      <c r="A142" s="50" t="str">
        <f t="shared" si="2"/>
        <v>AnalogSignalType.CustomFrequencyC</v>
      </c>
      <c r="B142" s="51" t="s">
        <v>1802</v>
      </c>
      <c r="C142" s="51" t="s">
        <v>1548</v>
      </c>
      <c r="D142" s="51" t="s">
        <v>1485</v>
      </c>
      <c r="E142" s="51" t="s">
        <v>1467</v>
      </c>
    </row>
    <row r="143" spans="1:5" ht="30" x14ac:dyDescent="0.2">
      <c r="A143" s="50" t="str">
        <f t="shared" si="2"/>
        <v>AnalogSignalType.CustomTemperatureABC</v>
      </c>
      <c r="B143" s="51" t="s">
        <v>1803</v>
      </c>
      <c r="C143" s="51" t="s">
        <v>1548</v>
      </c>
      <c r="D143" s="51" t="s">
        <v>1549</v>
      </c>
      <c r="E143" s="51" t="s">
        <v>1425</v>
      </c>
    </row>
    <row r="144" spans="1:5" ht="30" x14ac:dyDescent="0.2">
      <c r="A144" s="50" t="str">
        <f t="shared" si="2"/>
        <v>AnalogSignalType.CustomTemperatureA</v>
      </c>
      <c r="B144" s="51" t="s">
        <v>1804</v>
      </c>
      <c r="C144" s="51" t="s">
        <v>1548</v>
      </c>
      <c r="D144" s="51" t="s">
        <v>1549</v>
      </c>
      <c r="E144" s="51" t="s">
        <v>1440</v>
      </c>
    </row>
    <row r="145" spans="1:5" ht="30" x14ac:dyDescent="0.2">
      <c r="A145" s="50" t="str">
        <f t="shared" si="2"/>
        <v>AnalogSignalType.CustomTemperatureB</v>
      </c>
      <c r="B145" s="51" t="s">
        <v>1805</v>
      </c>
      <c r="C145" s="51" t="s">
        <v>1548</v>
      </c>
      <c r="D145" s="51" t="s">
        <v>1549</v>
      </c>
      <c r="E145" s="51" t="s">
        <v>1456</v>
      </c>
    </row>
    <row r="146" spans="1:5" ht="30" x14ac:dyDescent="0.2">
      <c r="A146" s="50" t="str">
        <f t="shared" si="2"/>
        <v>AnalogSignalType.CustomTemperatureC</v>
      </c>
      <c r="B146" s="51" t="s">
        <v>1806</v>
      </c>
      <c r="C146" s="51" t="s">
        <v>1548</v>
      </c>
      <c r="D146" s="51" t="s">
        <v>1549</v>
      </c>
      <c r="E146" s="51" t="s">
        <v>1467</v>
      </c>
    </row>
    <row r="147" spans="1:5" ht="30" x14ac:dyDescent="0.2">
      <c r="A147" s="50" t="str">
        <f t="shared" si="2"/>
        <v>AnalogSignalType.CustomActiveEnergyABC</v>
      </c>
      <c r="B147" s="51" t="s">
        <v>1807</v>
      </c>
      <c r="C147" s="51" t="s">
        <v>1548</v>
      </c>
      <c r="D147" s="51" t="s">
        <v>1526</v>
      </c>
      <c r="E147" s="51" t="s">
        <v>1425</v>
      </c>
    </row>
    <row r="148" spans="1:5" ht="30" x14ac:dyDescent="0.2">
      <c r="A148" s="50" t="str">
        <f t="shared" si="2"/>
        <v>AnalogSignalType.CustomActiveEnergyA</v>
      </c>
      <c r="B148" s="51" t="s">
        <v>1808</v>
      </c>
      <c r="C148" s="51" t="s">
        <v>1548</v>
      </c>
      <c r="D148" s="51" t="s">
        <v>1526</v>
      </c>
      <c r="E148" s="51" t="s">
        <v>1440</v>
      </c>
    </row>
    <row r="149" spans="1:5" ht="30" x14ac:dyDescent="0.2">
      <c r="A149" s="50" t="str">
        <f t="shared" si="2"/>
        <v>AnalogSignalType.CustomActiveEnergyB</v>
      </c>
      <c r="B149" s="51" t="s">
        <v>1809</v>
      </c>
      <c r="C149" s="51" t="s">
        <v>1548</v>
      </c>
      <c r="D149" s="51" t="s">
        <v>1526</v>
      </c>
      <c r="E149" s="51" t="s">
        <v>1456</v>
      </c>
    </row>
    <row r="150" spans="1:5" ht="30" x14ac:dyDescent="0.2">
      <c r="A150" s="50" t="str">
        <f t="shared" si="2"/>
        <v>AnalogSignalType.CustomActiveEnergyC</v>
      </c>
      <c r="B150" s="51" t="s">
        <v>1810</v>
      </c>
      <c r="C150" s="51" t="s">
        <v>1548</v>
      </c>
      <c r="D150" s="51" t="s">
        <v>1526</v>
      </c>
      <c r="E150" s="51" t="s">
        <v>1467</v>
      </c>
    </row>
    <row r="151" spans="1:5" ht="30" x14ac:dyDescent="0.2">
      <c r="A151" s="50" t="str">
        <f t="shared" si="2"/>
        <v>AnalogSignalType.CustomReactiveEnergyABC</v>
      </c>
      <c r="B151" s="51" t="s">
        <v>1811</v>
      </c>
      <c r="C151" s="51" t="s">
        <v>1548</v>
      </c>
      <c r="D151" s="51" t="s">
        <v>1534</v>
      </c>
      <c r="E151" s="51" t="s">
        <v>1425</v>
      </c>
    </row>
    <row r="152" spans="1:5" ht="30" x14ac:dyDescent="0.2">
      <c r="A152" s="50" t="str">
        <f t="shared" si="2"/>
        <v>AnalogSignalType.CustomReactiveEnergyA</v>
      </c>
      <c r="B152" s="51" t="s">
        <v>1812</v>
      </c>
      <c r="C152" s="51" t="s">
        <v>1548</v>
      </c>
      <c r="D152" s="51" t="s">
        <v>1534</v>
      </c>
      <c r="E152" s="51" t="s">
        <v>1440</v>
      </c>
    </row>
    <row r="153" spans="1:5" ht="30" x14ac:dyDescent="0.2">
      <c r="A153" s="50" t="str">
        <f t="shared" si="2"/>
        <v>AnalogSignalType.CustomReactiveEnergyB</v>
      </c>
      <c r="B153" s="51" t="s">
        <v>1813</v>
      </c>
      <c r="C153" s="51" t="s">
        <v>1548</v>
      </c>
      <c r="D153" s="51" t="s">
        <v>1534</v>
      </c>
      <c r="E153" s="51" t="s">
        <v>1456</v>
      </c>
    </row>
    <row r="154" spans="1:5" ht="30" x14ac:dyDescent="0.2">
      <c r="A154" s="50" t="str">
        <f t="shared" si="2"/>
        <v>AnalogSignalType.CustomReactiveEnergyC</v>
      </c>
      <c r="B154" s="51" t="s">
        <v>1814</v>
      </c>
      <c r="C154" s="51" t="s">
        <v>1548</v>
      </c>
      <c r="D154" s="51" t="s">
        <v>1534</v>
      </c>
      <c r="E154" s="51" t="s">
        <v>1467</v>
      </c>
    </row>
    <row r="155" spans="1:5" ht="30" x14ac:dyDescent="0.2">
      <c r="A155" s="50" t="str">
        <f t="shared" si="2"/>
        <v>AnalogSignalType.CustomApparentPowerABC</v>
      </c>
      <c r="B155" s="51" t="s">
        <v>1815</v>
      </c>
      <c r="C155" s="51" t="s">
        <v>1548</v>
      </c>
      <c r="D155" s="51" t="s">
        <v>1511</v>
      </c>
      <c r="E155" s="51" t="s">
        <v>1425</v>
      </c>
    </row>
    <row r="156" spans="1:5" ht="30" x14ac:dyDescent="0.2">
      <c r="A156" s="50" t="str">
        <f t="shared" si="2"/>
        <v>AnalogSignalType.CustomApparentPowerA</v>
      </c>
      <c r="B156" s="51" t="s">
        <v>1816</v>
      </c>
      <c r="C156" s="51" t="s">
        <v>1548</v>
      </c>
      <c r="D156" s="51" t="s">
        <v>1511</v>
      </c>
      <c r="E156" s="51" t="s">
        <v>1440</v>
      </c>
    </row>
    <row r="157" spans="1:5" ht="30" x14ac:dyDescent="0.2">
      <c r="A157" s="50" t="str">
        <f t="shared" si="2"/>
        <v>AnalogSignalType.CustomApparentPowerB</v>
      </c>
      <c r="B157" s="51" t="s">
        <v>1817</v>
      </c>
      <c r="C157" s="51" t="s">
        <v>1548</v>
      </c>
      <c r="D157" s="51" t="s">
        <v>1511</v>
      </c>
      <c r="E157" s="51" t="s">
        <v>1456</v>
      </c>
    </row>
    <row r="158" spans="1:5" ht="30" x14ac:dyDescent="0.2">
      <c r="A158" s="50" t="str">
        <f t="shared" si="2"/>
        <v>AnalogSignalType.CustomApparentPowerC</v>
      </c>
      <c r="B158" s="51" t="s">
        <v>1818</v>
      </c>
      <c r="C158" s="51" t="s">
        <v>1548</v>
      </c>
      <c r="D158" s="51" t="s">
        <v>1511</v>
      </c>
      <c r="E158" s="51" t="s">
        <v>1467</v>
      </c>
    </row>
    <row r="159" spans="1:5" ht="30" x14ac:dyDescent="0.2">
      <c r="A159" s="50" t="str">
        <f t="shared" si="2"/>
        <v>AnalogSignalType.CustomVoltageAngleABC</v>
      </c>
      <c r="B159" s="51" t="s">
        <v>1819</v>
      </c>
      <c r="C159" s="51" t="s">
        <v>1548</v>
      </c>
      <c r="D159" s="51" t="s">
        <v>1477</v>
      </c>
      <c r="E159" s="51" t="s">
        <v>1425</v>
      </c>
    </row>
    <row r="160" spans="1:5" ht="30" x14ac:dyDescent="0.2">
      <c r="A160" s="50" t="str">
        <f t="shared" si="2"/>
        <v>AnalogSignalType.CustomVoltageAngleA</v>
      </c>
      <c r="B160" s="51" t="s">
        <v>1820</v>
      </c>
      <c r="C160" s="51" t="s">
        <v>1548</v>
      </c>
      <c r="D160" s="51" t="s">
        <v>1477</v>
      </c>
      <c r="E160" s="51" t="s">
        <v>1440</v>
      </c>
    </row>
    <row r="161" spans="1:5" ht="30" x14ac:dyDescent="0.2">
      <c r="A161" s="50" t="str">
        <f t="shared" si="2"/>
        <v>AnalogSignalType.CustomVoltageAngleB</v>
      </c>
      <c r="B161" s="51" t="s">
        <v>1821</v>
      </c>
      <c r="C161" s="51" t="s">
        <v>1548</v>
      </c>
      <c r="D161" s="51" t="s">
        <v>1477</v>
      </c>
      <c r="E161" s="51" t="s">
        <v>1456</v>
      </c>
    </row>
    <row r="162" spans="1:5" ht="30" x14ac:dyDescent="0.2">
      <c r="A162" s="50" t="str">
        <f t="shared" si="2"/>
        <v>AnalogSignalType.CustomVoltageAngleC</v>
      </c>
      <c r="B162" s="51" t="s">
        <v>1822</v>
      </c>
      <c r="C162" s="51" t="s">
        <v>1548</v>
      </c>
      <c r="D162" s="51" t="s">
        <v>1477</v>
      </c>
      <c r="E162" s="51" t="s">
        <v>1467</v>
      </c>
    </row>
    <row r="163" spans="1:5" ht="15" x14ac:dyDescent="0.2">
      <c r="A163" s="50" t="str">
        <f t="shared" si="2"/>
        <v>AnalogSignalType.CustomTimeABC</v>
      </c>
      <c r="B163" s="51" t="s">
        <v>1823</v>
      </c>
      <c r="C163" s="51" t="s">
        <v>1548</v>
      </c>
      <c r="D163" s="51" t="s">
        <v>1570</v>
      </c>
      <c r="E163" s="51" t="s">
        <v>1425</v>
      </c>
    </row>
    <row r="164" spans="1:5" ht="15" x14ac:dyDescent="0.2">
      <c r="A164" s="50" t="str">
        <f t="shared" si="2"/>
        <v>AnalogSignalType.CustomTimeA</v>
      </c>
      <c r="B164" s="51" t="s">
        <v>1824</v>
      </c>
      <c r="C164" s="51" t="s">
        <v>1548</v>
      </c>
      <c r="D164" s="51" t="s">
        <v>1570</v>
      </c>
      <c r="E164" s="51" t="s">
        <v>1440</v>
      </c>
    </row>
    <row r="165" spans="1:5" ht="15" x14ac:dyDescent="0.2">
      <c r="A165" s="50" t="str">
        <f t="shared" si="2"/>
        <v>AnalogSignalType.CustomTimeB</v>
      </c>
      <c r="B165" s="51" t="s">
        <v>1825</v>
      </c>
      <c r="C165" s="51" t="s">
        <v>1548</v>
      </c>
      <c r="D165" s="51" t="s">
        <v>1570</v>
      </c>
      <c r="E165" s="51" t="s">
        <v>1456</v>
      </c>
    </row>
    <row r="166" spans="1:5" ht="15" x14ac:dyDescent="0.2">
      <c r="A166" s="50" t="str">
        <f t="shared" si="2"/>
        <v>AnalogSignalType.CustomTimeC</v>
      </c>
      <c r="B166" s="51" t="s">
        <v>1826</v>
      </c>
      <c r="C166" s="51" t="s">
        <v>1548</v>
      </c>
      <c r="D166" s="51" t="s">
        <v>1570</v>
      </c>
      <c r="E166" s="51" t="s">
        <v>1467</v>
      </c>
    </row>
    <row r="167" spans="1:5" ht="30" x14ac:dyDescent="0.2">
      <c r="A167" s="50" t="str">
        <f t="shared" si="2"/>
        <v>AnalogSignalType.CustomHumidityABC</v>
      </c>
      <c r="B167" s="51" t="s">
        <v>1827</v>
      </c>
      <c r="C167" s="51" t="s">
        <v>1548</v>
      </c>
      <c r="D167" s="51" t="s">
        <v>1578</v>
      </c>
      <c r="E167" s="51" t="s">
        <v>1425</v>
      </c>
    </row>
    <row r="168" spans="1:5" ht="15" x14ac:dyDescent="0.2">
      <c r="A168" s="50" t="str">
        <f t="shared" si="2"/>
        <v>AnalogSignalType.CustomHumidityA</v>
      </c>
      <c r="B168" s="51" t="s">
        <v>1828</v>
      </c>
      <c r="C168" s="51" t="s">
        <v>1548</v>
      </c>
      <c r="D168" s="51" t="s">
        <v>1578</v>
      </c>
      <c r="E168" s="51" t="s">
        <v>1440</v>
      </c>
    </row>
    <row r="169" spans="1:5" ht="15" x14ac:dyDescent="0.2">
      <c r="A169" s="50" t="str">
        <f t="shared" si="2"/>
        <v>AnalogSignalType.CustomHumidityB</v>
      </c>
      <c r="B169" s="51" t="s">
        <v>1829</v>
      </c>
      <c r="C169" s="51" t="s">
        <v>1548</v>
      </c>
      <c r="D169" s="51" t="s">
        <v>1578</v>
      </c>
      <c r="E169" s="51" t="s">
        <v>1456</v>
      </c>
    </row>
    <row r="170" spans="1:5" ht="15" x14ac:dyDescent="0.2">
      <c r="A170" s="50" t="str">
        <f t="shared" si="2"/>
        <v>AnalogSignalType.CustomHumidityC</v>
      </c>
      <c r="B170" s="51" t="s">
        <v>1830</v>
      </c>
      <c r="C170" s="51" t="s">
        <v>1548</v>
      </c>
      <c r="D170" s="51" t="s">
        <v>1578</v>
      </c>
      <c r="E170" s="51" t="s">
        <v>1467</v>
      </c>
    </row>
    <row r="171" spans="1:5" ht="30" x14ac:dyDescent="0.2">
      <c r="A171" s="50" t="str">
        <f t="shared" si="2"/>
        <v>AnalogSignalType.CustomWindSpeedABC</v>
      </c>
      <c r="B171" s="51" t="s">
        <v>1831</v>
      </c>
      <c r="C171" s="51" t="s">
        <v>1548</v>
      </c>
      <c r="D171" s="51" t="s">
        <v>1585</v>
      </c>
      <c r="E171" s="51" t="s">
        <v>1425</v>
      </c>
    </row>
    <row r="172" spans="1:5" ht="30" x14ac:dyDescent="0.2">
      <c r="A172" s="50" t="str">
        <f t="shared" si="2"/>
        <v>AnalogSignalType.CustomWindSpeedA</v>
      </c>
      <c r="B172" s="51" t="s">
        <v>1832</v>
      </c>
      <c r="C172" s="51" t="s">
        <v>1548</v>
      </c>
      <c r="D172" s="51" t="s">
        <v>1585</v>
      </c>
      <c r="E172" s="51" t="s">
        <v>1440</v>
      </c>
    </row>
    <row r="173" spans="1:5" ht="30" x14ac:dyDescent="0.2">
      <c r="A173" s="50" t="str">
        <f t="shared" si="2"/>
        <v>AnalogSignalType.CustomWindSpeedB</v>
      </c>
      <c r="B173" s="51" t="s">
        <v>1833</v>
      </c>
      <c r="C173" s="51" t="s">
        <v>1548</v>
      </c>
      <c r="D173" s="51" t="s">
        <v>1585</v>
      </c>
      <c r="E173" s="51" t="s">
        <v>1456</v>
      </c>
    </row>
    <row r="174" spans="1:5" ht="30" x14ac:dyDescent="0.2">
      <c r="A174" s="50" t="str">
        <f t="shared" si="2"/>
        <v>AnalogSignalType.CustomWindSpeedC</v>
      </c>
      <c r="B174" s="51" t="s">
        <v>1834</v>
      </c>
      <c r="C174" s="51" t="s">
        <v>1548</v>
      </c>
      <c r="D174" s="51" t="s">
        <v>1585</v>
      </c>
      <c r="E174" s="51" t="s">
        <v>1467</v>
      </c>
    </row>
    <row r="175" spans="1:5" ht="30" x14ac:dyDescent="0.2">
      <c r="A175" s="50" t="str">
        <f t="shared" si="2"/>
        <v>AnalogSignalType.CustomFeelsLikeABC</v>
      </c>
      <c r="B175" s="51" t="s">
        <v>1835</v>
      </c>
      <c r="C175" s="51" t="s">
        <v>1548</v>
      </c>
      <c r="D175" s="51" t="s">
        <v>1592</v>
      </c>
      <c r="E175" s="51" t="s">
        <v>1425</v>
      </c>
    </row>
    <row r="176" spans="1:5" ht="15" x14ac:dyDescent="0.2">
      <c r="A176" s="50" t="str">
        <f t="shared" si="2"/>
        <v>AnalogSignalType.CustomFeelsLikeA</v>
      </c>
      <c r="B176" s="51" t="s">
        <v>1836</v>
      </c>
      <c r="C176" s="51" t="s">
        <v>1548</v>
      </c>
      <c r="D176" s="51" t="s">
        <v>1592</v>
      </c>
      <c r="E176" s="51" t="s">
        <v>1440</v>
      </c>
    </row>
    <row r="177" spans="1:5" ht="15" x14ac:dyDescent="0.2">
      <c r="A177" s="50" t="str">
        <f t="shared" si="2"/>
        <v>AnalogSignalType.CustomFeelsLikeB</v>
      </c>
      <c r="B177" s="51" t="s">
        <v>1837</v>
      </c>
      <c r="C177" s="51" t="s">
        <v>1548</v>
      </c>
      <c r="D177" s="51" t="s">
        <v>1592</v>
      </c>
      <c r="E177" s="51" t="s">
        <v>1456</v>
      </c>
    </row>
    <row r="178" spans="1:5" ht="15" x14ac:dyDescent="0.2">
      <c r="A178" s="50" t="str">
        <f t="shared" si="2"/>
        <v>AnalogSignalType.CustomFeelsLikeC</v>
      </c>
      <c r="B178" s="51" t="s">
        <v>1838</v>
      </c>
      <c r="C178" s="51" t="s">
        <v>1548</v>
      </c>
      <c r="D178" s="51" t="s">
        <v>1592</v>
      </c>
      <c r="E178" s="51" t="s">
        <v>1467</v>
      </c>
    </row>
    <row r="179" spans="1:5" ht="30" x14ac:dyDescent="0.2">
      <c r="A179" s="50" t="str">
        <f t="shared" si="2"/>
        <v>AnalogSignalType.CustomSunshineMinutesABC</v>
      </c>
      <c r="B179" s="51" t="s">
        <v>1839</v>
      </c>
      <c r="C179" s="51" t="s">
        <v>1548</v>
      </c>
      <c r="D179" s="51" t="s">
        <v>1598</v>
      </c>
      <c r="E179" s="51" t="s">
        <v>1425</v>
      </c>
    </row>
    <row r="180" spans="1:5" ht="30" x14ac:dyDescent="0.2">
      <c r="A180" s="50" t="str">
        <f t="shared" si="2"/>
        <v>AnalogSignalType.CustomSunshineMinutesA</v>
      </c>
      <c r="B180" s="51" t="s">
        <v>1840</v>
      </c>
      <c r="C180" s="51" t="s">
        <v>1548</v>
      </c>
      <c r="D180" s="51" t="s">
        <v>1598</v>
      </c>
      <c r="E180" s="51" t="s">
        <v>1440</v>
      </c>
    </row>
    <row r="181" spans="1:5" ht="30" x14ac:dyDescent="0.2">
      <c r="A181" s="50" t="str">
        <f t="shared" si="2"/>
        <v>AnalogSignalType.CustomSunshineMinutesB</v>
      </c>
      <c r="B181" s="51" t="s">
        <v>1841</v>
      </c>
      <c r="C181" s="51" t="s">
        <v>1548</v>
      </c>
      <c r="D181" s="51" t="s">
        <v>1598</v>
      </c>
      <c r="E181" s="51" t="s">
        <v>1456</v>
      </c>
    </row>
    <row r="182" spans="1:5" ht="30" x14ac:dyDescent="0.2">
      <c r="A182" s="50" t="str">
        <f t="shared" si="2"/>
        <v>AnalogSignalType.CustomSunshineMinutesC</v>
      </c>
      <c r="B182" s="51" t="s">
        <v>1842</v>
      </c>
      <c r="C182" s="51" t="s">
        <v>1548</v>
      </c>
      <c r="D182" s="51" t="s">
        <v>1598</v>
      </c>
      <c r="E182" s="51" t="s">
        <v>1467</v>
      </c>
    </row>
    <row r="183" spans="1:5" ht="30" x14ac:dyDescent="0.2">
      <c r="A183" s="50" t="str">
        <f t="shared" si="2"/>
        <v>AnalogSignalType.CustomSkyCoverABC</v>
      </c>
      <c r="B183" s="51" t="s">
        <v>1843</v>
      </c>
      <c r="C183" s="51" t="s">
        <v>1548</v>
      </c>
      <c r="D183" s="51" t="s">
        <v>1605</v>
      </c>
      <c r="E183" s="51" t="s">
        <v>1425</v>
      </c>
    </row>
    <row r="184" spans="1:5" ht="15" x14ac:dyDescent="0.2">
      <c r="A184" s="50" t="str">
        <f t="shared" si="2"/>
        <v>AnalogSignalType.CustomSkyCoverA</v>
      </c>
      <c r="B184" s="51" t="s">
        <v>1844</v>
      </c>
      <c r="C184" s="51" t="s">
        <v>1548</v>
      </c>
      <c r="D184" s="51" t="s">
        <v>1605</v>
      </c>
      <c r="E184" s="51" t="s">
        <v>1440</v>
      </c>
    </row>
    <row r="185" spans="1:5" ht="15" x14ac:dyDescent="0.2">
      <c r="A185" s="50" t="str">
        <f t="shared" si="2"/>
        <v>AnalogSignalType.CustomSkyCoverB</v>
      </c>
      <c r="B185" s="51" t="s">
        <v>1845</v>
      </c>
      <c r="C185" s="51" t="s">
        <v>1548</v>
      </c>
      <c r="D185" s="51" t="s">
        <v>1605</v>
      </c>
      <c r="E185" s="51" t="s">
        <v>1456</v>
      </c>
    </row>
    <row r="186" spans="1:5" ht="15" x14ac:dyDescent="0.2">
      <c r="A186" s="50" t="str">
        <f t="shared" si="2"/>
        <v>AnalogSignalType.CustomSkyCoverC</v>
      </c>
      <c r="B186" s="51" t="s">
        <v>1846</v>
      </c>
      <c r="C186" s="51" t="s">
        <v>1548</v>
      </c>
      <c r="D186" s="51" t="s">
        <v>1605</v>
      </c>
      <c r="E186" s="51" t="s">
        <v>1467</v>
      </c>
    </row>
    <row r="187" spans="1:5" ht="15" x14ac:dyDescent="0.2">
      <c r="A187" s="50" t="str">
        <f t="shared" si="2"/>
        <v>AnalogSignalType.CustomLengthABC</v>
      </c>
      <c r="B187" s="51" t="s">
        <v>1847</v>
      </c>
      <c r="C187" s="51" t="s">
        <v>1548</v>
      </c>
      <c r="D187" s="51" t="s">
        <v>1612</v>
      </c>
      <c r="E187" s="51" t="s">
        <v>1425</v>
      </c>
    </row>
    <row r="188" spans="1:5" ht="15" x14ac:dyDescent="0.2">
      <c r="A188" s="50" t="str">
        <f t="shared" si="2"/>
        <v>AnalogSignalType.CustomLengthA</v>
      </c>
      <c r="B188" s="51" t="s">
        <v>1848</v>
      </c>
      <c r="C188" s="51" t="s">
        <v>1548</v>
      </c>
      <c r="D188" s="51" t="s">
        <v>1612</v>
      </c>
      <c r="E188" s="51" t="s">
        <v>1440</v>
      </c>
    </row>
    <row r="189" spans="1:5" ht="15" x14ac:dyDescent="0.2">
      <c r="A189" s="50" t="str">
        <f t="shared" si="2"/>
        <v>AnalogSignalType.CustomLengthB</v>
      </c>
      <c r="B189" s="51" t="s">
        <v>1849</v>
      </c>
      <c r="C189" s="51" t="s">
        <v>1548</v>
      </c>
      <c r="D189" s="51" t="s">
        <v>1612</v>
      </c>
      <c r="E189" s="51" t="s">
        <v>1456</v>
      </c>
    </row>
    <row r="190" spans="1:5" ht="15" x14ac:dyDescent="0.2">
      <c r="A190" s="50" t="str">
        <f t="shared" si="2"/>
        <v>AnalogSignalType.CustomLengthC</v>
      </c>
      <c r="B190" s="51" t="s">
        <v>1850</v>
      </c>
      <c r="C190" s="51" t="s">
        <v>1548</v>
      </c>
      <c r="D190" s="51" t="s">
        <v>1612</v>
      </c>
      <c r="E190" s="51" t="s">
        <v>1467</v>
      </c>
    </row>
    <row r="191" spans="1:5" ht="30" x14ac:dyDescent="0.2">
      <c r="A191" s="50" t="str">
        <f t="shared" si="2"/>
        <v>AnalogSignalType.CustomCrossSectionABC</v>
      </c>
      <c r="B191" s="51" t="s">
        <v>1851</v>
      </c>
      <c r="C191" s="51" t="s">
        <v>1548</v>
      </c>
      <c r="D191" s="51" t="s">
        <v>1619</v>
      </c>
      <c r="E191" s="51" t="s">
        <v>1425</v>
      </c>
    </row>
    <row r="192" spans="1:5" ht="30" x14ac:dyDescent="0.2">
      <c r="A192" s="50" t="str">
        <f t="shared" si="2"/>
        <v>AnalogSignalType.CustomCrossSectionA</v>
      </c>
      <c r="B192" s="51" t="s">
        <v>1852</v>
      </c>
      <c r="C192" s="51" t="s">
        <v>1548</v>
      </c>
      <c r="D192" s="51" t="s">
        <v>1619</v>
      </c>
      <c r="E192" s="51" t="s">
        <v>1440</v>
      </c>
    </row>
    <row r="193" spans="1:5" ht="30" x14ac:dyDescent="0.2">
      <c r="A193" s="50" t="str">
        <f t="shared" si="2"/>
        <v>AnalogSignalType.CustomCrossSectionB</v>
      </c>
      <c r="B193" s="51" t="s">
        <v>1853</v>
      </c>
      <c r="C193" s="51" t="s">
        <v>1548</v>
      </c>
      <c r="D193" s="51" t="s">
        <v>1619</v>
      </c>
      <c r="E193" s="51" t="s">
        <v>1456</v>
      </c>
    </row>
    <row r="194" spans="1:5" ht="30" x14ac:dyDescent="0.2">
      <c r="A194" s="50" t="str">
        <f t="shared" si="2"/>
        <v>AnalogSignalType.CustomCrossSectionC</v>
      </c>
      <c r="B194" s="51" t="s">
        <v>1854</v>
      </c>
      <c r="C194" s="51" t="s">
        <v>1548</v>
      </c>
      <c r="D194" s="51" t="s">
        <v>1619</v>
      </c>
      <c r="E194" s="51" t="s">
        <v>1467</v>
      </c>
    </row>
    <row r="195" spans="1:5" ht="30" x14ac:dyDescent="0.2">
      <c r="A195" s="50" t="str">
        <f t="shared" si="2"/>
        <v>AnalogSignalType.CustomImpedanceABC</v>
      </c>
      <c r="B195" s="51" t="s">
        <v>1855</v>
      </c>
      <c r="C195" s="51" t="s">
        <v>1548</v>
      </c>
      <c r="D195" s="51" t="s">
        <v>1625</v>
      </c>
      <c r="E195" s="51" t="s">
        <v>1425</v>
      </c>
    </row>
    <row r="196" spans="1:5" ht="30" x14ac:dyDescent="0.2">
      <c r="A196" s="50" t="str">
        <f t="shared" si="2"/>
        <v>AnalogSignalType.CustomImpedanceA</v>
      </c>
      <c r="B196" s="51" t="s">
        <v>1856</v>
      </c>
      <c r="C196" s="51" t="s">
        <v>1548</v>
      </c>
      <c r="D196" s="51" t="s">
        <v>1625</v>
      </c>
      <c r="E196" s="51" t="s">
        <v>1440</v>
      </c>
    </row>
    <row r="197" spans="1:5" ht="30" x14ac:dyDescent="0.2">
      <c r="A197" s="50" t="str">
        <f t="shared" ref="A197:A260" si="3">CONCATENATE(C197,D197,E197)</f>
        <v>AnalogSignalType.CustomImpedanceB</v>
      </c>
      <c r="B197" s="51" t="s">
        <v>1857</v>
      </c>
      <c r="C197" s="51" t="s">
        <v>1548</v>
      </c>
      <c r="D197" s="51" t="s">
        <v>1625</v>
      </c>
      <c r="E197" s="51" t="s">
        <v>1456</v>
      </c>
    </row>
    <row r="198" spans="1:5" ht="30" x14ac:dyDescent="0.2">
      <c r="A198" s="50" t="str">
        <f t="shared" si="3"/>
        <v>AnalogSignalType.CustomImpedanceC</v>
      </c>
      <c r="B198" s="51" t="s">
        <v>1858</v>
      </c>
      <c r="C198" s="51" t="s">
        <v>1548</v>
      </c>
      <c r="D198" s="51" t="s">
        <v>1625</v>
      </c>
      <c r="E198" s="51" t="s">
        <v>1467</v>
      </c>
    </row>
    <row r="199" spans="1:5" ht="30" x14ac:dyDescent="0.2">
      <c r="A199" s="50" t="str">
        <f t="shared" si="3"/>
        <v>AnalogSignalType.CustomAdmittanceABC</v>
      </c>
      <c r="B199" s="51" t="s">
        <v>1859</v>
      </c>
      <c r="C199" s="51" t="s">
        <v>1548</v>
      </c>
      <c r="D199" s="51" t="s">
        <v>1631</v>
      </c>
      <c r="E199" s="51" t="s">
        <v>1425</v>
      </c>
    </row>
    <row r="200" spans="1:5" ht="30" x14ac:dyDescent="0.2">
      <c r="A200" s="50" t="str">
        <f t="shared" si="3"/>
        <v>AnalogSignalType.CustomAdmittanceA</v>
      </c>
      <c r="B200" s="51" t="s">
        <v>1860</v>
      </c>
      <c r="C200" s="51" t="s">
        <v>1548</v>
      </c>
      <c r="D200" s="51" t="s">
        <v>1631</v>
      </c>
      <c r="E200" s="51" t="s">
        <v>1440</v>
      </c>
    </row>
    <row r="201" spans="1:5" ht="30" x14ac:dyDescent="0.2">
      <c r="A201" s="50" t="str">
        <f t="shared" si="3"/>
        <v>AnalogSignalType.CustomAdmittanceB</v>
      </c>
      <c r="B201" s="51" t="s">
        <v>1861</v>
      </c>
      <c r="C201" s="51" t="s">
        <v>1548</v>
      </c>
      <c r="D201" s="51" t="s">
        <v>1631</v>
      </c>
      <c r="E201" s="51" t="s">
        <v>1456</v>
      </c>
    </row>
    <row r="202" spans="1:5" ht="30" x14ac:dyDescent="0.2">
      <c r="A202" s="50" t="str">
        <f t="shared" si="3"/>
        <v>AnalogSignalType.CustomAdmittanceC</v>
      </c>
      <c r="B202" s="51" t="s">
        <v>1862</v>
      </c>
      <c r="C202" s="51" t="s">
        <v>1548</v>
      </c>
      <c r="D202" s="51" t="s">
        <v>1631</v>
      </c>
      <c r="E202" s="51" t="s">
        <v>1467</v>
      </c>
    </row>
    <row r="203" spans="1:5" ht="30" x14ac:dyDescent="0.2">
      <c r="A203" s="50" t="str">
        <f t="shared" si="3"/>
        <v>AnalogSignalType.CustomImpedancePerLengthABC</v>
      </c>
      <c r="B203" s="51" t="s">
        <v>1863</v>
      </c>
      <c r="C203" s="51" t="s">
        <v>1548</v>
      </c>
      <c r="D203" s="51" t="s">
        <v>1638</v>
      </c>
      <c r="E203" s="51" t="s">
        <v>1425</v>
      </c>
    </row>
    <row r="204" spans="1:5" ht="30" x14ac:dyDescent="0.2">
      <c r="A204" s="50" t="str">
        <f t="shared" si="3"/>
        <v>AnalogSignalType.CustomImpedancePerLengthA</v>
      </c>
      <c r="B204" s="51" t="s">
        <v>1864</v>
      </c>
      <c r="C204" s="51" t="s">
        <v>1548</v>
      </c>
      <c r="D204" s="51" t="s">
        <v>1638</v>
      </c>
      <c r="E204" s="51" t="s">
        <v>1440</v>
      </c>
    </row>
    <row r="205" spans="1:5" ht="30" x14ac:dyDescent="0.2">
      <c r="A205" s="50" t="str">
        <f t="shared" si="3"/>
        <v>AnalogSignalType.CustomImpedancePerLengthB</v>
      </c>
      <c r="B205" s="51" t="s">
        <v>1865</v>
      </c>
      <c r="C205" s="51" t="s">
        <v>1548</v>
      </c>
      <c r="D205" s="51" t="s">
        <v>1638</v>
      </c>
      <c r="E205" s="51" t="s">
        <v>1456</v>
      </c>
    </row>
    <row r="206" spans="1:5" ht="30" x14ac:dyDescent="0.2">
      <c r="A206" s="50" t="str">
        <f t="shared" si="3"/>
        <v>AnalogSignalType.CustomImpedancePerLengthC</v>
      </c>
      <c r="B206" s="51" t="s">
        <v>1866</v>
      </c>
      <c r="C206" s="51" t="s">
        <v>1548</v>
      </c>
      <c r="D206" s="51" t="s">
        <v>1638</v>
      </c>
      <c r="E206" s="51" t="s">
        <v>1467</v>
      </c>
    </row>
    <row r="207" spans="1:5" ht="30" x14ac:dyDescent="0.2">
      <c r="A207" s="50" t="str">
        <f t="shared" si="3"/>
        <v>AnalogSignalType.CustomAdmittancePerLengthABC</v>
      </c>
      <c r="B207" s="51" t="s">
        <v>1867</v>
      </c>
      <c r="C207" s="51" t="s">
        <v>1548</v>
      </c>
      <c r="D207" s="51" t="s">
        <v>1645</v>
      </c>
      <c r="E207" s="51" t="s">
        <v>1425</v>
      </c>
    </row>
    <row r="208" spans="1:5" ht="30" x14ac:dyDescent="0.2">
      <c r="A208" s="50" t="str">
        <f t="shared" si="3"/>
        <v>AnalogSignalType.CustomAdmittancePerLengthA</v>
      </c>
      <c r="B208" s="51" t="s">
        <v>1868</v>
      </c>
      <c r="C208" s="51" t="s">
        <v>1548</v>
      </c>
      <c r="D208" s="51" t="s">
        <v>1645</v>
      </c>
      <c r="E208" s="51" t="s">
        <v>1440</v>
      </c>
    </row>
    <row r="209" spans="1:5" ht="30" x14ac:dyDescent="0.2">
      <c r="A209" s="50" t="str">
        <f t="shared" si="3"/>
        <v>AnalogSignalType.CustomAdmittancePerLengthB</v>
      </c>
      <c r="B209" s="51" t="s">
        <v>1869</v>
      </c>
      <c r="C209" s="51" t="s">
        <v>1548</v>
      </c>
      <c r="D209" s="51" t="s">
        <v>1645</v>
      </c>
      <c r="E209" s="51" t="s">
        <v>1456</v>
      </c>
    </row>
    <row r="210" spans="1:5" ht="30" x14ac:dyDescent="0.2">
      <c r="A210" s="50" t="str">
        <f t="shared" si="3"/>
        <v>AnalogSignalType.CustomAdmittancePerLengthC</v>
      </c>
      <c r="B210" s="51" t="s">
        <v>1870</v>
      </c>
      <c r="C210" s="51" t="s">
        <v>1548</v>
      </c>
      <c r="D210" s="51" t="s">
        <v>1645</v>
      </c>
      <c r="E210" s="51" t="s">
        <v>1467</v>
      </c>
    </row>
    <row r="211" spans="1:5" ht="30" x14ac:dyDescent="0.2">
      <c r="A211" s="50" t="str">
        <f t="shared" si="3"/>
        <v>AnalogSignalType.CustomPercentABC</v>
      </c>
      <c r="B211" s="51" t="s">
        <v>1871</v>
      </c>
      <c r="C211" s="51" t="s">
        <v>1548</v>
      </c>
      <c r="D211" s="51" t="s">
        <v>1652</v>
      </c>
      <c r="E211" s="51" t="s">
        <v>1425</v>
      </c>
    </row>
    <row r="212" spans="1:5" ht="15" x14ac:dyDescent="0.2">
      <c r="A212" s="50" t="str">
        <f t="shared" si="3"/>
        <v>AnalogSignalType.CustomPercentA</v>
      </c>
      <c r="B212" s="51" t="s">
        <v>1872</v>
      </c>
      <c r="C212" s="51" t="s">
        <v>1548</v>
      </c>
      <c r="D212" s="51" t="s">
        <v>1652</v>
      </c>
      <c r="E212" s="51" t="s">
        <v>1440</v>
      </c>
    </row>
    <row r="213" spans="1:5" ht="15" x14ac:dyDescent="0.2">
      <c r="A213" s="50" t="str">
        <f t="shared" si="3"/>
        <v>AnalogSignalType.CustomPercentB</v>
      </c>
      <c r="B213" s="51" t="s">
        <v>1873</v>
      </c>
      <c r="C213" s="51" t="s">
        <v>1548</v>
      </c>
      <c r="D213" s="51" t="s">
        <v>1652</v>
      </c>
      <c r="E213" s="51" t="s">
        <v>1456</v>
      </c>
    </row>
    <row r="214" spans="1:5" ht="15" x14ac:dyDescent="0.2">
      <c r="A214" s="50" t="str">
        <f t="shared" si="3"/>
        <v>AnalogSignalType.CustomPercentC</v>
      </c>
      <c r="B214" s="51" t="s">
        <v>1874</v>
      </c>
      <c r="C214" s="51" t="s">
        <v>1548</v>
      </c>
      <c r="D214" s="51" t="s">
        <v>1652</v>
      </c>
      <c r="E214" s="51" t="s">
        <v>1467</v>
      </c>
    </row>
    <row r="215" spans="1:5" ht="15" x14ac:dyDescent="0.2">
      <c r="A215" s="50" t="str">
        <f t="shared" si="3"/>
        <v>AnalogSignalType.CustomMoneyABC</v>
      </c>
      <c r="B215" s="51" t="s">
        <v>1875</v>
      </c>
      <c r="C215" s="51" t="s">
        <v>1548</v>
      </c>
      <c r="D215" s="51" t="s">
        <v>1656</v>
      </c>
      <c r="E215" s="51" t="s">
        <v>1425</v>
      </c>
    </row>
    <row r="216" spans="1:5" ht="15" x14ac:dyDescent="0.2">
      <c r="A216" s="50" t="str">
        <f t="shared" si="3"/>
        <v>AnalogSignalType.CustomMoneyA</v>
      </c>
      <c r="B216" s="51" t="s">
        <v>1876</v>
      </c>
      <c r="C216" s="51" t="s">
        <v>1548</v>
      </c>
      <c r="D216" s="51" t="s">
        <v>1656</v>
      </c>
      <c r="E216" s="51" t="s">
        <v>1440</v>
      </c>
    </row>
    <row r="217" spans="1:5" ht="15" x14ac:dyDescent="0.2">
      <c r="A217" s="50" t="str">
        <f t="shared" si="3"/>
        <v>AnalogSignalType.CustomMoneyB</v>
      </c>
      <c r="B217" s="51" t="s">
        <v>1877</v>
      </c>
      <c r="C217" s="51" t="s">
        <v>1548</v>
      </c>
      <c r="D217" s="51" t="s">
        <v>1656</v>
      </c>
      <c r="E217" s="51" t="s">
        <v>1456</v>
      </c>
    </row>
    <row r="218" spans="1:5" ht="15" x14ac:dyDescent="0.2">
      <c r="A218" s="50" t="str">
        <f t="shared" si="3"/>
        <v>AnalogSignalType.CustomMoneyC</v>
      </c>
      <c r="B218" s="51" t="s">
        <v>1878</v>
      </c>
      <c r="C218" s="51" t="s">
        <v>1548</v>
      </c>
      <c r="D218" s="51" t="s">
        <v>1656</v>
      </c>
      <c r="E218" s="51" t="s">
        <v>1467</v>
      </c>
    </row>
    <row r="219" spans="1:5" ht="30" x14ac:dyDescent="0.2">
      <c r="A219" s="50" t="str">
        <f t="shared" si="3"/>
        <v>AnalogSignalType.CustomRelativeVoltageABC</v>
      </c>
      <c r="B219" s="51" t="s">
        <v>1879</v>
      </c>
      <c r="C219" s="51" t="s">
        <v>1548</v>
      </c>
      <c r="D219" s="51" t="s">
        <v>1491</v>
      </c>
      <c r="E219" s="51" t="s">
        <v>1425</v>
      </c>
    </row>
    <row r="220" spans="1:5" ht="30" x14ac:dyDescent="0.2">
      <c r="A220" s="50" t="str">
        <f t="shared" si="3"/>
        <v>AnalogSignalType.CustomRelativeVoltageA</v>
      </c>
      <c r="B220" s="51" t="s">
        <v>1880</v>
      </c>
      <c r="C220" s="51" t="s">
        <v>1548</v>
      </c>
      <c r="D220" s="51" t="s">
        <v>1491</v>
      </c>
      <c r="E220" s="51" t="s">
        <v>1440</v>
      </c>
    </row>
    <row r="221" spans="1:5" ht="30" x14ac:dyDescent="0.2">
      <c r="A221" s="50" t="str">
        <f t="shared" si="3"/>
        <v>AnalogSignalType.CustomRelativeVoltageB</v>
      </c>
      <c r="B221" s="51" t="s">
        <v>1881</v>
      </c>
      <c r="C221" s="51" t="s">
        <v>1548</v>
      </c>
      <c r="D221" s="51" t="s">
        <v>1491</v>
      </c>
      <c r="E221" s="51" t="s">
        <v>1456</v>
      </c>
    </row>
    <row r="222" spans="1:5" ht="30" x14ac:dyDescent="0.2">
      <c r="A222" s="50" t="str">
        <f t="shared" si="3"/>
        <v>AnalogSignalType.CustomRelativeVoltageC</v>
      </c>
      <c r="B222" s="51" t="s">
        <v>1882</v>
      </c>
      <c r="C222" s="51" t="s">
        <v>1548</v>
      </c>
      <c r="D222" s="51" t="s">
        <v>1491</v>
      </c>
      <c r="E222" s="51" t="s">
        <v>1467</v>
      </c>
    </row>
    <row r="223" spans="1:5" ht="30" x14ac:dyDescent="0.2">
      <c r="A223" s="50" t="str">
        <f t="shared" si="3"/>
        <v>AnalogSignalType.CustomInsolationABC</v>
      </c>
      <c r="B223" s="51" t="s">
        <v>1883</v>
      </c>
      <c r="C223" s="51" t="s">
        <v>1548</v>
      </c>
      <c r="D223" s="51" t="s">
        <v>1660</v>
      </c>
      <c r="E223" s="51" t="s">
        <v>1425</v>
      </c>
    </row>
    <row r="224" spans="1:5" ht="30" x14ac:dyDescent="0.2">
      <c r="A224" s="50" t="str">
        <f t="shared" si="3"/>
        <v>AnalogSignalType.CustomInsolationA</v>
      </c>
      <c r="B224" s="51" t="s">
        <v>1884</v>
      </c>
      <c r="C224" s="51" t="s">
        <v>1548</v>
      </c>
      <c r="D224" s="51" t="s">
        <v>1660</v>
      </c>
      <c r="E224" s="51" t="s">
        <v>1440</v>
      </c>
    </row>
    <row r="225" spans="1:5" ht="30" x14ac:dyDescent="0.2">
      <c r="A225" s="50" t="str">
        <f t="shared" si="3"/>
        <v>AnalogSignalType.CustomInsolationB</v>
      </c>
      <c r="B225" s="51" t="s">
        <v>1885</v>
      </c>
      <c r="C225" s="51" t="s">
        <v>1548</v>
      </c>
      <c r="D225" s="51" t="s">
        <v>1660</v>
      </c>
      <c r="E225" s="51" t="s">
        <v>1456</v>
      </c>
    </row>
    <row r="226" spans="1:5" ht="30" x14ac:dyDescent="0.2">
      <c r="A226" s="50" t="str">
        <f t="shared" si="3"/>
        <v>AnalogSignalType.CustomInsolationC</v>
      </c>
      <c r="B226" s="51" t="s">
        <v>1886</v>
      </c>
      <c r="C226" s="51" t="s">
        <v>1548</v>
      </c>
      <c r="D226" s="51" t="s">
        <v>1660</v>
      </c>
      <c r="E226" s="51" t="s">
        <v>1467</v>
      </c>
    </row>
    <row r="227" spans="1:5" ht="30" x14ac:dyDescent="0.2">
      <c r="A227" s="50" t="str">
        <f t="shared" si="3"/>
        <v>AnalogSignalType.CustomCurrentAngleABC</v>
      </c>
      <c r="B227" s="51" t="s">
        <v>1887</v>
      </c>
      <c r="C227" s="51" t="s">
        <v>1548</v>
      </c>
      <c r="D227" s="51" t="s">
        <v>1542</v>
      </c>
      <c r="E227" s="51" t="s">
        <v>1425</v>
      </c>
    </row>
    <row r="228" spans="1:5" ht="30" x14ac:dyDescent="0.2">
      <c r="A228" s="50" t="str">
        <f t="shared" si="3"/>
        <v>AnalogSignalType.CustomCurrentAngleA</v>
      </c>
      <c r="B228" s="51" t="s">
        <v>1888</v>
      </c>
      <c r="C228" s="51" t="s">
        <v>1548</v>
      </c>
      <c r="D228" s="51" t="s">
        <v>1542</v>
      </c>
      <c r="E228" s="51" t="s">
        <v>1440</v>
      </c>
    </row>
    <row r="229" spans="1:5" ht="30" x14ac:dyDescent="0.2">
      <c r="A229" s="50" t="str">
        <f t="shared" si="3"/>
        <v>AnalogSignalType.CustomCurrentAngleB</v>
      </c>
      <c r="B229" s="51" t="s">
        <v>1889</v>
      </c>
      <c r="C229" s="51" t="s">
        <v>1548</v>
      </c>
      <c r="D229" s="51" t="s">
        <v>1542</v>
      </c>
      <c r="E229" s="51" t="s">
        <v>1456</v>
      </c>
    </row>
    <row r="230" spans="1:5" ht="30" x14ac:dyDescent="0.2">
      <c r="A230" s="50" t="str">
        <f t="shared" si="3"/>
        <v>AnalogSignalType.CustomCurrentAngleC</v>
      </c>
      <c r="B230" s="51" t="s">
        <v>1890</v>
      </c>
      <c r="C230" s="51" t="s">
        <v>1548</v>
      </c>
      <c r="D230" s="51" t="s">
        <v>1542</v>
      </c>
      <c r="E230" s="51" t="s">
        <v>1467</v>
      </c>
    </row>
    <row r="231" spans="1:5" ht="30" x14ac:dyDescent="0.2">
      <c r="A231" s="50" t="str">
        <f t="shared" si="3"/>
        <v>AnalogSignalType.CustomRotationSpeedABC</v>
      </c>
      <c r="B231" s="51" t="s">
        <v>1891</v>
      </c>
      <c r="C231" s="51" t="s">
        <v>1548</v>
      </c>
      <c r="D231" s="51" t="s">
        <v>1664</v>
      </c>
      <c r="E231" s="51" t="s">
        <v>1425</v>
      </c>
    </row>
    <row r="232" spans="1:5" ht="30" x14ac:dyDescent="0.2">
      <c r="A232" s="50" t="str">
        <f t="shared" si="3"/>
        <v>AnalogSignalType.CustomRotationSpeedA</v>
      </c>
      <c r="B232" s="51" t="s">
        <v>1892</v>
      </c>
      <c r="C232" s="51" t="s">
        <v>1548</v>
      </c>
      <c r="D232" s="51" t="s">
        <v>1664</v>
      </c>
      <c r="E232" s="51" t="s">
        <v>1440</v>
      </c>
    </row>
    <row r="233" spans="1:5" ht="30" x14ac:dyDescent="0.2">
      <c r="A233" s="50" t="str">
        <f t="shared" si="3"/>
        <v>AnalogSignalType.CustomRotationSpeedB</v>
      </c>
      <c r="B233" s="51" t="s">
        <v>1893</v>
      </c>
      <c r="C233" s="51" t="s">
        <v>1548</v>
      </c>
      <c r="D233" s="51" t="s">
        <v>1664</v>
      </c>
      <c r="E233" s="51" t="s">
        <v>1456</v>
      </c>
    </row>
    <row r="234" spans="1:5" ht="30" x14ac:dyDescent="0.2">
      <c r="A234" s="50" t="str">
        <f t="shared" si="3"/>
        <v>AnalogSignalType.CustomRotationSpeedC</v>
      </c>
      <c r="B234" s="51" t="s">
        <v>1894</v>
      </c>
      <c r="C234" s="51" t="s">
        <v>1548</v>
      </c>
      <c r="D234" s="51" t="s">
        <v>1664</v>
      </c>
      <c r="E234" s="51" t="s">
        <v>1467</v>
      </c>
    </row>
    <row r="235" spans="1:5" ht="15" x14ac:dyDescent="0.2">
      <c r="A235" s="50" t="str">
        <f t="shared" si="3"/>
        <v>AnalogSignalType.CustomMassABC</v>
      </c>
      <c r="B235" s="51" t="s">
        <v>1895</v>
      </c>
      <c r="C235" s="51" t="s">
        <v>1548</v>
      </c>
      <c r="D235" s="51" t="s">
        <v>1669</v>
      </c>
      <c r="E235" s="51" t="s">
        <v>1425</v>
      </c>
    </row>
    <row r="236" spans="1:5" ht="15" x14ac:dyDescent="0.2">
      <c r="A236" s="50" t="str">
        <f t="shared" si="3"/>
        <v>AnalogSignalType.CustomMassA</v>
      </c>
      <c r="B236" s="51" t="s">
        <v>1896</v>
      </c>
      <c r="C236" s="51" t="s">
        <v>1548</v>
      </c>
      <c r="D236" s="51" t="s">
        <v>1669</v>
      </c>
      <c r="E236" s="51" t="s">
        <v>1440</v>
      </c>
    </row>
    <row r="237" spans="1:5" ht="15" x14ac:dyDescent="0.2">
      <c r="A237" s="50" t="str">
        <f t="shared" si="3"/>
        <v>AnalogSignalType.CustomMassB</v>
      </c>
      <c r="B237" s="51" t="s">
        <v>1897</v>
      </c>
      <c r="C237" s="51" t="s">
        <v>1548</v>
      </c>
      <c r="D237" s="51" t="s">
        <v>1669</v>
      </c>
      <c r="E237" s="51" t="s">
        <v>1456</v>
      </c>
    </row>
    <row r="238" spans="1:5" ht="15" x14ac:dyDescent="0.2">
      <c r="A238" s="50" t="str">
        <f t="shared" si="3"/>
        <v>AnalogSignalType.CustomMassC</v>
      </c>
      <c r="B238" s="51" t="s">
        <v>1898</v>
      </c>
      <c r="C238" s="51" t="s">
        <v>1548</v>
      </c>
      <c r="D238" s="51" t="s">
        <v>1669</v>
      </c>
      <c r="E238" s="51" t="s">
        <v>1467</v>
      </c>
    </row>
    <row r="239" spans="1:5" ht="30" x14ac:dyDescent="0.2">
      <c r="A239" s="50" t="str">
        <f t="shared" si="3"/>
        <v>AnalogSignalType.CustomFailureRateABC</v>
      </c>
      <c r="B239" s="51" t="s">
        <v>1899</v>
      </c>
      <c r="C239" s="51" t="s">
        <v>1548</v>
      </c>
      <c r="D239" s="51" t="s">
        <v>1672</v>
      </c>
      <c r="E239" s="51" t="s">
        <v>1425</v>
      </c>
    </row>
    <row r="240" spans="1:5" ht="30" x14ac:dyDescent="0.2">
      <c r="A240" s="50" t="str">
        <f t="shared" si="3"/>
        <v>AnalogSignalType.CustomFailureRateA</v>
      </c>
      <c r="B240" s="51" t="s">
        <v>1900</v>
      </c>
      <c r="C240" s="51" t="s">
        <v>1548</v>
      </c>
      <c r="D240" s="51" t="s">
        <v>1672</v>
      </c>
      <c r="E240" s="51" t="s">
        <v>1440</v>
      </c>
    </row>
    <row r="241" spans="1:5" ht="30" x14ac:dyDescent="0.2">
      <c r="A241" s="50" t="str">
        <f t="shared" si="3"/>
        <v>AnalogSignalType.CustomFailureRateB</v>
      </c>
      <c r="B241" s="51" t="s">
        <v>1901</v>
      </c>
      <c r="C241" s="51" t="s">
        <v>1548</v>
      </c>
      <c r="D241" s="51" t="s">
        <v>1672</v>
      </c>
      <c r="E241" s="51" t="s">
        <v>1456</v>
      </c>
    </row>
    <row r="242" spans="1:5" ht="30" x14ac:dyDescent="0.2">
      <c r="A242" s="50" t="str">
        <f t="shared" si="3"/>
        <v>AnalogSignalType.CustomFailureRateC</v>
      </c>
      <c r="B242" s="51" t="s">
        <v>1902</v>
      </c>
      <c r="C242" s="51" t="s">
        <v>1548</v>
      </c>
      <c r="D242" s="51" t="s">
        <v>1672</v>
      </c>
      <c r="E242" s="51" t="s">
        <v>1467</v>
      </c>
    </row>
    <row r="243" spans="1:5" ht="30" x14ac:dyDescent="0.2">
      <c r="A243" s="50" t="str">
        <f t="shared" si="3"/>
        <v>AnalogSignalType.CustomSoilTemperatureABC</v>
      </c>
      <c r="B243" s="51" t="s">
        <v>1903</v>
      </c>
      <c r="C243" s="51" t="s">
        <v>1548</v>
      </c>
      <c r="D243" s="51" t="s">
        <v>1676</v>
      </c>
      <c r="E243" s="51" t="s">
        <v>1425</v>
      </c>
    </row>
    <row r="244" spans="1:5" ht="30" x14ac:dyDescent="0.2">
      <c r="A244" s="50" t="str">
        <f t="shared" si="3"/>
        <v>AnalogSignalType.CustomSoilTemperatureA</v>
      </c>
      <c r="B244" s="51" t="s">
        <v>1904</v>
      </c>
      <c r="C244" s="51" t="s">
        <v>1548</v>
      </c>
      <c r="D244" s="51" t="s">
        <v>1676</v>
      </c>
      <c r="E244" s="51" t="s">
        <v>1440</v>
      </c>
    </row>
    <row r="245" spans="1:5" ht="30" x14ac:dyDescent="0.2">
      <c r="A245" s="50" t="str">
        <f t="shared" si="3"/>
        <v>AnalogSignalType.CustomSoilTemperatureB</v>
      </c>
      <c r="B245" s="51" t="s">
        <v>1905</v>
      </c>
      <c r="C245" s="51" t="s">
        <v>1548</v>
      </c>
      <c r="D245" s="51" t="s">
        <v>1676</v>
      </c>
      <c r="E245" s="51" t="s">
        <v>1456</v>
      </c>
    </row>
    <row r="246" spans="1:5" ht="30" x14ac:dyDescent="0.2">
      <c r="A246" s="50" t="str">
        <f t="shared" si="3"/>
        <v>AnalogSignalType.CustomSoilTemperatureC</v>
      </c>
      <c r="B246" s="51" t="s">
        <v>1906</v>
      </c>
      <c r="C246" s="51" t="s">
        <v>1548</v>
      </c>
      <c r="D246" s="51" t="s">
        <v>1676</v>
      </c>
      <c r="E246" s="51" t="s">
        <v>1467</v>
      </c>
    </row>
    <row r="247" spans="1:5" ht="30" x14ac:dyDescent="0.2">
      <c r="A247" s="50" t="str">
        <f t="shared" si="3"/>
        <v>AnalogSignalType.CustomOilTemperatureABC</v>
      </c>
      <c r="B247" s="51" t="s">
        <v>1907</v>
      </c>
      <c r="C247" s="51" t="s">
        <v>1548</v>
      </c>
      <c r="D247" s="51" t="s">
        <v>1680</v>
      </c>
      <c r="E247" s="51" t="s">
        <v>1425</v>
      </c>
    </row>
    <row r="248" spans="1:5" ht="30" x14ac:dyDescent="0.2">
      <c r="A248" s="50" t="str">
        <f t="shared" si="3"/>
        <v>AnalogSignalType.CustomOilTemperatureA</v>
      </c>
      <c r="B248" s="51" t="s">
        <v>1908</v>
      </c>
      <c r="C248" s="51" t="s">
        <v>1548</v>
      </c>
      <c r="D248" s="51" t="s">
        <v>1680</v>
      </c>
      <c r="E248" s="51" t="s">
        <v>1440</v>
      </c>
    </row>
    <row r="249" spans="1:5" ht="30" x14ac:dyDescent="0.2">
      <c r="A249" s="50" t="str">
        <f t="shared" si="3"/>
        <v>AnalogSignalType.CustomOilTemperatureB</v>
      </c>
      <c r="B249" s="51" t="s">
        <v>1909</v>
      </c>
      <c r="C249" s="51" t="s">
        <v>1548</v>
      </c>
      <c r="D249" s="51" t="s">
        <v>1680</v>
      </c>
      <c r="E249" s="51" t="s">
        <v>1456</v>
      </c>
    </row>
    <row r="250" spans="1:5" ht="30" x14ac:dyDescent="0.2">
      <c r="A250" s="50" t="str">
        <f t="shared" si="3"/>
        <v>AnalogSignalType.CustomOilTemperatureC</v>
      </c>
      <c r="B250" s="51" t="s">
        <v>1910</v>
      </c>
      <c r="C250" s="51" t="s">
        <v>1548</v>
      </c>
      <c r="D250" s="51" t="s">
        <v>1680</v>
      </c>
      <c r="E250" s="51" t="s">
        <v>1467</v>
      </c>
    </row>
    <row r="251" spans="1:5" ht="30" x14ac:dyDescent="0.2">
      <c r="A251" s="50" t="str">
        <f t="shared" si="3"/>
        <v>AnalogSignalType.CustomHotSpotTemperatureABC</v>
      </c>
      <c r="B251" s="51" t="s">
        <v>1911</v>
      </c>
      <c r="C251" s="51" t="s">
        <v>1548</v>
      </c>
      <c r="D251" s="51" t="s">
        <v>1684</v>
      </c>
      <c r="E251" s="51" t="s">
        <v>1425</v>
      </c>
    </row>
    <row r="252" spans="1:5" ht="30" x14ac:dyDescent="0.2">
      <c r="A252" s="50" t="str">
        <f t="shared" si="3"/>
        <v>AnalogSignalType.CustomHotSpotTemperatureA</v>
      </c>
      <c r="B252" s="51" t="s">
        <v>1912</v>
      </c>
      <c r="C252" s="51" t="s">
        <v>1548</v>
      </c>
      <c r="D252" s="51" t="s">
        <v>1684</v>
      </c>
      <c r="E252" s="51" t="s">
        <v>1440</v>
      </c>
    </row>
    <row r="253" spans="1:5" ht="30" x14ac:dyDescent="0.2">
      <c r="A253" s="50" t="str">
        <f t="shared" si="3"/>
        <v>AnalogSignalType.CustomHotSpotTemperatureB</v>
      </c>
      <c r="B253" s="51" t="s">
        <v>1913</v>
      </c>
      <c r="C253" s="51" t="s">
        <v>1548</v>
      </c>
      <c r="D253" s="51" t="s">
        <v>1684</v>
      </c>
      <c r="E253" s="51" t="s">
        <v>1456</v>
      </c>
    </row>
    <row r="254" spans="1:5" ht="30" x14ac:dyDescent="0.2">
      <c r="A254" s="50" t="str">
        <f t="shared" si="3"/>
        <v>AnalogSignalType.CustomHotSpotTemperatureC</v>
      </c>
      <c r="B254" s="51" t="s">
        <v>1914</v>
      </c>
      <c r="C254" s="51" t="s">
        <v>1548</v>
      </c>
      <c r="D254" s="51" t="s">
        <v>1684</v>
      </c>
      <c r="E254" s="51" t="s">
        <v>1467</v>
      </c>
    </row>
    <row r="255" spans="1:5" ht="30" x14ac:dyDescent="0.2">
      <c r="A255" s="50" t="str">
        <f t="shared" si="3"/>
        <v>AnalogSignalType.CustomAbsoluteDateTimeABC</v>
      </c>
      <c r="B255" s="51" t="s">
        <v>1915</v>
      </c>
      <c r="C255" s="51" t="s">
        <v>1548</v>
      </c>
      <c r="D255" s="51" t="s">
        <v>1689</v>
      </c>
      <c r="E255" s="51" t="s">
        <v>1425</v>
      </c>
    </row>
    <row r="256" spans="1:5" ht="30" x14ac:dyDescent="0.2">
      <c r="A256" s="50" t="str">
        <f t="shared" si="3"/>
        <v>AnalogSignalType.CustomAbsoluteDateTimeA</v>
      </c>
      <c r="B256" s="51" t="s">
        <v>1916</v>
      </c>
      <c r="C256" s="51" t="s">
        <v>1548</v>
      </c>
      <c r="D256" s="51" t="s">
        <v>1689</v>
      </c>
      <c r="E256" s="51" t="s">
        <v>1440</v>
      </c>
    </row>
    <row r="257" spans="1:5" ht="30" x14ac:dyDescent="0.2">
      <c r="A257" s="50" t="str">
        <f t="shared" si="3"/>
        <v>AnalogSignalType.CustomAbsoluteDateTimeB</v>
      </c>
      <c r="B257" s="51" t="s">
        <v>1917</v>
      </c>
      <c r="C257" s="51" t="s">
        <v>1548</v>
      </c>
      <c r="D257" s="51" t="s">
        <v>1689</v>
      </c>
      <c r="E257" s="51" t="s">
        <v>1456</v>
      </c>
    </row>
    <row r="258" spans="1:5" ht="30" x14ac:dyDescent="0.2">
      <c r="A258" s="50" t="str">
        <f t="shared" si="3"/>
        <v>AnalogSignalType.CustomAbsoluteDateTimeC</v>
      </c>
      <c r="B258" s="51" t="s">
        <v>1918</v>
      </c>
      <c r="C258" s="51" t="s">
        <v>1548</v>
      </c>
      <c r="D258" s="51" t="s">
        <v>1689</v>
      </c>
      <c r="E258" s="51" t="s">
        <v>1467</v>
      </c>
    </row>
    <row r="259" spans="1:5" ht="30" x14ac:dyDescent="0.2">
      <c r="A259" s="50" t="str">
        <f t="shared" si="3"/>
        <v>AnalogSignalType.CustomLatLongABC</v>
      </c>
      <c r="B259" s="51" t="s">
        <v>1919</v>
      </c>
      <c r="C259" s="51" t="s">
        <v>1548</v>
      </c>
      <c r="D259" s="51" t="s">
        <v>1694</v>
      </c>
      <c r="E259" s="51" t="s">
        <v>1425</v>
      </c>
    </row>
    <row r="260" spans="1:5" ht="15" x14ac:dyDescent="0.2">
      <c r="A260" s="50" t="str">
        <f t="shared" si="3"/>
        <v>AnalogSignalType.CustomLatLongA</v>
      </c>
      <c r="B260" s="51" t="s">
        <v>1920</v>
      </c>
      <c r="C260" s="51" t="s">
        <v>1548</v>
      </c>
      <c r="D260" s="51" t="s">
        <v>1694</v>
      </c>
      <c r="E260" s="51" t="s">
        <v>1440</v>
      </c>
    </row>
    <row r="261" spans="1:5" ht="15" x14ac:dyDescent="0.2">
      <c r="A261" s="50" t="str">
        <f t="shared" ref="A261:A325" si="4">CONCATENATE(C261,D261,E261)</f>
        <v>AnalogSignalType.CustomLatLongB</v>
      </c>
      <c r="B261" s="51" t="s">
        <v>1921</v>
      </c>
      <c r="C261" s="51" t="s">
        <v>1548</v>
      </c>
      <c r="D261" s="51" t="s">
        <v>1694</v>
      </c>
      <c r="E261" s="51" t="s">
        <v>1456</v>
      </c>
    </row>
    <row r="262" spans="1:5" ht="15" x14ac:dyDescent="0.2">
      <c r="A262" s="50" t="str">
        <f t="shared" si="4"/>
        <v>AnalogSignalType.CustomLatLongC</v>
      </c>
      <c r="B262" s="51" t="s">
        <v>1922</v>
      </c>
      <c r="C262" s="51" t="s">
        <v>1548</v>
      </c>
      <c r="D262" s="51" t="s">
        <v>1694</v>
      </c>
      <c r="E262" s="51" t="s">
        <v>1467</v>
      </c>
    </row>
    <row r="263" spans="1:5" ht="15" x14ac:dyDescent="0.2">
      <c r="A263" s="50" t="str">
        <f t="shared" si="4"/>
        <v>MeasuredValueVoltageABCPrimary</v>
      </c>
      <c r="B263" s="51" t="s">
        <v>1923</v>
      </c>
      <c r="C263" s="51" t="s">
        <v>1532</v>
      </c>
      <c r="D263" s="51" t="s">
        <v>1469</v>
      </c>
      <c r="E263" s="51" t="s">
        <v>1499</v>
      </c>
    </row>
    <row r="264" spans="1:5" ht="15" x14ac:dyDescent="0.2">
      <c r="A264" s="50" t="str">
        <f t="shared" si="4"/>
        <v>MeasuredValueVoltageABPrimary</v>
      </c>
      <c r="B264" s="51" t="s">
        <v>1924</v>
      </c>
      <c r="C264" s="51" t="s">
        <v>1532</v>
      </c>
      <c r="D264" s="51" t="s">
        <v>1469</v>
      </c>
      <c r="E264" s="51" t="s">
        <v>1506</v>
      </c>
    </row>
    <row r="265" spans="1:5" ht="15" x14ac:dyDescent="0.2">
      <c r="A265" s="50" t="str">
        <f t="shared" si="4"/>
        <v>MeasuredValueVoltageBCPrimary</v>
      </c>
      <c r="B265" s="51" t="s">
        <v>1925</v>
      </c>
      <c r="C265" s="51" t="s">
        <v>1532</v>
      </c>
      <c r="D265" s="51" t="s">
        <v>1469</v>
      </c>
      <c r="E265" s="51" t="s">
        <v>1513</v>
      </c>
    </row>
    <row r="266" spans="1:5" ht="15" x14ac:dyDescent="0.2">
      <c r="A266" s="50" t="str">
        <f t="shared" si="4"/>
        <v>MeasuredValueVoltageACPrimary</v>
      </c>
      <c r="B266" s="51" t="s">
        <v>1926</v>
      </c>
      <c r="C266" s="51" t="s">
        <v>1532</v>
      </c>
      <c r="D266" s="51" t="s">
        <v>1469</v>
      </c>
      <c r="E266" s="51" t="s">
        <v>1520</v>
      </c>
    </row>
    <row r="267" spans="1:5" ht="15" x14ac:dyDescent="0.2">
      <c r="A267" s="50" t="str">
        <f t="shared" si="4"/>
        <v>MeasuredValueVoltageAPrimary</v>
      </c>
      <c r="B267" s="51" t="s">
        <v>1927</v>
      </c>
      <c r="C267" s="51" t="s">
        <v>1532</v>
      </c>
      <c r="D267" s="51" t="s">
        <v>1469</v>
      </c>
      <c r="E267" s="51" t="s">
        <v>1528</v>
      </c>
    </row>
    <row r="268" spans="1:5" ht="15" x14ac:dyDescent="0.2">
      <c r="A268" s="50" t="str">
        <f t="shared" si="4"/>
        <v>MeasuredValueVoltageBPrimary</v>
      </c>
      <c r="B268" s="51" t="s">
        <v>1928</v>
      </c>
      <c r="C268" s="51" t="s">
        <v>1532</v>
      </c>
      <c r="D268" s="51" t="s">
        <v>1469</v>
      </c>
      <c r="E268" s="51" t="s">
        <v>1536</v>
      </c>
    </row>
    <row r="269" spans="1:5" ht="15" x14ac:dyDescent="0.2">
      <c r="A269" s="50" t="str">
        <f t="shared" si="4"/>
        <v>MeasuredValueVoltageCPrimary</v>
      </c>
      <c r="B269" s="51" t="s">
        <v>1929</v>
      </c>
      <c r="C269" s="51" t="s">
        <v>1532</v>
      </c>
      <c r="D269" s="51" t="s">
        <v>1469</v>
      </c>
      <c r="E269" s="51" t="s">
        <v>1544</v>
      </c>
    </row>
    <row r="270" spans="1:5" ht="30" x14ac:dyDescent="0.2">
      <c r="A270" s="50" t="str">
        <f t="shared" si="4"/>
        <v>MeasuredValueVoltageAngleABCPrimary</v>
      </c>
      <c r="B270" s="51" t="s">
        <v>1930</v>
      </c>
      <c r="C270" s="51" t="s">
        <v>1532</v>
      </c>
      <c r="D270" s="51" t="s">
        <v>1477</v>
      </c>
      <c r="E270" s="51" t="s">
        <v>1499</v>
      </c>
    </row>
    <row r="271" spans="1:5" ht="30" x14ac:dyDescent="0.2">
      <c r="A271" s="50" t="str">
        <f t="shared" si="4"/>
        <v>MeasuredValueVoltageAngleABPrimary</v>
      </c>
      <c r="B271" s="51" t="s">
        <v>1931</v>
      </c>
      <c r="C271" s="51" t="s">
        <v>1532</v>
      </c>
      <c r="D271" s="51" t="s">
        <v>1477</v>
      </c>
      <c r="E271" s="51" t="s">
        <v>1506</v>
      </c>
    </row>
    <row r="272" spans="1:5" ht="30" x14ac:dyDescent="0.2">
      <c r="A272" s="50" t="str">
        <f t="shared" si="4"/>
        <v>MeasuredValueVoltageAngleBCPrimary</v>
      </c>
      <c r="B272" s="51" t="s">
        <v>1932</v>
      </c>
      <c r="C272" s="51" t="s">
        <v>1532</v>
      </c>
      <c r="D272" s="51" t="s">
        <v>1477</v>
      </c>
      <c r="E272" s="51" t="s">
        <v>1513</v>
      </c>
    </row>
    <row r="273" spans="1:5" ht="30" x14ac:dyDescent="0.2">
      <c r="A273" s="50" t="str">
        <f t="shared" si="4"/>
        <v>MeasuredValueVoltageAngleACPrimary</v>
      </c>
      <c r="B273" s="51" t="s">
        <v>1933</v>
      </c>
      <c r="C273" s="51" t="s">
        <v>1532</v>
      </c>
      <c r="D273" s="51" t="s">
        <v>1477</v>
      </c>
      <c r="E273" s="51" t="s">
        <v>1520</v>
      </c>
    </row>
    <row r="274" spans="1:5" ht="30" x14ac:dyDescent="0.2">
      <c r="A274" s="50" t="str">
        <f t="shared" si="4"/>
        <v>MeasuredValueVoltageAngleAPrimary</v>
      </c>
      <c r="B274" s="51" t="s">
        <v>1934</v>
      </c>
      <c r="C274" s="51" t="s">
        <v>1532</v>
      </c>
      <c r="D274" s="51" t="s">
        <v>1477</v>
      </c>
      <c r="E274" s="51" t="s">
        <v>1528</v>
      </c>
    </row>
    <row r="275" spans="1:5" ht="30" x14ac:dyDescent="0.2">
      <c r="A275" s="50" t="str">
        <f t="shared" si="4"/>
        <v>MeasuredValueVoltageAngleBPrimary</v>
      </c>
      <c r="B275" s="51" t="s">
        <v>1935</v>
      </c>
      <c r="C275" s="51" t="s">
        <v>1532</v>
      </c>
      <c r="D275" s="51" t="s">
        <v>1477</v>
      </c>
      <c r="E275" s="51" t="s">
        <v>1536</v>
      </c>
    </row>
    <row r="276" spans="1:5" ht="30" x14ac:dyDescent="0.2">
      <c r="A276" s="50" t="str">
        <f t="shared" si="4"/>
        <v>MeasuredValueVoltageAngleCPrimary</v>
      </c>
      <c r="B276" s="51" t="s">
        <v>1936</v>
      </c>
      <c r="C276" s="51" t="s">
        <v>1532</v>
      </c>
      <c r="D276" s="51" t="s">
        <v>1477</v>
      </c>
      <c r="E276" s="51" t="s">
        <v>1544</v>
      </c>
    </row>
    <row r="277" spans="1:5" ht="30" x14ac:dyDescent="0.2">
      <c r="A277" s="50" t="str">
        <f t="shared" si="4"/>
        <v>MeasuredValueFrequencyABCPrimary</v>
      </c>
      <c r="B277" s="51" t="s">
        <v>1937</v>
      </c>
      <c r="C277" s="51" t="s">
        <v>1532</v>
      </c>
      <c r="D277" s="51" t="s">
        <v>1485</v>
      </c>
      <c r="E277" s="51" t="s">
        <v>1499</v>
      </c>
    </row>
    <row r="278" spans="1:5" ht="30" x14ac:dyDescent="0.2">
      <c r="A278" s="50" t="str">
        <f t="shared" si="4"/>
        <v>MeasuredValueRelativeVoltageABCPrimary</v>
      </c>
      <c r="B278" s="51" t="s">
        <v>1938</v>
      </c>
      <c r="C278" s="51" t="s">
        <v>1532</v>
      </c>
      <c r="D278" s="51" t="s">
        <v>1491</v>
      </c>
      <c r="E278" s="51" t="s">
        <v>1499</v>
      </c>
    </row>
    <row r="279" spans="1:5" ht="30" x14ac:dyDescent="0.2">
      <c r="A279" s="50" t="str">
        <f t="shared" si="4"/>
        <v>MeasuredValueRelativeVoltageABPrimary</v>
      </c>
      <c r="B279" s="51" t="s">
        <v>1939</v>
      </c>
      <c r="C279" s="51" t="s">
        <v>1532</v>
      </c>
      <c r="D279" s="51" t="s">
        <v>1491</v>
      </c>
      <c r="E279" s="51" t="s">
        <v>1506</v>
      </c>
    </row>
    <row r="280" spans="1:5" ht="30" x14ac:dyDescent="0.2">
      <c r="A280" s="50" t="str">
        <f t="shared" si="4"/>
        <v>MeasuredValueRelativeVoltageBCPrimary</v>
      </c>
      <c r="B280" s="51" t="s">
        <v>1940</v>
      </c>
      <c r="C280" s="51" t="s">
        <v>1532</v>
      </c>
      <c r="D280" s="51" t="s">
        <v>1491</v>
      </c>
      <c r="E280" s="51" t="s">
        <v>1513</v>
      </c>
    </row>
    <row r="281" spans="1:5" ht="30" x14ac:dyDescent="0.2">
      <c r="A281" s="50" t="str">
        <f t="shared" si="4"/>
        <v>MeasuredValueRelativeVoltageACPrimary</v>
      </c>
      <c r="B281" s="51" t="s">
        <v>1941</v>
      </c>
      <c r="C281" s="51" t="s">
        <v>1532</v>
      </c>
      <c r="D281" s="51" t="s">
        <v>1491</v>
      </c>
      <c r="E281" s="51" t="s">
        <v>1520</v>
      </c>
    </row>
    <row r="282" spans="1:5" ht="30" x14ac:dyDescent="0.2">
      <c r="A282" s="50" t="str">
        <f t="shared" si="4"/>
        <v>MeasuredValueRelativeVoltageAPrimary</v>
      </c>
      <c r="B282" s="51" t="s">
        <v>1942</v>
      </c>
      <c r="C282" s="51" t="s">
        <v>1532</v>
      </c>
      <c r="D282" s="51" t="s">
        <v>1491</v>
      </c>
      <c r="E282" s="51" t="s">
        <v>1528</v>
      </c>
    </row>
    <row r="283" spans="1:5" ht="30" x14ac:dyDescent="0.2">
      <c r="A283" s="50" t="str">
        <f t="shared" si="4"/>
        <v>MeasuredValueRelativeVoltageBPrimary</v>
      </c>
      <c r="B283" s="51" t="s">
        <v>1943</v>
      </c>
      <c r="C283" s="51" t="s">
        <v>1532</v>
      </c>
      <c r="D283" s="51" t="s">
        <v>1491</v>
      </c>
      <c r="E283" s="51" t="s">
        <v>1536</v>
      </c>
    </row>
    <row r="284" spans="1:5" ht="30" x14ac:dyDescent="0.2">
      <c r="A284" s="50" t="str">
        <f t="shared" si="4"/>
        <v>MeasuredValueRelativeVoltageCPrimary</v>
      </c>
      <c r="B284" s="51" t="s">
        <v>1944</v>
      </c>
      <c r="C284" s="51" t="s">
        <v>1532</v>
      </c>
      <c r="D284" s="51" t="s">
        <v>1491</v>
      </c>
      <c r="E284" s="51" t="s">
        <v>1544</v>
      </c>
    </row>
    <row r="285" spans="1:5" ht="15" x14ac:dyDescent="0.2">
      <c r="A285" s="50" t="str">
        <f t="shared" si="4"/>
        <v>MeasuredValueCurrentABCPrimary</v>
      </c>
      <c r="B285" s="51" t="s">
        <v>1945</v>
      </c>
      <c r="C285" s="51" t="s">
        <v>1532</v>
      </c>
      <c r="D285" s="51" t="s">
        <v>1498</v>
      </c>
      <c r="E285" s="51" t="s">
        <v>1499</v>
      </c>
    </row>
    <row r="286" spans="1:5" ht="15" x14ac:dyDescent="0.2">
      <c r="A286" s="50" t="str">
        <f t="shared" si="4"/>
        <v>MeasuredValueCurrentAPrimary</v>
      </c>
      <c r="B286" s="51" t="s">
        <v>1946</v>
      </c>
      <c r="C286" s="51" t="s">
        <v>1532</v>
      </c>
      <c r="D286" s="51" t="s">
        <v>1498</v>
      </c>
      <c r="E286" s="51" t="s">
        <v>1528</v>
      </c>
    </row>
    <row r="287" spans="1:5" ht="15" x14ac:dyDescent="0.2">
      <c r="A287" s="50" t="str">
        <f t="shared" si="4"/>
        <v>MeasuredValueCurrentBPrimary</v>
      </c>
      <c r="B287" s="51" t="s">
        <v>1947</v>
      </c>
      <c r="C287" s="51" t="s">
        <v>1532</v>
      </c>
      <c r="D287" s="51" t="s">
        <v>1498</v>
      </c>
      <c r="E287" s="51" t="s">
        <v>1536</v>
      </c>
    </row>
    <row r="288" spans="1:5" ht="15" x14ac:dyDescent="0.2">
      <c r="A288" s="50" t="str">
        <f t="shared" si="4"/>
        <v>MeasuredValueCurrentCPrimary</v>
      </c>
      <c r="B288" s="51" t="s">
        <v>1948</v>
      </c>
      <c r="C288" s="51" t="s">
        <v>1532</v>
      </c>
      <c r="D288" s="51" t="s">
        <v>1498</v>
      </c>
      <c r="E288" s="51" t="s">
        <v>1544</v>
      </c>
    </row>
    <row r="289" spans="1:5" ht="15" x14ac:dyDescent="0.2">
      <c r="A289" s="50" t="str">
        <f t="shared" si="4"/>
        <v>MeasuredValueCurrentNPrimary</v>
      </c>
      <c r="B289" s="51" t="s">
        <v>1949</v>
      </c>
      <c r="C289" s="51" t="s">
        <v>1532</v>
      </c>
      <c r="D289" s="51" t="s">
        <v>1498</v>
      </c>
      <c r="E289" s="51" t="s">
        <v>1633</v>
      </c>
    </row>
    <row r="290" spans="1:5" ht="30" x14ac:dyDescent="0.2">
      <c r="A290" s="50" t="str">
        <f t="shared" si="4"/>
        <v>MeasuredValueActivePowerABCPrimary</v>
      </c>
      <c r="B290" s="51" t="s">
        <v>1950</v>
      </c>
      <c r="C290" s="51" t="s">
        <v>1532</v>
      </c>
      <c r="D290" s="51" t="s">
        <v>1504</v>
      </c>
      <c r="E290" s="51" t="s">
        <v>1499</v>
      </c>
    </row>
    <row r="291" spans="1:5" ht="30" x14ac:dyDescent="0.2">
      <c r="A291" s="50" t="str">
        <f t="shared" si="4"/>
        <v>MeasuredValueActivePowerAPrimary</v>
      </c>
      <c r="B291" s="51" t="s">
        <v>1951</v>
      </c>
      <c r="C291" s="51" t="s">
        <v>1532</v>
      </c>
      <c r="D291" s="51" t="s">
        <v>1504</v>
      </c>
      <c r="E291" s="51" t="s">
        <v>1528</v>
      </c>
    </row>
    <row r="292" spans="1:5" ht="30" x14ac:dyDescent="0.2">
      <c r="A292" s="50" t="str">
        <f t="shared" si="4"/>
        <v>MeasuredValueActivePowerBPrimary</v>
      </c>
      <c r="B292" s="51" t="s">
        <v>1952</v>
      </c>
      <c r="C292" s="51" t="s">
        <v>1532</v>
      </c>
      <c r="D292" s="51" t="s">
        <v>1504</v>
      </c>
      <c r="E292" s="51" t="s">
        <v>1536</v>
      </c>
    </row>
    <row r="293" spans="1:5" ht="30" x14ac:dyDescent="0.2">
      <c r="A293" s="50" t="str">
        <f t="shared" si="4"/>
        <v>MeasuredValueActivePowerCPrimary</v>
      </c>
      <c r="B293" s="51" t="s">
        <v>1953</v>
      </c>
      <c r="C293" s="51" t="s">
        <v>1532</v>
      </c>
      <c r="D293" s="51" t="s">
        <v>1504</v>
      </c>
      <c r="E293" s="51" t="s">
        <v>1544</v>
      </c>
    </row>
    <row r="294" spans="1:5" ht="30" x14ac:dyDescent="0.2">
      <c r="A294" s="50" t="str">
        <f t="shared" si="4"/>
        <v>MeasuredValueReactivePowerABCPrimary</v>
      </c>
      <c r="B294" s="51" t="s">
        <v>1954</v>
      </c>
      <c r="C294" s="51" t="s">
        <v>1532</v>
      </c>
      <c r="D294" s="51" t="s">
        <v>1563</v>
      </c>
      <c r="E294" s="51" t="s">
        <v>1499</v>
      </c>
    </row>
    <row r="295" spans="1:5" ht="30" x14ac:dyDescent="0.2">
      <c r="A295" s="50" t="str">
        <f t="shared" si="4"/>
        <v>MeasuredValueReactivePowerAPrimary</v>
      </c>
      <c r="B295" s="51" t="s">
        <v>1955</v>
      </c>
      <c r="C295" s="51" t="s">
        <v>1532</v>
      </c>
      <c r="D295" s="51" t="s">
        <v>1563</v>
      </c>
      <c r="E295" s="51" t="s">
        <v>1528</v>
      </c>
    </row>
    <row r="296" spans="1:5" ht="30" x14ac:dyDescent="0.2">
      <c r="A296" s="50" t="str">
        <f t="shared" si="4"/>
        <v>MeasuredValueReactivePowerBPrimary</v>
      </c>
      <c r="B296" s="51" t="s">
        <v>1956</v>
      </c>
      <c r="C296" s="51" t="s">
        <v>1532</v>
      </c>
      <c r="D296" s="51" t="s">
        <v>1563</v>
      </c>
      <c r="E296" s="51" t="s">
        <v>1536</v>
      </c>
    </row>
    <row r="297" spans="1:5" ht="30" x14ac:dyDescent="0.2">
      <c r="A297" s="50" t="str">
        <f t="shared" si="4"/>
        <v>MeasuredValueReactivePowerCPrimary</v>
      </c>
      <c r="B297" s="51" t="s">
        <v>1957</v>
      </c>
      <c r="C297" s="51" t="s">
        <v>1532</v>
      </c>
      <c r="D297" s="51" t="s">
        <v>1563</v>
      </c>
      <c r="E297" s="51" t="s">
        <v>1544</v>
      </c>
    </row>
    <row r="298" spans="1:5" ht="30" x14ac:dyDescent="0.2">
      <c r="A298" s="50" t="str">
        <f t="shared" si="4"/>
        <v>MeasuredValueApparentPowerABCPrimary</v>
      </c>
      <c r="B298" s="51" t="s">
        <v>1958</v>
      </c>
      <c r="C298" s="51" t="s">
        <v>1532</v>
      </c>
      <c r="D298" s="51" t="s">
        <v>1511</v>
      </c>
      <c r="E298" s="51" t="s">
        <v>1499</v>
      </c>
    </row>
    <row r="299" spans="1:5" ht="15" x14ac:dyDescent="0.2">
      <c r="A299" s="50" t="str">
        <f t="shared" si="4"/>
        <v>MeasuredValueCosPhiABCPrimary</v>
      </c>
      <c r="B299" s="51" t="s">
        <v>1959</v>
      </c>
      <c r="C299" s="51" t="s">
        <v>1532</v>
      </c>
      <c r="D299" s="51" t="s">
        <v>1518</v>
      </c>
      <c r="E299" s="51" t="s">
        <v>1499</v>
      </c>
    </row>
    <row r="300" spans="1:5" ht="15" x14ac:dyDescent="0.2">
      <c r="A300" s="50" t="str">
        <f t="shared" si="4"/>
        <v>MeasuredValueCosPhiAPrimary</v>
      </c>
      <c r="B300" s="51" t="s">
        <v>1960</v>
      </c>
      <c r="C300" s="51" t="s">
        <v>1532</v>
      </c>
      <c r="D300" s="51" t="s">
        <v>1518</v>
      </c>
      <c r="E300" s="51" t="s">
        <v>1528</v>
      </c>
    </row>
    <row r="301" spans="1:5" ht="15" x14ac:dyDescent="0.2">
      <c r="A301" s="50" t="str">
        <f t="shared" si="4"/>
        <v>MeasuredValueCosPhiBPrimary</v>
      </c>
      <c r="B301" s="51" t="s">
        <v>1961</v>
      </c>
      <c r="C301" s="51" t="s">
        <v>1532</v>
      </c>
      <c r="D301" s="51" t="s">
        <v>1518</v>
      </c>
      <c r="E301" s="51" t="s">
        <v>1536</v>
      </c>
    </row>
    <row r="302" spans="1:5" ht="15" x14ac:dyDescent="0.2">
      <c r="A302" s="50" t="str">
        <f t="shared" si="4"/>
        <v>MeasuredValueCosPhiCPrimary</v>
      </c>
      <c r="B302" s="51" t="s">
        <v>1962</v>
      </c>
      <c r="C302" s="51" t="s">
        <v>1532</v>
      </c>
      <c r="D302" s="51" t="s">
        <v>1518</v>
      </c>
      <c r="E302" s="51" t="s">
        <v>1544</v>
      </c>
    </row>
    <row r="303" spans="1:5" ht="30" x14ac:dyDescent="0.2">
      <c r="A303" s="50" t="str">
        <f t="shared" si="4"/>
        <v>MeasuredValueActiveEnergyABCPrimary</v>
      </c>
      <c r="B303" s="51" t="s">
        <v>1963</v>
      </c>
      <c r="C303" s="51" t="s">
        <v>1532</v>
      </c>
      <c r="D303" s="51" t="s">
        <v>1526</v>
      </c>
      <c r="E303" s="51" t="s">
        <v>1499</v>
      </c>
    </row>
    <row r="304" spans="1:5" ht="30" x14ac:dyDescent="0.2">
      <c r="A304" s="50" t="str">
        <f t="shared" si="4"/>
        <v>MeasuredValueActiveEnergyAPrimary</v>
      </c>
      <c r="B304" s="51" t="s">
        <v>1964</v>
      </c>
      <c r="C304" s="51" t="s">
        <v>1532</v>
      </c>
      <c r="D304" s="51" t="s">
        <v>1526</v>
      </c>
      <c r="E304" s="51" t="s">
        <v>1528</v>
      </c>
    </row>
    <row r="305" spans="1:5" ht="30" x14ac:dyDescent="0.2">
      <c r="A305" s="50" t="str">
        <f t="shared" si="4"/>
        <v>MeasuredValueActiveEnergyBPrimary</v>
      </c>
      <c r="B305" s="51" t="s">
        <v>1965</v>
      </c>
      <c r="C305" s="51" t="s">
        <v>1532</v>
      </c>
      <c r="D305" s="51" t="s">
        <v>1526</v>
      </c>
      <c r="E305" s="51" t="s">
        <v>1536</v>
      </c>
    </row>
    <row r="306" spans="1:5" ht="30" x14ac:dyDescent="0.2">
      <c r="A306" s="50" t="str">
        <f t="shared" si="4"/>
        <v>MeasuredValueActiveEnergyCPrimary</v>
      </c>
      <c r="B306" s="51" t="s">
        <v>1966</v>
      </c>
      <c r="C306" s="51" t="s">
        <v>1532</v>
      </c>
      <c r="D306" s="51" t="s">
        <v>1526</v>
      </c>
      <c r="E306" s="51" t="s">
        <v>1544</v>
      </c>
    </row>
    <row r="307" spans="1:5" ht="30" x14ac:dyDescent="0.2">
      <c r="A307" s="50" t="str">
        <f t="shared" si="4"/>
        <v>MeasuredValueReactiveEnergyABCPrimary</v>
      </c>
      <c r="B307" s="51" t="s">
        <v>1967</v>
      </c>
      <c r="C307" s="51" t="s">
        <v>1532</v>
      </c>
      <c r="D307" s="51" t="s">
        <v>1534</v>
      </c>
      <c r="E307" s="51" t="s">
        <v>1499</v>
      </c>
    </row>
    <row r="308" spans="1:5" ht="30" x14ac:dyDescent="0.2">
      <c r="A308" s="50" t="str">
        <f t="shared" si="4"/>
        <v>MeasuredValueReactiveEnergyAPrimary</v>
      </c>
      <c r="B308" s="51" t="s">
        <v>1968</v>
      </c>
      <c r="C308" s="51" t="s">
        <v>1532</v>
      </c>
      <c r="D308" s="51" t="s">
        <v>1534</v>
      </c>
      <c r="E308" s="51" t="s">
        <v>1528</v>
      </c>
    </row>
    <row r="309" spans="1:5" ht="30" x14ac:dyDescent="0.2">
      <c r="A309" s="50" t="str">
        <f t="shared" si="4"/>
        <v>MeasuredValueReactiveEnergyBPrimary</v>
      </c>
      <c r="B309" s="51" t="s">
        <v>1969</v>
      </c>
      <c r="C309" s="51" t="s">
        <v>1532</v>
      </c>
      <c r="D309" s="51" t="s">
        <v>1534</v>
      </c>
      <c r="E309" s="51" t="s">
        <v>1536</v>
      </c>
    </row>
    <row r="310" spans="1:5" ht="30" x14ac:dyDescent="0.2">
      <c r="A310" s="50" t="str">
        <f t="shared" si="4"/>
        <v>MeasuredValueReactiveEnergyCPrimary</v>
      </c>
      <c r="B310" s="51" t="s">
        <v>1970</v>
      </c>
      <c r="C310" s="51" t="s">
        <v>1532</v>
      </c>
      <c r="D310" s="51" t="s">
        <v>1534</v>
      </c>
      <c r="E310" s="51" t="s">
        <v>1544</v>
      </c>
    </row>
    <row r="311" spans="1:5" ht="15" x14ac:dyDescent="0.2">
      <c r="A311" s="50" t="str">
        <f t="shared" si="4"/>
        <v>FaultRecorderVoltageABCPrimary</v>
      </c>
      <c r="B311" s="51" t="s">
        <v>1971</v>
      </c>
      <c r="C311" s="51" t="s">
        <v>1540</v>
      </c>
      <c r="D311" s="51" t="s">
        <v>1469</v>
      </c>
      <c r="E311" s="51" t="s">
        <v>1499</v>
      </c>
    </row>
    <row r="312" spans="1:5" ht="15" x14ac:dyDescent="0.2">
      <c r="A312" s="50" t="str">
        <f t="shared" si="4"/>
        <v>FaultRecorderVoltageAPrimary</v>
      </c>
      <c r="B312" s="51" t="s">
        <v>1972</v>
      </c>
      <c r="C312" s="51" t="s">
        <v>1540</v>
      </c>
      <c r="D312" s="51" t="s">
        <v>1469</v>
      </c>
      <c r="E312" s="51" t="s">
        <v>1528</v>
      </c>
    </row>
    <row r="313" spans="1:5" ht="15" x14ac:dyDescent="0.2">
      <c r="A313" s="50" t="str">
        <f t="shared" si="4"/>
        <v>FaultRecorderVoltageBPrimary</v>
      </c>
      <c r="B313" s="51" t="s">
        <v>1973</v>
      </c>
      <c r="C313" s="51" t="s">
        <v>1540</v>
      </c>
      <c r="D313" s="51" t="s">
        <v>1469</v>
      </c>
      <c r="E313" s="51" t="s">
        <v>1536</v>
      </c>
    </row>
    <row r="314" spans="1:5" ht="15" x14ac:dyDescent="0.2">
      <c r="A314" s="50" t="str">
        <f t="shared" si="4"/>
        <v>FaultRecorderVoltageCPrimary</v>
      </c>
      <c r="B314" s="51" t="s">
        <v>1974</v>
      </c>
      <c r="C314" s="51" t="s">
        <v>1540</v>
      </c>
      <c r="D314" s="51" t="s">
        <v>1469</v>
      </c>
      <c r="E314" s="51" t="s">
        <v>1544</v>
      </c>
    </row>
    <row r="315" spans="1:5" ht="15" x14ac:dyDescent="0.2">
      <c r="A315" s="50" t="str">
        <f t="shared" si="4"/>
        <v>FaultRecorderCurrentABCPrimary</v>
      </c>
      <c r="B315" s="51" t="s">
        <v>1975</v>
      </c>
      <c r="C315" s="51" t="s">
        <v>1540</v>
      </c>
      <c r="D315" s="51" t="s">
        <v>1498</v>
      </c>
      <c r="E315" s="51" t="s">
        <v>1499</v>
      </c>
    </row>
    <row r="316" spans="1:5" ht="15" x14ac:dyDescent="0.2">
      <c r="A316" s="50" t="str">
        <f t="shared" si="4"/>
        <v>FaultRecorderCurrentAPrimary</v>
      </c>
      <c r="B316" s="51" t="s">
        <v>1976</v>
      </c>
      <c r="C316" s="51" t="s">
        <v>1540</v>
      </c>
      <c r="D316" s="51" t="s">
        <v>1498</v>
      </c>
      <c r="E316" s="51" t="s">
        <v>1528</v>
      </c>
    </row>
    <row r="317" spans="1:5" ht="15" x14ac:dyDescent="0.2">
      <c r="A317" s="50" t="str">
        <f t="shared" si="4"/>
        <v>FaultRecorderCurrentBPrimary</v>
      </c>
      <c r="B317" s="51" t="s">
        <v>1977</v>
      </c>
      <c r="C317" s="51" t="s">
        <v>1540</v>
      </c>
      <c r="D317" s="51" t="s">
        <v>1498</v>
      </c>
      <c r="E317" s="51" t="s">
        <v>1536</v>
      </c>
    </row>
    <row r="318" spans="1:5" ht="15" x14ac:dyDescent="0.2">
      <c r="A318" s="50" t="str">
        <f t="shared" si="4"/>
        <v>FaultRecorderCurrentCPrimary</v>
      </c>
      <c r="B318" s="51" t="s">
        <v>1978</v>
      </c>
      <c r="C318" s="51" t="s">
        <v>1540</v>
      </c>
      <c r="D318" s="51" t="s">
        <v>1498</v>
      </c>
      <c r="E318" s="51" t="s">
        <v>1544</v>
      </c>
    </row>
    <row r="319" spans="1:5" ht="30" x14ac:dyDescent="0.2">
      <c r="A319" s="50" t="str">
        <f t="shared" si="4"/>
        <v>FaultRecorderVoltageAngleABCPrimary</v>
      </c>
      <c r="B319" s="51" t="s">
        <v>1979</v>
      </c>
      <c r="C319" s="51" t="s">
        <v>1540</v>
      </c>
      <c r="D319" s="51" t="s">
        <v>1477</v>
      </c>
      <c r="E319" s="51" t="s">
        <v>1499</v>
      </c>
    </row>
    <row r="320" spans="1:5" ht="15" x14ac:dyDescent="0.2">
      <c r="A320" s="50" t="str">
        <f t="shared" si="4"/>
        <v>FaultRecorderVoltageAngleAPrimary</v>
      </c>
      <c r="B320" s="51" t="s">
        <v>1980</v>
      </c>
      <c r="C320" s="51" t="s">
        <v>1540</v>
      </c>
      <c r="D320" s="51" t="s">
        <v>1477</v>
      </c>
      <c r="E320" s="51" t="s">
        <v>1528</v>
      </c>
    </row>
    <row r="321" spans="1:5" ht="15" x14ac:dyDescent="0.2">
      <c r="A321" s="50" t="str">
        <f t="shared" si="4"/>
        <v>FaultRecorderVoltageAngleBPrimary</v>
      </c>
      <c r="B321" s="51" t="s">
        <v>1981</v>
      </c>
      <c r="C321" s="51" t="s">
        <v>1540</v>
      </c>
      <c r="D321" s="51" t="s">
        <v>1477</v>
      </c>
      <c r="E321" s="51" t="s">
        <v>1536</v>
      </c>
    </row>
    <row r="322" spans="1:5" ht="15" x14ac:dyDescent="0.2">
      <c r="A322" s="50" t="str">
        <f t="shared" si="4"/>
        <v>FaultRecorderVoltageAngleCPrimary</v>
      </c>
      <c r="B322" s="51" t="s">
        <v>1982</v>
      </c>
      <c r="C322" s="51" t="s">
        <v>1540</v>
      </c>
      <c r="D322" s="51" t="s">
        <v>1477</v>
      </c>
      <c r="E322" s="51" t="s">
        <v>1544</v>
      </c>
    </row>
    <row r="323" spans="1:5" ht="30" x14ac:dyDescent="0.2">
      <c r="A323" s="50" t="str">
        <f t="shared" si="4"/>
        <v>FaultRecorderCurrentAngleABCPrimary</v>
      </c>
      <c r="B323" s="51" t="s">
        <v>1983</v>
      </c>
      <c r="C323" s="51" t="s">
        <v>1540</v>
      </c>
      <c r="D323" s="51" t="s">
        <v>1542</v>
      </c>
      <c r="E323" s="51" t="s">
        <v>1499</v>
      </c>
    </row>
    <row r="324" spans="1:5" ht="15" x14ac:dyDescent="0.2">
      <c r="A324" s="50" t="str">
        <f t="shared" si="4"/>
        <v>FaultRecorderCurrentAngleAPrimary</v>
      </c>
      <c r="B324" s="51" t="s">
        <v>1984</v>
      </c>
      <c r="C324" s="51" t="s">
        <v>1540</v>
      </c>
      <c r="D324" s="51" t="s">
        <v>1542</v>
      </c>
      <c r="E324" s="51" t="s">
        <v>1528</v>
      </c>
    </row>
    <row r="325" spans="1:5" ht="15" x14ac:dyDescent="0.2">
      <c r="A325" s="50" t="str">
        <f t="shared" si="4"/>
        <v>FaultRecorderCurrentAngleBPrimary</v>
      </c>
      <c r="B325" s="51" t="s">
        <v>1985</v>
      </c>
      <c r="C325" s="51" t="s">
        <v>1540</v>
      </c>
      <c r="D325" s="51" t="s">
        <v>1542</v>
      </c>
      <c r="E325" s="51" t="s">
        <v>1536</v>
      </c>
    </row>
    <row r="326" spans="1:5" ht="15" x14ac:dyDescent="0.2">
      <c r="A326" s="50" t="str">
        <f t="shared" ref="A326:A390" si="5">CONCATENATE(C326,D326,E326)</f>
        <v>FaultRecorderCurrentAngleCPrimary</v>
      </c>
      <c r="B326" s="51" t="s">
        <v>1986</v>
      </c>
      <c r="C326" s="51" t="s">
        <v>1540</v>
      </c>
      <c r="D326" s="51" t="s">
        <v>1542</v>
      </c>
      <c r="E326" s="51" t="s">
        <v>1544</v>
      </c>
    </row>
    <row r="327" spans="1:5" ht="30" x14ac:dyDescent="0.2">
      <c r="A327" s="50" t="str">
        <f t="shared" si="5"/>
        <v>MeasuredValueTemperatureABCPrimary</v>
      </c>
      <c r="B327" s="51" t="s">
        <v>1987</v>
      </c>
      <c r="C327" s="51" t="s">
        <v>1532</v>
      </c>
      <c r="D327" s="51" t="s">
        <v>1549</v>
      </c>
      <c r="E327" s="51" t="s">
        <v>1499</v>
      </c>
    </row>
    <row r="328" spans="1:5" ht="30" x14ac:dyDescent="0.2">
      <c r="A328" s="50" t="str">
        <f t="shared" si="5"/>
        <v>MeasuredValueTemperatureAPrimary</v>
      </c>
      <c r="B328" s="51" t="s">
        <v>1988</v>
      </c>
      <c r="C328" s="51" t="s">
        <v>1532</v>
      </c>
      <c r="D328" s="51" t="s">
        <v>1549</v>
      </c>
      <c r="E328" s="51" t="s">
        <v>1528</v>
      </c>
    </row>
    <row r="329" spans="1:5" ht="30" x14ac:dyDescent="0.2">
      <c r="A329" s="50" t="str">
        <f t="shared" si="5"/>
        <v>MeasuredValueTemperatureBPrimary</v>
      </c>
      <c r="B329" s="51" t="s">
        <v>1989</v>
      </c>
      <c r="C329" s="51" t="s">
        <v>1532</v>
      </c>
      <c r="D329" s="51" t="s">
        <v>1549</v>
      </c>
      <c r="E329" s="51" t="s">
        <v>1536</v>
      </c>
    </row>
    <row r="330" spans="1:5" ht="30" x14ac:dyDescent="0.2">
      <c r="A330" s="50" t="str">
        <f t="shared" si="5"/>
        <v>MeasuredValueTemperatureCPrimary</v>
      </c>
      <c r="B330" s="51" t="s">
        <v>1990</v>
      </c>
      <c r="C330" s="51" t="s">
        <v>1532</v>
      </c>
      <c r="D330" s="51" t="s">
        <v>1549</v>
      </c>
      <c r="E330" s="51" t="s">
        <v>1544</v>
      </c>
    </row>
    <row r="331" spans="1:5" ht="30" x14ac:dyDescent="0.2">
      <c r="A331" s="50" t="str">
        <f t="shared" si="5"/>
        <v>AnalogSignalType.CustomUnitlessABCPrimary</v>
      </c>
      <c r="B331" s="51" t="s">
        <v>1991</v>
      </c>
      <c r="C331" s="51" t="s">
        <v>1548</v>
      </c>
      <c r="D331" s="51" t="s">
        <v>1556</v>
      </c>
      <c r="E331" s="51" t="s">
        <v>1499</v>
      </c>
    </row>
    <row r="332" spans="1:5" ht="30" x14ac:dyDescent="0.2">
      <c r="A332" s="50" t="str">
        <f t="shared" si="5"/>
        <v>AnalogSignalType.CustomUnitlessAPrimary</v>
      </c>
      <c r="B332" s="51" t="s">
        <v>1992</v>
      </c>
      <c r="C332" s="51" t="s">
        <v>1548</v>
      </c>
      <c r="D332" s="51" t="s">
        <v>1556</v>
      </c>
      <c r="E332" s="51" t="s">
        <v>1528</v>
      </c>
    </row>
    <row r="333" spans="1:5" ht="30" x14ac:dyDescent="0.2">
      <c r="A333" s="50" t="str">
        <f t="shared" si="5"/>
        <v>AnalogSignalType.CustomUnitlessBPrimary</v>
      </c>
      <c r="B333" s="51" t="s">
        <v>1993</v>
      </c>
      <c r="C333" s="51" t="s">
        <v>1548</v>
      </c>
      <c r="D333" s="51" t="s">
        <v>1556</v>
      </c>
      <c r="E333" s="51" t="s">
        <v>1536</v>
      </c>
    </row>
    <row r="334" spans="1:5" ht="30" x14ac:dyDescent="0.2">
      <c r="A334" s="50" t="str">
        <f t="shared" si="5"/>
        <v>AnalogSignalType.CustomUnitlessCPrimary</v>
      </c>
      <c r="B334" s="51" t="s">
        <v>1994</v>
      </c>
      <c r="C334" s="51" t="s">
        <v>1548</v>
      </c>
      <c r="D334" s="51" t="s">
        <v>1556</v>
      </c>
      <c r="E334" s="51" t="s">
        <v>1544</v>
      </c>
    </row>
    <row r="335" spans="1:5" ht="30" x14ac:dyDescent="0.2">
      <c r="A335" s="50" t="str">
        <f t="shared" si="5"/>
        <v>AnalogSignalType.CustomVoltageABCPrimary</v>
      </c>
      <c r="B335" s="51" t="s">
        <v>1995</v>
      </c>
      <c r="C335" s="51" t="s">
        <v>1548</v>
      </c>
      <c r="D335" s="51" t="s">
        <v>1469</v>
      </c>
      <c r="E335" s="51" t="s">
        <v>1499</v>
      </c>
    </row>
    <row r="336" spans="1:5" ht="30" x14ac:dyDescent="0.2">
      <c r="A336" s="50" t="str">
        <f t="shared" si="5"/>
        <v>AnalogSignalType.CustomVoltageAPrimary</v>
      </c>
      <c r="B336" s="51" t="s">
        <v>1996</v>
      </c>
      <c r="C336" s="51" t="s">
        <v>1548</v>
      </c>
      <c r="D336" s="51" t="s">
        <v>1469</v>
      </c>
      <c r="E336" s="51" t="s">
        <v>1528</v>
      </c>
    </row>
    <row r="337" spans="1:5" ht="30" x14ac:dyDescent="0.2">
      <c r="A337" s="50" t="str">
        <f t="shared" si="5"/>
        <v>AnalogSignalType.CustomVoltageBPrimary</v>
      </c>
      <c r="B337" s="51" t="s">
        <v>1997</v>
      </c>
      <c r="C337" s="51" t="s">
        <v>1548</v>
      </c>
      <c r="D337" s="51" t="s">
        <v>1469</v>
      </c>
      <c r="E337" s="51" t="s">
        <v>1536</v>
      </c>
    </row>
    <row r="338" spans="1:5" ht="30" x14ac:dyDescent="0.2">
      <c r="A338" s="50" t="str">
        <f t="shared" si="5"/>
        <v>AnalogSignalType.CustomVoltageCPrimary</v>
      </c>
      <c r="B338" s="51" t="s">
        <v>1998</v>
      </c>
      <c r="C338" s="51" t="s">
        <v>1548</v>
      </c>
      <c r="D338" s="51" t="s">
        <v>1469</v>
      </c>
      <c r="E338" s="51" t="s">
        <v>1544</v>
      </c>
    </row>
    <row r="339" spans="1:5" ht="30" x14ac:dyDescent="0.2">
      <c r="A339" s="50" t="str">
        <f t="shared" si="5"/>
        <v>AnalogSignalType.CustomCurrentABCPrimary</v>
      </c>
      <c r="B339" s="51" t="s">
        <v>1999</v>
      </c>
      <c r="C339" s="51" t="s">
        <v>1548</v>
      </c>
      <c r="D339" s="51" t="s">
        <v>1498</v>
      </c>
      <c r="E339" s="51" t="s">
        <v>1499</v>
      </c>
    </row>
    <row r="340" spans="1:5" ht="30" x14ac:dyDescent="0.2">
      <c r="A340" s="50" t="str">
        <f t="shared" si="5"/>
        <v>AnalogSignalType.CustomCurrentAPrimary</v>
      </c>
      <c r="B340" s="51" t="s">
        <v>2000</v>
      </c>
      <c r="C340" s="51" t="s">
        <v>1548</v>
      </c>
      <c r="D340" s="51" t="s">
        <v>1498</v>
      </c>
      <c r="E340" s="51" t="s">
        <v>1528</v>
      </c>
    </row>
    <row r="341" spans="1:5" ht="30" x14ac:dyDescent="0.2">
      <c r="A341" s="50" t="str">
        <f t="shared" si="5"/>
        <v>AnalogSignalType.CustomCurrentBPrimary</v>
      </c>
      <c r="B341" s="51" t="s">
        <v>2001</v>
      </c>
      <c r="C341" s="51" t="s">
        <v>1548</v>
      </c>
      <c r="D341" s="51" t="s">
        <v>1498</v>
      </c>
      <c r="E341" s="51" t="s">
        <v>1536</v>
      </c>
    </row>
    <row r="342" spans="1:5" ht="30" x14ac:dyDescent="0.2">
      <c r="A342" s="50" t="str">
        <f>CONCATENATE(C342,D342,E342)</f>
        <v>AnalogSignalType.CustomCurrentCPrimary</v>
      </c>
      <c r="B342" s="51" t="s">
        <v>2002</v>
      </c>
      <c r="C342" s="51" t="s">
        <v>1548</v>
      </c>
      <c r="D342" s="51" t="s">
        <v>1498</v>
      </c>
      <c r="E342" s="51" t="s">
        <v>1544</v>
      </c>
    </row>
    <row r="343" spans="1:5" ht="30" x14ac:dyDescent="0.2">
      <c r="A343" s="50" t="str">
        <f t="shared" si="5"/>
        <v>AnalogSignalType.CustomCurrentNPrimary</v>
      </c>
      <c r="B343" s="51" t="s">
        <v>2003</v>
      </c>
      <c r="C343" s="51" t="s">
        <v>1548</v>
      </c>
      <c r="D343" s="51" t="s">
        <v>1498</v>
      </c>
      <c r="E343" s="51" t="s">
        <v>1633</v>
      </c>
    </row>
    <row r="344" spans="1:5" ht="30" x14ac:dyDescent="0.2">
      <c r="A344" s="50" t="str">
        <f t="shared" si="5"/>
        <v>AnalogSignalType.CustomActivePowerABCPrimary</v>
      </c>
      <c r="B344" s="51" t="s">
        <v>2004</v>
      </c>
      <c r="C344" s="51" t="s">
        <v>1548</v>
      </c>
      <c r="D344" s="51" t="s">
        <v>1504</v>
      </c>
      <c r="E344" s="51" t="s">
        <v>1499</v>
      </c>
    </row>
    <row r="345" spans="1:5" ht="30" x14ac:dyDescent="0.2">
      <c r="A345" s="50" t="str">
        <f t="shared" si="5"/>
        <v>AnalogSignalType.CustomActivePowerAPrimary</v>
      </c>
      <c r="B345" s="51" t="s">
        <v>2005</v>
      </c>
      <c r="C345" s="51" t="s">
        <v>1548</v>
      </c>
      <c r="D345" s="51" t="s">
        <v>1504</v>
      </c>
      <c r="E345" s="51" t="s">
        <v>1528</v>
      </c>
    </row>
    <row r="346" spans="1:5" ht="30" x14ac:dyDescent="0.2">
      <c r="A346" s="50" t="str">
        <f t="shared" si="5"/>
        <v>AnalogSignalType.CustomActivePowerBPrimary</v>
      </c>
      <c r="B346" s="51" t="s">
        <v>2006</v>
      </c>
      <c r="C346" s="51" t="s">
        <v>1548</v>
      </c>
      <c r="D346" s="51" t="s">
        <v>1504</v>
      </c>
      <c r="E346" s="51" t="s">
        <v>1536</v>
      </c>
    </row>
    <row r="347" spans="1:5" ht="30" x14ac:dyDescent="0.2">
      <c r="A347" s="50" t="str">
        <f t="shared" si="5"/>
        <v>AnalogSignalType.CustomActivePowerCPrimary</v>
      </c>
      <c r="B347" s="51" t="s">
        <v>2007</v>
      </c>
      <c r="C347" s="51" t="s">
        <v>1548</v>
      </c>
      <c r="D347" s="51" t="s">
        <v>1504</v>
      </c>
      <c r="E347" s="51" t="s">
        <v>1544</v>
      </c>
    </row>
    <row r="348" spans="1:5" ht="30" x14ac:dyDescent="0.2">
      <c r="A348" s="50" t="str">
        <f t="shared" si="5"/>
        <v>AnalogSignalType.CustomReactivePowerABCPrimary</v>
      </c>
      <c r="B348" s="51" t="s">
        <v>2008</v>
      </c>
      <c r="C348" s="51" t="s">
        <v>1548</v>
      </c>
      <c r="D348" s="51" t="s">
        <v>1563</v>
      </c>
      <c r="E348" s="51" t="s">
        <v>1499</v>
      </c>
    </row>
    <row r="349" spans="1:5" ht="30" x14ac:dyDescent="0.2">
      <c r="A349" s="50" t="str">
        <f t="shared" si="5"/>
        <v>AnalogSignalType.CustomReactivePowerAPrimary</v>
      </c>
      <c r="B349" s="51" t="s">
        <v>2009</v>
      </c>
      <c r="C349" s="51" t="s">
        <v>1548</v>
      </c>
      <c r="D349" s="51" t="s">
        <v>1563</v>
      </c>
      <c r="E349" s="51" t="s">
        <v>1528</v>
      </c>
    </row>
    <row r="350" spans="1:5" ht="30" x14ac:dyDescent="0.2">
      <c r="A350" s="50" t="str">
        <f t="shared" si="5"/>
        <v>AnalogSignalType.CustomReactivePowerBPrimary</v>
      </c>
      <c r="B350" s="51" t="s">
        <v>2010</v>
      </c>
      <c r="C350" s="51" t="s">
        <v>1548</v>
      </c>
      <c r="D350" s="51" t="s">
        <v>1563</v>
      </c>
      <c r="E350" s="51" t="s">
        <v>1536</v>
      </c>
    </row>
    <row r="351" spans="1:5" ht="30" x14ac:dyDescent="0.2">
      <c r="A351" s="50" t="str">
        <f t="shared" si="5"/>
        <v>AnalogSignalType.CustomReactivePowerCPrimary</v>
      </c>
      <c r="B351" s="51" t="s">
        <v>2011</v>
      </c>
      <c r="C351" s="51" t="s">
        <v>1548</v>
      </c>
      <c r="D351" s="51" t="s">
        <v>1563</v>
      </c>
      <c r="E351" s="51" t="s">
        <v>1544</v>
      </c>
    </row>
    <row r="352" spans="1:5" ht="30" x14ac:dyDescent="0.2">
      <c r="A352" s="50" t="str">
        <f t="shared" si="5"/>
        <v>AnalogSignalType.CustomFrequencyABCPrimary</v>
      </c>
      <c r="B352" s="51" t="s">
        <v>2012</v>
      </c>
      <c r="C352" s="51" t="s">
        <v>1548</v>
      </c>
      <c r="D352" s="51" t="s">
        <v>1485</v>
      </c>
      <c r="E352" s="51" t="s">
        <v>1499</v>
      </c>
    </row>
    <row r="353" spans="1:5" ht="30" x14ac:dyDescent="0.2">
      <c r="A353" s="50" t="str">
        <f t="shared" si="5"/>
        <v>AnalogSignalType.CustomFrequencyAPrimary</v>
      </c>
      <c r="B353" s="51" t="s">
        <v>2013</v>
      </c>
      <c r="C353" s="51" t="s">
        <v>1548</v>
      </c>
      <c r="D353" s="51" t="s">
        <v>1485</v>
      </c>
      <c r="E353" s="51" t="s">
        <v>1528</v>
      </c>
    </row>
    <row r="354" spans="1:5" ht="30" x14ac:dyDescent="0.2">
      <c r="A354" s="50" t="str">
        <f t="shared" si="5"/>
        <v>AnalogSignalType.CustomFrequencyBPrimary</v>
      </c>
      <c r="B354" s="51" t="s">
        <v>2014</v>
      </c>
      <c r="C354" s="51" t="s">
        <v>1548</v>
      </c>
      <c r="D354" s="51" t="s">
        <v>1485</v>
      </c>
      <c r="E354" s="51" t="s">
        <v>1536</v>
      </c>
    </row>
    <row r="355" spans="1:5" ht="30" x14ac:dyDescent="0.2">
      <c r="A355" s="50" t="str">
        <f t="shared" si="5"/>
        <v>AnalogSignalType.CustomFrequencyCPrimary</v>
      </c>
      <c r="B355" s="51" t="s">
        <v>2015</v>
      </c>
      <c r="C355" s="51" t="s">
        <v>1548</v>
      </c>
      <c r="D355" s="51" t="s">
        <v>1485</v>
      </c>
      <c r="E355" s="51" t="s">
        <v>1544</v>
      </c>
    </row>
    <row r="356" spans="1:5" ht="30" x14ac:dyDescent="0.2">
      <c r="A356" s="50" t="str">
        <f t="shared" si="5"/>
        <v>AnalogSignalType.CustomTemperatureABCPrimary</v>
      </c>
      <c r="B356" s="51" t="s">
        <v>2016</v>
      </c>
      <c r="C356" s="51" t="s">
        <v>1548</v>
      </c>
      <c r="D356" s="51" t="s">
        <v>1549</v>
      </c>
      <c r="E356" s="51" t="s">
        <v>1499</v>
      </c>
    </row>
    <row r="357" spans="1:5" ht="30" x14ac:dyDescent="0.2">
      <c r="A357" s="50" t="str">
        <f t="shared" si="5"/>
        <v>AnalogSignalType.CustomTemperatureAPrimary</v>
      </c>
      <c r="B357" s="51" t="s">
        <v>2017</v>
      </c>
      <c r="C357" s="51" t="s">
        <v>1548</v>
      </c>
      <c r="D357" s="51" t="s">
        <v>1549</v>
      </c>
      <c r="E357" s="51" t="s">
        <v>1528</v>
      </c>
    </row>
    <row r="358" spans="1:5" ht="30" x14ac:dyDescent="0.2">
      <c r="A358" s="50" t="str">
        <f t="shared" si="5"/>
        <v>AnalogSignalType.CustomTemperatureBPrimary</v>
      </c>
      <c r="B358" s="51" t="s">
        <v>2018</v>
      </c>
      <c r="C358" s="51" t="s">
        <v>1548</v>
      </c>
      <c r="D358" s="51" t="s">
        <v>1549</v>
      </c>
      <c r="E358" s="51" t="s">
        <v>1536</v>
      </c>
    </row>
    <row r="359" spans="1:5" ht="30" x14ac:dyDescent="0.2">
      <c r="A359" s="50" t="str">
        <f t="shared" si="5"/>
        <v>AnalogSignalType.CustomTemperatureCPrimary</v>
      </c>
      <c r="B359" s="51" t="s">
        <v>2019</v>
      </c>
      <c r="C359" s="51" t="s">
        <v>1548</v>
      </c>
      <c r="D359" s="51" t="s">
        <v>1549</v>
      </c>
      <c r="E359" s="51" t="s">
        <v>1544</v>
      </c>
    </row>
    <row r="360" spans="1:5" ht="30" x14ac:dyDescent="0.2">
      <c r="A360" s="50" t="str">
        <f t="shared" si="5"/>
        <v>AnalogSignalType.CustomActiveEnergyABCPrimary</v>
      </c>
      <c r="B360" s="51" t="s">
        <v>2020</v>
      </c>
      <c r="C360" s="51" t="s">
        <v>1548</v>
      </c>
      <c r="D360" s="51" t="s">
        <v>1526</v>
      </c>
      <c r="E360" s="51" t="s">
        <v>1499</v>
      </c>
    </row>
    <row r="361" spans="1:5" ht="30" x14ac:dyDescent="0.2">
      <c r="A361" s="50" t="str">
        <f t="shared" si="5"/>
        <v>AnalogSignalType.CustomActiveEnergyAPrimary</v>
      </c>
      <c r="B361" s="51" t="s">
        <v>2021</v>
      </c>
      <c r="C361" s="51" t="s">
        <v>1548</v>
      </c>
      <c r="D361" s="51" t="s">
        <v>1526</v>
      </c>
      <c r="E361" s="51" t="s">
        <v>1528</v>
      </c>
    </row>
    <row r="362" spans="1:5" ht="30" x14ac:dyDescent="0.2">
      <c r="A362" s="50" t="str">
        <f t="shared" si="5"/>
        <v>AnalogSignalType.CustomActiveEnergyBPrimary</v>
      </c>
      <c r="B362" s="51" t="s">
        <v>2022</v>
      </c>
      <c r="C362" s="51" t="s">
        <v>1548</v>
      </c>
      <c r="D362" s="51" t="s">
        <v>1526</v>
      </c>
      <c r="E362" s="51" t="s">
        <v>1536</v>
      </c>
    </row>
    <row r="363" spans="1:5" ht="30" x14ac:dyDescent="0.2">
      <c r="A363" s="50" t="str">
        <f t="shared" si="5"/>
        <v>AnalogSignalType.CustomActiveEnergyCPrimary</v>
      </c>
      <c r="B363" s="51" t="s">
        <v>2023</v>
      </c>
      <c r="C363" s="51" t="s">
        <v>1548</v>
      </c>
      <c r="D363" s="51" t="s">
        <v>1526</v>
      </c>
      <c r="E363" s="51" t="s">
        <v>1544</v>
      </c>
    </row>
    <row r="364" spans="1:5" ht="30" x14ac:dyDescent="0.2">
      <c r="A364" s="50" t="str">
        <f t="shared" si="5"/>
        <v>AnalogSignalType.CustomReactiveEnergyABCPrimary</v>
      </c>
      <c r="B364" s="51" t="s">
        <v>2024</v>
      </c>
      <c r="C364" s="51" t="s">
        <v>1548</v>
      </c>
      <c r="D364" s="51" t="s">
        <v>1534</v>
      </c>
      <c r="E364" s="51" t="s">
        <v>1499</v>
      </c>
    </row>
    <row r="365" spans="1:5" ht="30" x14ac:dyDescent="0.2">
      <c r="A365" s="50" t="str">
        <f t="shared" si="5"/>
        <v>AnalogSignalType.CustomReactiveEnergyAPrimary</v>
      </c>
      <c r="B365" s="51" t="s">
        <v>2025</v>
      </c>
      <c r="C365" s="51" t="s">
        <v>1548</v>
      </c>
      <c r="D365" s="51" t="s">
        <v>1534</v>
      </c>
      <c r="E365" s="51" t="s">
        <v>1528</v>
      </c>
    </row>
    <row r="366" spans="1:5" ht="30" x14ac:dyDescent="0.2">
      <c r="A366" s="50" t="str">
        <f t="shared" si="5"/>
        <v>AnalogSignalType.CustomReactiveEnergyBPrimary</v>
      </c>
      <c r="B366" s="51" t="s">
        <v>2026</v>
      </c>
      <c r="C366" s="51" t="s">
        <v>1548</v>
      </c>
      <c r="D366" s="51" t="s">
        <v>1534</v>
      </c>
      <c r="E366" s="51" t="s">
        <v>1536</v>
      </c>
    </row>
    <row r="367" spans="1:5" ht="30" x14ac:dyDescent="0.2">
      <c r="A367" s="50" t="str">
        <f t="shared" si="5"/>
        <v>AnalogSignalType.CustomReactiveEnergyCPrimary</v>
      </c>
      <c r="B367" s="51" t="s">
        <v>2027</v>
      </c>
      <c r="C367" s="51" t="s">
        <v>1548</v>
      </c>
      <c r="D367" s="51" t="s">
        <v>1534</v>
      </c>
      <c r="E367" s="51" t="s">
        <v>1544</v>
      </c>
    </row>
    <row r="368" spans="1:5" ht="30" x14ac:dyDescent="0.2">
      <c r="A368" s="50" t="str">
        <f t="shared" si="5"/>
        <v>AnalogSignalType.CustomApparentPowerABCPrimary</v>
      </c>
      <c r="B368" s="51" t="s">
        <v>2028</v>
      </c>
      <c r="C368" s="51" t="s">
        <v>1548</v>
      </c>
      <c r="D368" s="51" t="s">
        <v>1511</v>
      </c>
      <c r="E368" s="51" t="s">
        <v>1499</v>
      </c>
    </row>
    <row r="369" spans="1:5" ht="30" x14ac:dyDescent="0.2">
      <c r="A369" s="50" t="str">
        <f t="shared" si="5"/>
        <v>AnalogSignalType.CustomApparentPowerAPrimary</v>
      </c>
      <c r="B369" s="51" t="s">
        <v>2029</v>
      </c>
      <c r="C369" s="51" t="s">
        <v>1548</v>
      </c>
      <c r="D369" s="51" t="s">
        <v>1511</v>
      </c>
      <c r="E369" s="51" t="s">
        <v>1528</v>
      </c>
    </row>
    <row r="370" spans="1:5" ht="30" x14ac:dyDescent="0.2">
      <c r="A370" s="50" t="str">
        <f t="shared" si="5"/>
        <v>AnalogSignalType.CustomApparentPowerBPrimary</v>
      </c>
      <c r="B370" s="51" t="s">
        <v>2030</v>
      </c>
      <c r="C370" s="51" t="s">
        <v>1548</v>
      </c>
      <c r="D370" s="51" t="s">
        <v>1511</v>
      </c>
      <c r="E370" s="51" t="s">
        <v>1536</v>
      </c>
    </row>
    <row r="371" spans="1:5" ht="30" x14ac:dyDescent="0.2">
      <c r="A371" s="50" t="str">
        <f t="shared" si="5"/>
        <v>AnalogSignalType.CustomApparentPowerCPrimary</v>
      </c>
      <c r="B371" s="51" t="s">
        <v>2031</v>
      </c>
      <c r="C371" s="51" t="s">
        <v>1548</v>
      </c>
      <c r="D371" s="51" t="s">
        <v>1511</v>
      </c>
      <c r="E371" s="51" t="s">
        <v>1544</v>
      </c>
    </row>
    <row r="372" spans="1:5" ht="30" x14ac:dyDescent="0.2">
      <c r="A372" s="50" t="str">
        <f t="shared" si="5"/>
        <v>AnalogSignalType.CustomVoltageAngleABCPrimary</v>
      </c>
      <c r="B372" s="51" t="s">
        <v>2032</v>
      </c>
      <c r="C372" s="51" t="s">
        <v>1548</v>
      </c>
      <c r="D372" s="51" t="s">
        <v>1477</v>
      </c>
      <c r="E372" s="51" t="s">
        <v>1499</v>
      </c>
    </row>
    <row r="373" spans="1:5" ht="30" x14ac:dyDescent="0.2">
      <c r="A373" s="50" t="str">
        <f t="shared" si="5"/>
        <v>AnalogSignalType.CustomVoltageAngleAPrimary</v>
      </c>
      <c r="B373" s="51" t="s">
        <v>2033</v>
      </c>
      <c r="C373" s="51" t="s">
        <v>1548</v>
      </c>
      <c r="D373" s="51" t="s">
        <v>1477</v>
      </c>
      <c r="E373" s="51" t="s">
        <v>1528</v>
      </c>
    </row>
    <row r="374" spans="1:5" ht="30" x14ac:dyDescent="0.2">
      <c r="A374" s="50" t="str">
        <f t="shared" si="5"/>
        <v>AnalogSignalType.CustomVoltageAngleBPrimary</v>
      </c>
      <c r="B374" s="51" t="s">
        <v>2034</v>
      </c>
      <c r="C374" s="51" t="s">
        <v>1548</v>
      </c>
      <c r="D374" s="51" t="s">
        <v>1477</v>
      </c>
      <c r="E374" s="51" t="s">
        <v>1536</v>
      </c>
    </row>
    <row r="375" spans="1:5" ht="30" x14ac:dyDescent="0.2">
      <c r="A375" s="50" t="str">
        <f t="shared" si="5"/>
        <v>AnalogSignalType.CustomVoltageAngleCPrimary</v>
      </c>
      <c r="B375" s="51" t="s">
        <v>2035</v>
      </c>
      <c r="C375" s="51" t="s">
        <v>1548</v>
      </c>
      <c r="D375" s="51" t="s">
        <v>1477</v>
      </c>
      <c r="E375" s="51" t="s">
        <v>1544</v>
      </c>
    </row>
    <row r="376" spans="1:5" ht="30" x14ac:dyDescent="0.2">
      <c r="A376" s="50" t="str">
        <f t="shared" si="5"/>
        <v>AnalogSignalType.CustomTimeABCPrimary</v>
      </c>
      <c r="B376" s="51" t="s">
        <v>2036</v>
      </c>
      <c r="C376" s="51" t="s">
        <v>1548</v>
      </c>
      <c r="D376" s="51" t="s">
        <v>1570</v>
      </c>
      <c r="E376" s="51" t="s">
        <v>1499</v>
      </c>
    </row>
    <row r="377" spans="1:5" ht="30" x14ac:dyDescent="0.2">
      <c r="A377" s="50" t="str">
        <f t="shared" si="5"/>
        <v>AnalogSignalType.CustomTimeAPrimary</v>
      </c>
      <c r="B377" s="51" t="s">
        <v>2037</v>
      </c>
      <c r="C377" s="51" t="s">
        <v>1548</v>
      </c>
      <c r="D377" s="51" t="s">
        <v>1570</v>
      </c>
      <c r="E377" s="51" t="s">
        <v>1528</v>
      </c>
    </row>
    <row r="378" spans="1:5" ht="30" x14ac:dyDescent="0.2">
      <c r="A378" s="50" t="str">
        <f t="shared" si="5"/>
        <v>AnalogSignalType.CustomTimeBPrimary</v>
      </c>
      <c r="B378" s="51" t="s">
        <v>2038</v>
      </c>
      <c r="C378" s="51" t="s">
        <v>1548</v>
      </c>
      <c r="D378" s="51" t="s">
        <v>1570</v>
      </c>
      <c r="E378" s="51" t="s">
        <v>1536</v>
      </c>
    </row>
    <row r="379" spans="1:5" ht="30" x14ac:dyDescent="0.2">
      <c r="A379" s="50" t="str">
        <f t="shared" si="5"/>
        <v>AnalogSignalType.CustomTimeCPrimary</v>
      </c>
      <c r="B379" s="51" t="s">
        <v>2039</v>
      </c>
      <c r="C379" s="51" t="s">
        <v>1548</v>
      </c>
      <c r="D379" s="51" t="s">
        <v>1570</v>
      </c>
      <c r="E379" s="51" t="s">
        <v>1544</v>
      </c>
    </row>
    <row r="380" spans="1:5" ht="30" x14ac:dyDescent="0.2">
      <c r="A380" s="50" t="str">
        <f t="shared" si="5"/>
        <v>AnalogSignalType.CustomHumidityABCPrimary</v>
      </c>
      <c r="B380" s="51" t="s">
        <v>2040</v>
      </c>
      <c r="C380" s="51" t="s">
        <v>1548</v>
      </c>
      <c r="D380" s="51" t="s">
        <v>1578</v>
      </c>
      <c r="E380" s="51" t="s">
        <v>1499</v>
      </c>
    </row>
    <row r="381" spans="1:5" ht="30" x14ac:dyDescent="0.2">
      <c r="A381" s="50" t="str">
        <f t="shared" si="5"/>
        <v>AnalogSignalType.CustomHumidityAPrimary</v>
      </c>
      <c r="B381" s="51" t="s">
        <v>2041</v>
      </c>
      <c r="C381" s="51" t="s">
        <v>1548</v>
      </c>
      <c r="D381" s="51" t="s">
        <v>1578</v>
      </c>
      <c r="E381" s="51" t="s">
        <v>1528</v>
      </c>
    </row>
    <row r="382" spans="1:5" ht="30" x14ac:dyDescent="0.2">
      <c r="A382" s="50" t="str">
        <f t="shared" si="5"/>
        <v>AnalogSignalType.CustomHumidityBPrimary</v>
      </c>
      <c r="B382" s="51" t="s">
        <v>2042</v>
      </c>
      <c r="C382" s="51" t="s">
        <v>1548</v>
      </c>
      <c r="D382" s="51" t="s">
        <v>1578</v>
      </c>
      <c r="E382" s="51" t="s">
        <v>1536</v>
      </c>
    </row>
    <row r="383" spans="1:5" ht="30" x14ac:dyDescent="0.2">
      <c r="A383" s="50" t="str">
        <f t="shared" si="5"/>
        <v>AnalogSignalType.CustomHumidityCPrimary</v>
      </c>
      <c r="B383" s="51" t="s">
        <v>2043</v>
      </c>
      <c r="C383" s="51" t="s">
        <v>1548</v>
      </c>
      <c r="D383" s="51" t="s">
        <v>1578</v>
      </c>
      <c r="E383" s="51" t="s">
        <v>1544</v>
      </c>
    </row>
    <row r="384" spans="1:5" ht="30" x14ac:dyDescent="0.2">
      <c r="A384" s="50" t="str">
        <f t="shared" si="5"/>
        <v>AnalogSignalType.CustomWindSpeedABCPrimary</v>
      </c>
      <c r="B384" s="51" t="s">
        <v>2044</v>
      </c>
      <c r="C384" s="51" t="s">
        <v>1548</v>
      </c>
      <c r="D384" s="51" t="s">
        <v>1585</v>
      </c>
      <c r="E384" s="51" t="s">
        <v>1499</v>
      </c>
    </row>
    <row r="385" spans="1:5" ht="30" x14ac:dyDescent="0.2">
      <c r="A385" s="50" t="str">
        <f t="shared" si="5"/>
        <v>AnalogSignalType.CustomWindSpeedAPrimary</v>
      </c>
      <c r="B385" s="51" t="s">
        <v>2045</v>
      </c>
      <c r="C385" s="51" t="s">
        <v>1548</v>
      </c>
      <c r="D385" s="51" t="s">
        <v>1585</v>
      </c>
      <c r="E385" s="51" t="s">
        <v>1528</v>
      </c>
    </row>
    <row r="386" spans="1:5" ht="30" x14ac:dyDescent="0.2">
      <c r="A386" s="50" t="str">
        <f t="shared" si="5"/>
        <v>AnalogSignalType.CustomWindSpeedBPrimary</v>
      </c>
      <c r="B386" s="51" t="s">
        <v>2046</v>
      </c>
      <c r="C386" s="51" t="s">
        <v>1548</v>
      </c>
      <c r="D386" s="51" t="s">
        <v>1585</v>
      </c>
      <c r="E386" s="51" t="s">
        <v>1536</v>
      </c>
    </row>
    <row r="387" spans="1:5" ht="30" x14ac:dyDescent="0.2">
      <c r="A387" s="50" t="str">
        <f t="shared" si="5"/>
        <v>AnalogSignalType.CustomWindSpeedCPrimary</v>
      </c>
      <c r="B387" s="51" t="s">
        <v>2047</v>
      </c>
      <c r="C387" s="51" t="s">
        <v>1548</v>
      </c>
      <c r="D387" s="51" t="s">
        <v>1585</v>
      </c>
      <c r="E387" s="51" t="s">
        <v>1544</v>
      </c>
    </row>
    <row r="388" spans="1:5" ht="30" x14ac:dyDescent="0.2">
      <c r="A388" s="50" t="str">
        <f t="shared" si="5"/>
        <v>AnalogSignalType.CustomFeelsLikeABCPrimary</v>
      </c>
      <c r="B388" s="51" t="s">
        <v>2048</v>
      </c>
      <c r="C388" s="51" t="s">
        <v>1548</v>
      </c>
      <c r="D388" s="51" t="s">
        <v>1592</v>
      </c>
      <c r="E388" s="51" t="s">
        <v>1499</v>
      </c>
    </row>
    <row r="389" spans="1:5" ht="30" x14ac:dyDescent="0.2">
      <c r="A389" s="50" t="str">
        <f t="shared" si="5"/>
        <v>AnalogSignalType.CustomFeelsLikeAPrimary</v>
      </c>
      <c r="B389" s="51" t="s">
        <v>2049</v>
      </c>
      <c r="C389" s="51" t="s">
        <v>1548</v>
      </c>
      <c r="D389" s="51" t="s">
        <v>1592</v>
      </c>
      <c r="E389" s="51" t="s">
        <v>1528</v>
      </c>
    </row>
    <row r="390" spans="1:5" ht="30" x14ac:dyDescent="0.2">
      <c r="A390" s="50" t="str">
        <f t="shared" si="5"/>
        <v>AnalogSignalType.CustomFeelsLikeBPrimary</v>
      </c>
      <c r="B390" s="51" t="s">
        <v>2050</v>
      </c>
      <c r="C390" s="51" t="s">
        <v>1548</v>
      </c>
      <c r="D390" s="51" t="s">
        <v>1592</v>
      </c>
      <c r="E390" s="51" t="s">
        <v>1536</v>
      </c>
    </row>
    <row r="391" spans="1:5" ht="30" x14ac:dyDescent="0.2">
      <c r="A391" s="50" t="str">
        <f t="shared" ref="A391:A454" si="6">CONCATENATE(C391,D391,E391)</f>
        <v>AnalogSignalType.CustomFeelsLikeCPrimary</v>
      </c>
      <c r="B391" s="51" t="s">
        <v>2051</v>
      </c>
      <c r="C391" s="51" t="s">
        <v>1548</v>
      </c>
      <c r="D391" s="51" t="s">
        <v>1592</v>
      </c>
      <c r="E391" s="51" t="s">
        <v>1544</v>
      </c>
    </row>
    <row r="392" spans="1:5" ht="30" x14ac:dyDescent="0.2">
      <c r="A392" s="50" t="str">
        <f t="shared" si="6"/>
        <v>AnalogSignalType.CustomSunshineMinutesABCPrimary</v>
      </c>
      <c r="B392" s="51" t="s">
        <v>2052</v>
      </c>
      <c r="C392" s="51" t="s">
        <v>1548</v>
      </c>
      <c r="D392" s="51" t="s">
        <v>1598</v>
      </c>
      <c r="E392" s="51" t="s">
        <v>1499</v>
      </c>
    </row>
    <row r="393" spans="1:5" ht="30" x14ac:dyDescent="0.2">
      <c r="A393" s="50" t="str">
        <f t="shared" si="6"/>
        <v>AnalogSignalType.CustomSunshineMinutesAPrimary</v>
      </c>
      <c r="B393" s="51" t="s">
        <v>2053</v>
      </c>
      <c r="C393" s="51" t="s">
        <v>1548</v>
      </c>
      <c r="D393" s="51" t="s">
        <v>1598</v>
      </c>
      <c r="E393" s="51" t="s">
        <v>1528</v>
      </c>
    </row>
    <row r="394" spans="1:5" ht="30" x14ac:dyDescent="0.2">
      <c r="A394" s="50" t="str">
        <f t="shared" si="6"/>
        <v>AnalogSignalType.CustomSunshineMinutesBPrimary</v>
      </c>
      <c r="B394" s="51" t="s">
        <v>2054</v>
      </c>
      <c r="C394" s="51" t="s">
        <v>1548</v>
      </c>
      <c r="D394" s="51" t="s">
        <v>1598</v>
      </c>
      <c r="E394" s="51" t="s">
        <v>1536</v>
      </c>
    </row>
    <row r="395" spans="1:5" ht="30" x14ac:dyDescent="0.2">
      <c r="A395" s="50" t="str">
        <f t="shared" si="6"/>
        <v>AnalogSignalType.CustomSunshineMinutesCPrimary</v>
      </c>
      <c r="B395" s="51" t="s">
        <v>2055</v>
      </c>
      <c r="C395" s="51" t="s">
        <v>1548</v>
      </c>
      <c r="D395" s="51" t="s">
        <v>1598</v>
      </c>
      <c r="E395" s="51" t="s">
        <v>1544</v>
      </c>
    </row>
    <row r="396" spans="1:5" ht="30" x14ac:dyDescent="0.2">
      <c r="A396" s="50" t="str">
        <f t="shared" si="6"/>
        <v>AnalogSignalType.CustomSkyCoverABCPrimary</v>
      </c>
      <c r="B396" s="51" t="s">
        <v>2056</v>
      </c>
      <c r="C396" s="51" t="s">
        <v>1548</v>
      </c>
      <c r="D396" s="51" t="s">
        <v>1605</v>
      </c>
      <c r="E396" s="51" t="s">
        <v>1499</v>
      </c>
    </row>
    <row r="397" spans="1:5" ht="30" x14ac:dyDescent="0.2">
      <c r="A397" s="50" t="str">
        <f t="shared" si="6"/>
        <v>AnalogSignalType.CustomSkyCoverAPrimary</v>
      </c>
      <c r="B397" s="51" t="s">
        <v>2057</v>
      </c>
      <c r="C397" s="51" t="s">
        <v>1548</v>
      </c>
      <c r="D397" s="51" t="s">
        <v>1605</v>
      </c>
      <c r="E397" s="51" t="s">
        <v>1528</v>
      </c>
    </row>
    <row r="398" spans="1:5" ht="30" x14ac:dyDescent="0.2">
      <c r="A398" s="50" t="str">
        <f t="shared" si="6"/>
        <v>AnalogSignalType.CustomSkyCoverBPrimary</v>
      </c>
      <c r="B398" s="51" t="s">
        <v>2058</v>
      </c>
      <c r="C398" s="51" t="s">
        <v>1548</v>
      </c>
      <c r="D398" s="51" t="s">
        <v>1605</v>
      </c>
      <c r="E398" s="51" t="s">
        <v>1536</v>
      </c>
    </row>
    <row r="399" spans="1:5" ht="30" x14ac:dyDescent="0.2">
      <c r="A399" s="50" t="str">
        <f t="shared" si="6"/>
        <v>AnalogSignalType.CustomSkyCoverCPrimary</v>
      </c>
      <c r="B399" s="51" t="s">
        <v>2059</v>
      </c>
      <c r="C399" s="51" t="s">
        <v>1548</v>
      </c>
      <c r="D399" s="51" t="s">
        <v>1605</v>
      </c>
      <c r="E399" s="51" t="s">
        <v>1544</v>
      </c>
    </row>
    <row r="400" spans="1:5" ht="30" x14ac:dyDescent="0.2">
      <c r="A400" s="50" t="str">
        <f t="shared" si="6"/>
        <v>AnalogSignalType.CustomLengthABCPrimary</v>
      </c>
      <c r="B400" s="51" t="s">
        <v>2060</v>
      </c>
      <c r="C400" s="51" t="s">
        <v>1548</v>
      </c>
      <c r="D400" s="51" t="s">
        <v>1612</v>
      </c>
      <c r="E400" s="51" t="s">
        <v>1499</v>
      </c>
    </row>
    <row r="401" spans="1:5" ht="30" x14ac:dyDescent="0.2">
      <c r="A401" s="50" t="str">
        <f t="shared" si="6"/>
        <v>AnalogSignalType.CustomLengthAPrimary</v>
      </c>
      <c r="B401" s="51" t="s">
        <v>2061</v>
      </c>
      <c r="C401" s="51" t="s">
        <v>1548</v>
      </c>
      <c r="D401" s="51" t="s">
        <v>1612</v>
      </c>
      <c r="E401" s="51" t="s">
        <v>1528</v>
      </c>
    </row>
    <row r="402" spans="1:5" ht="30" x14ac:dyDescent="0.2">
      <c r="A402" s="50" t="str">
        <f t="shared" si="6"/>
        <v>AnalogSignalType.CustomLengthBPrimary</v>
      </c>
      <c r="B402" s="51" t="s">
        <v>2062</v>
      </c>
      <c r="C402" s="51" t="s">
        <v>1548</v>
      </c>
      <c r="D402" s="51" t="s">
        <v>1612</v>
      </c>
      <c r="E402" s="51" t="s">
        <v>1536</v>
      </c>
    </row>
    <row r="403" spans="1:5" ht="30" x14ac:dyDescent="0.2">
      <c r="A403" s="50" t="str">
        <f t="shared" si="6"/>
        <v>AnalogSignalType.CustomLengthCPrimary</v>
      </c>
      <c r="B403" s="51" t="s">
        <v>2063</v>
      </c>
      <c r="C403" s="51" t="s">
        <v>1548</v>
      </c>
      <c r="D403" s="51" t="s">
        <v>1612</v>
      </c>
      <c r="E403" s="51" t="s">
        <v>1544</v>
      </c>
    </row>
    <row r="404" spans="1:5" ht="30" x14ac:dyDescent="0.2">
      <c r="A404" s="50" t="str">
        <f t="shared" si="6"/>
        <v>AnalogSignalType.CustomCrossSectionABCPrimary</v>
      </c>
      <c r="B404" s="51" t="s">
        <v>2064</v>
      </c>
      <c r="C404" s="51" t="s">
        <v>1548</v>
      </c>
      <c r="D404" s="51" t="s">
        <v>1619</v>
      </c>
      <c r="E404" s="51" t="s">
        <v>1499</v>
      </c>
    </row>
    <row r="405" spans="1:5" ht="30" x14ac:dyDescent="0.2">
      <c r="A405" s="50" t="str">
        <f t="shared" si="6"/>
        <v>AnalogSignalType.CustomCrossSectionAPrimary</v>
      </c>
      <c r="B405" s="51" t="s">
        <v>2065</v>
      </c>
      <c r="C405" s="51" t="s">
        <v>1548</v>
      </c>
      <c r="D405" s="51" t="s">
        <v>1619</v>
      </c>
      <c r="E405" s="51" t="s">
        <v>1528</v>
      </c>
    </row>
    <row r="406" spans="1:5" ht="30" x14ac:dyDescent="0.2">
      <c r="A406" s="50" t="str">
        <f t="shared" si="6"/>
        <v>AnalogSignalType.CustomCrossSectionBPrimary</v>
      </c>
      <c r="B406" s="51" t="s">
        <v>2066</v>
      </c>
      <c r="C406" s="51" t="s">
        <v>1548</v>
      </c>
      <c r="D406" s="51" t="s">
        <v>1619</v>
      </c>
      <c r="E406" s="51" t="s">
        <v>1536</v>
      </c>
    </row>
    <row r="407" spans="1:5" ht="30" x14ac:dyDescent="0.2">
      <c r="A407" s="50" t="str">
        <f t="shared" si="6"/>
        <v>AnalogSignalType.CustomCrossSectionCPrimary</v>
      </c>
      <c r="B407" s="51" t="s">
        <v>2067</v>
      </c>
      <c r="C407" s="51" t="s">
        <v>1548</v>
      </c>
      <c r="D407" s="51" t="s">
        <v>1619</v>
      </c>
      <c r="E407" s="51" t="s">
        <v>1544</v>
      </c>
    </row>
    <row r="408" spans="1:5" ht="30" x14ac:dyDescent="0.2">
      <c r="A408" s="50" t="str">
        <f t="shared" si="6"/>
        <v>AnalogSignalType.CustomImpedanceABCPrimary</v>
      </c>
      <c r="B408" s="51" t="s">
        <v>2068</v>
      </c>
      <c r="C408" s="51" t="s">
        <v>1548</v>
      </c>
      <c r="D408" s="51" t="s">
        <v>1625</v>
      </c>
      <c r="E408" s="51" t="s">
        <v>1499</v>
      </c>
    </row>
    <row r="409" spans="1:5" ht="30" x14ac:dyDescent="0.2">
      <c r="A409" s="50" t="str">
        <f t="shared" si="6"/>
        <v>AnalogSignalType.CustomImpedanceAPrimary</v>
      </c>
      <c r="B409" s="51" t="s">
        <v>2069</v>
      </c>
      <c r="C409" s="51" t="s">
        <v>1548</v>
      </c>
      <c r="D409" s="51" t="s">
        <v>1625</v>
      </c>
      <c r="E409" s="51" t="s">
        <v>1528</v>
      </c>
    </row>
    <row r="410" spans="1:5" ht="30" x14ac:dyDescent="0.2">
      <c r="A410" s="50" t="str">
        <f t="shared" si="6"/>
        <v>AnalogSignalType.CustomImpedanceBPrimary</v>
      </c>
      <c r="B410" s="51" t="s">
        <v>2070</v>
      </c>
      <c r="C410" s="51" t="s">
        <v>1548</v>
      </c>
      <c r="D410" s="51" t="s">
        <v>1625</v>
      </c>
      <c r="E410" s="51" t="s">
        <v>1536</v>
      </c>
    </row>
    <row r="411" spans="1:5" ht="30" x14ac:dyDescent="0.2">
      <c r="A411" s="50" t="str">
        <f t="shared" si="6"/>
        <v>AnalogSignalType.CustomImpedanceCPrimary</v>
      </c>
      <c r="B411" s="51" t="s">
        <v>2071</v>
      </c>
      <c r="C411" s="51" t="s">
        <v>1548</v>
      </c>
      <c r="D411" s="51" t="s">
        <v>1625</v>
      </c>
      <c r="E411" s="51" t="s">
        <v>1544</v>
      </c>
    </row>
    <row r="412" spans="1:5" ht="30" x14ac:dyDescent="0.2">
      <c r="A412" s="50" t="str">
        <f t="shared" si="6"/>
        <v>AnalogSignalType.CustomAdmittanceABCPrimary</v>
      </c>
      <c r="B412" s="51" t="s">
        <v>2072</v>
      </c>
      <c r="C412" s="51" t="s">
        <v>1548</v>
      </c>
      <c r="D412" s="51" t="s">
        <v>1631</v>
      </c>
      <c r="E412" s="51" t="s">
        <v>1499</v>
      </c>
    </row>
    <row r="413" spans="1:5" ht="30" x14ac:dyDescent="0.2">
      <c r="A413" s="50" t="str">
        <f t="shared" si="6"/>
        <v>AnalogSignalType.CustomAdmittanceAPrimary</v>
      </c>
      <c r="B413" s="51" t="s">
        <v>2073</v>
      </c>
      <c r="C413" s="51" t="s">
        <v>1548</v>
      </c>
      <c r="D413" s="51" t="s">
        <v>1631</v>
      </c>
      <c r="E413" s="51" t="s">
        <v>1528</v>
      </c>
    </row>
    <row r="414" spans="1:5" ht="30" x14ac:dyDescent="0.2">
      <c r="A414" s="50" t="str">
        <f t="shared" si="6"/>
        <v>AnalogSignalType.CustomAdmittanceBPrimary</v>
      </c>
      <c r="B414" s="51" t="s">
        <v>2074</v>
      </c>
      <c r="C414" s="51" t="s">
        <v>1548</v>
      </c>
      <c r="D414" s="51" t="s">
        <v>1631</v>
      </c>
      <c r="E414" s="51" t="s">
        <v>1536</v>
      </c>
    </row>
    <row r="415" spans="1:5" ht="30" x14ac:dyDescent="0.2">
      <c r="A415" s="50" t="str">
        <f t="shared" si="6"/>
        <v>AnalogSignalType.CustomAdmittanceCPrimary</v>
      </c>
      <c r="B415" s="51" t="s">
        <v>2075</v>
      </c>
      <c r="C415" s="51" t="s">
        <v>1548</v>
      </c>
      <c r="D415" s="51" t="s">
        <v>1631</v>
      </c>
      <c r="E415" s="51" t="s">
        <v>1544</v>
      </c>
    </row>
    <row r="416" spans="1:5" ht="30" x14ac:dyDescent="0.2">
      <c r="A416" s="50" t="str">
        <f t="shared" si="6"/>
        <v>AnalogSignalType.CustomImpedancePerLengthABCPrimary</v>
      </c>
      <c r="B416" s="51" t="s">
        <v>2076</v>
      </c>
      <c r="C416" s="51" t="s">
        <v>1548</v>
      </c>
      <c r="D416" s="51" t="s">
        <v>1638</v>
      </c>
      <c r="E416" s="51" t="s">
        <v>1499</v>
      </c>
    </row>
    <row r="417" spans="1:5" ht="30" x14ac:dyDescent="0.2">
      <c r="A417" s="50" t="str">
        <f t="shared" si="6"/>
        <v>AnalogSignalType.CustomImpedancePerLengthAPrimary</v>
      </c>
      <c r="B417" s="51" t="s">
        <v>2077</v>
      </c>
      <c r="C417" s="51" t="s">
        <v>1548</v>
      </c>
      <c r="D417" s="51" t="s">
        <v>1638</v>
      </c>
      <c r="E417" s="51" t="s">
        <v>1528</v>
      </c>
    </row>
    <row r="418" spans="1:5" ht="30" x14ac:dyDescent="0.2">
      <c r="A418" s="50" t="str">
        <f t="shared" si="6"/>
        <v>AnalogSignalType.CustomImpedancePerLengthBPrimary</v>
      </c>
      <c r="B418" s="51" t="s">
        <v>2078</v>
      </c>
      <c r="C418" s="51" t="s">
        <v>1548</v>
      </c>
      <c r="D418" s="51" t="s">
        <v>1638</v>
      </c>
      <c r="E418" s="51" t="s">
        <v>1536</v>
      </c>
    </row>
    <row r="419" spans="1:5" ht="30" x14ac:dyDescent="0.2">
      <c r="A419" s="50" t="str">
        <f t="shared" si="6"/>
        <v>AnalogSignalType.CustomImpedancePerLengthCPrimary</v>
      </c>
      <c r="B419" s="51" t="s">
        <v>2079</v>
      </c>
      <c r="C419" s="51" t="s">
        <v>1548</v>
      </c>
      <c r="D419" s="51" t="s">
        <v>1638</v>
      </c>
      <c r="E419" s="51" t="s">
        <v>1544</v>
      </c>
    </row>
    <row r="420" spans="1:5" ht="30" x14ac:dyDescent="0.2">
      <c r="A420" s="50" t="str">
        <f t="shared" si="6"/>
        <v>AnalogSignalType.CustomAdmittancePerLengthABCPrimary</v>
      </c>
      <c r="B420" s="51" t="s">
        <v>2080</v>
      </c>
      <c r="C420" s="51" t="s">
        <v>1548</v>
      </c>
      <c r="D420" s="51" t="s">
        <v>1645</v>
      </c>
      <c r="E420" s="51" t="s">
        <v>1499</v>
      </c>
    </row>
    <row r="421" spans="1:5" ht="30" x14ac:dyDescent="0.2">
      <c r="A421" s="50" t="str">
        <f t="shared" si="6"/>
        <v>AnalogSignalType.CustomAdmittancePerLengthAPrimary</v>
      </c>
      <c r="B421" s="51" t="s">
        <v>2081</v>
      </c>
      <c r="C421" s="51" t="s">
        <v>1548</v>
      </c>
      <c r="D421" s="51" t="s">
        <v>1645</v>
      </c>
      <c r="E421" s="51" t="s">
        <v>1528</v>
      </c>
    </row>
    <row r="422" spans="1:5" ht="30" x14ac:dyDescent="0.2">
      <c r="A422" s="50" t="str">
        <f t="shared" si="6"/>
        <v>AnalogSignalType.CustomAdmittancePerLengthBPrimary</v>
      </c>
      <c r="B422" s="51" t="s">
        <v>2082</v>
      </c>
      <c r="C422" s="51" t="s">
        <v>1548</v>
      </c>
      <c r="D422" s="51" t="s">
        <v>1645</v>
      </c>
      <c r="E422" s="51" t="s">
        <v>1536</v>
      </c>
    </row>
    <row r="423" spans="1:5" ht="30" x14ac:dyDescent="0.2">
      <c r="A423" s="50" t="str">
        <f t="shared" si="6"/>
        <v>AnalogSignalType.CustomAdmittancePerLengthCPrimary</v>
      </c>
      <c r="B423" s="51" t="s">
        <v>2083</v>
      </c>
      <c r="C423" s="51" t="s">
        <v>1548</v>
      </c>
      <c r="D423" s="51" t="s">
        <v>1645</v>
      </c>
      <c r="E423" s="51" t="s">
        <v>1544</v>
      </c>
    </row>
    <row r="424" spans="1:5" ht="30" x14ac:dyDescent="0.2">
      <c r="A424" s="50" t="str">
        <f t="shared" si="6"/>
        <v>AnalogSignalType.CustomPercentABCPrimary</v>
      </c>
      <c r="B424" s="51" t="s">
        <v>2084</v>
      </c>
      <c r="C424" s="51" t="s">
        <v>1548</v>
      </c>
      <c r="D424" s="51" t="s">
        <v>1652</v>
      </c>
      <c r="E424" s="51" t="s">
        <v>1499</v>
      </c>
    </row>
    <row r="425" spans="1:5" ht="30" x14ac:dyDescent="0.2">
      <c r="A425" s="50" t="str">
        <f t="shared" si="6"/>
        <v>AnalogSignalType.CustomPercentAPrimary</v>
      </c>
      <c r="B425" s="51" t="s">
        <v>2085</v>
      </c>
      <c r="C425" s="51" t="s">
        <v>1548</v>
      </c>
      <c r="D425" s="51" t="s">
        <v>1652</v>
      </c>
      <c r="E425" s="51" t="s">
        <v>1528</v>
      </c>
    </row>
    <row r="426" spans="1:5" ht="30" x14ac:dyDescent="0.2">
      <c r="A426" s="50" t="str">
        <f t="shared" si="6"/>
        <v>AnalogSignalType.CustomPercentBPrimary</v>
      </c>
      <c r="B426" s="51" t="s">
        <v>2086</v>
      </c>
      <c r="C426" s="51" t="s">
        <v>1548</v>
      </c>
      <c r="D426" s="51" t="s">
        <v>1652</v>
      </c>
      <c r="E426" s="51" t="s">
        <v>1536</v>
      </c>
    </row>
    <row r="427" spans="1:5" ht="30" x14ac:dyDescent="0.2">
      <c r="A427" s="50" t="str">
        <f t="shared" si="6"/>
        <v>AnalogSignalType.CustomPercentCPrimary</v>
      </c>
      <c r="B427" s="51" t="s">
        <v>2087</v>
      </c>
      <c r="C427" s="51" t="s">
        <v>1548</v>
      </c>
      <c r="D427" s="51" t="s">
        <v>1652</v>
      </c>
      <c r="E427" s="51" t="s">
        <v>1544</v>
      </c>
    </row>
    <row r="428" spans="1:5" ht="30" x14ac:dyDescent="0.2">
      <c r="A428" s="50" t="str">
        <f t="shared" si="6"/>
        <v>AnalogSignalType.CustomMoneyABCPrimary</v>
      </c>
      <c r="B428" s="51" t="s">
        <v>2088</v>
      </c>
      <c r="C428" s="51" t="s">
        <v>1548</v>
      </c>
      <c r="D428" s="51" t="s">
        <v>1656</v>
      </c>
      <c r="E428" s="51" t="s">
        <v>1499</v>
      </c>
    </row>
    <row r="429" spans="1:5" ht="30" x14ac:dyDescent="0.2">
      <c r="A429" s="50" t="str">
        <f t="shared" si="6"/>
        <v>AnalogSignalType.CustomMoneyAPrimary</v>
      </c>
      <c r="B429" s="51" t="s">
        <v>2089</v>
      </c>
      <c r="C429" s="51" t="s">
        <v>1548</v>
      </c>
      <c r="D429" s="51" t="s">
        <v>1656</v>
      </c>
      <c r="E429" s="51" t="s">
        <v>1528</v>
      </c>
    </row>
    <row r="430" spans="1:5" ht="30" x14ac:dyDescent="0.2">
      <c r="A430" s="50" t="str">
        <f t="shared" si="6"/>
        <v>AnalogSignalType.CustomMoneyBPrimary</v>
      </c>
      <c r="B430" s="51" t="s">
        <v>2090</v>
      </c>
      <c r="C430" s="51" t="s">
        <v>1548</v>
      </c>
      <c r="D430" s="51" t="s">
        <v>1656</v>
      </c>
      <c r="E430" s="51" t="s">
        <v>1536</v>
      </c>
    </row>
    <row r="431" spans="1:5" ht="30" x14ac:dyDescent="0.2">
      <c r="A431" s="50" t="str">
        <f t="shared" si="6"/>
        <v>AnalogSignalType.CustomMoneyCPrimary</v>
      </c>
      <c r="B431" s="51" t="s">
        <v>2091</v>
      </c>
      <c r="C431" s="51" t="s">
        <v>1548</v>
      </c>
      <c r="D431" s="51" t="s">
        <v>1656</v>
      </c>
      <c r="E431" s="51" t="s">
        <v>1544</v>
      </c>
    </row>
    <row r="432" spans="1:5" ht="30" x14ac:dyDescent="0.2">
      <c r="A432" s="50" t="str">
        <f t="shared" si="6"/>
        <v>AnalogSignalType.CustomRelativeVoltageABCPrimary</v>
      </c>
      <c r="B432" s="51" t="s">
        <v>2092</v>
      </c>
      <c r="C432" s="51" t="s">
        <v>1548</v>
      </c>
      <c r="D432" s="51" t="s">
        <v>1491</v>
      </c>
      <c r="E432" s="51" t="s">
        <v>1499</v>
      </c>
    </row>
    <row r="433" spans="1:5" ht="30" x14ac:dyDescent="0.2">
      <c r="A433" s="50" t="str">
        <f t="shared" si="6"/>
        <v>AnalogSignalType.CustomRelativeVoltageAPrimary</v>
      </c>
      <c r="B433" s="51" t="s">
        <v>2093</v>
      </c>
      <c r="C433" s="51" t="s">
        <v>1548</v>
      </c>
      <c r="D433" s="51" t="s">
        <v>1491</v>
      </c>
      <c r="E433" s="51" t="s">
        <v>1528</v>
      </c>
    </row>
    <row r="434" spans="1:5" ht="30" x14ac:dyDescent="0.2">
      <c r="A434" s="50" t="str">
        <f t="shared" si="6"/>
        <v>AnalogSignalType.CustomRelativeVoltageBPrimary</v>
      </c>
      <c r="B434" s="51" t="s">
        <v>2094</v>
      </c>
      <c r="C434" s="51" t="s">
        <v>1548</v>
      </c>
      <c r="D434" s="51" t="s">
        <v>1491</v>
      </c>
      <c r="E434" s="51" t="s">
        <v>1536</v>
      </c>
    </row>
    <row r="435" spans="1:5" ht="30" x14ac:dyDescent="0.2">
      <c r="A435" s="50" t="str">
        <f t="shared" si="6"/>
        <v>AnalogSignalType.CustomRelativeVoltageCPrimary</v>
      </c>
      <c r="B435" s="51" t="s">
        <v>2095</v>
      </c>
      <c r="C435" s="51" t="s">
        <v>1548</v>
      </c>
      <c r="D435" s="51" t="s">
        <v>1491</v>
      </c>
      <c r="E435" s="51" t="s">
        <v>1544</v>
      </c>
    </row>
    <row r="436" spans="1:5" ht="30" x14ac:dyDescent="0.2">
      <c r="A436" s="50" t="str">
        <f t="shared" si="6"/>
        <v>AnalogSignalType.CustomInsolationABCPrimary</v>
      </c>
      <c r="B436" s="51" t="s">
        <v>2096</v>
      </c>
      <c r="C436" s="51" t="s">
        <v>1548</v>
      </c>
      <c r="D436" s="51" t="s">
        <v>1660</v>
      </c>
      <c r="E436" s="51" t="s">
        <v>1499</v>
      </c>
    </row>
    <row r="437" spans="1:5" ht="30" x14ac:dyDescent="0.2">
      <c r="A437" s="50" t="str">
        <f t="shared" si="6"/>
        <v>AnalogSignalType.CustomInsolationAPrimary</v>
      </c>
      <c r="B437" s="51" t="s">
        <v>2097</v>
      </c>
      <c r="C437" s="51" t="s">
        <v>1548</v>
      </c>
      <c r="D437" s="51" t="s">
        <v>1660</v>
      </c>
      <c r="E437" s="51" t="s">
        <v>1528</v>
      </c>
    </row>
    <row r="438" spans="1:5" ht="30" x14ac:dyDescent="0.2">
      <c r="A438" s="50" t="str">
        <f t="shared" si="6"/>
        <v>AnalogSignalType.CustomInsolationBPrimary</v>
      </c>
      <c r="B438" s="51" t="s">
        <v>2098</v>
      </c>
      <c r="C438" s="51" t="s">
        <v>1548</v>
      </c>
      <c r="D438" s="51" t="s">
        <v>1660</v>
      </c>
      <c r="E438" s="51" t="s">
        <v>1536</v>
      </c>
    </row>
    <row r="439" spans="1:5" ht="30" x14ac:dyDescent="0.2">
      <c r="A439" s="50" t="str">
        <f t="shared" si="6"/>
        <v>AnalogSignalType.CustomInsolationCPrimary</v>
      </c>
      <c r="B439" s="51" t="s">
        <v>2099</v>
      </c>
      <c r="C439" s="51" t="s">
        <v>1548</v>
      </c>
      <c r="D439" s="51" t="s">
        <v>1660</v>
      </c>
      <c r="E439" s="51" t="s">
        <v>1544</v>
      </c>
    </row>
    <row r="440" spans="1:5" ht="30" x14ac:dyDescent="0.2">
      <c r="A440" s="50" t="str">
        <f t="shared" si="6"/>
        <v>AnalogSignalType.CustomCurrentAngleABCPrimary</v>
      </c>
      <c r="B440" s="51" t="s">
        <v>2100</v>
      </c>
      <c r="C440" s="51" t="s">
        <v>1548</v>
      </c>
      <c r="D440" s="51" t="s">
        <v>1542</v>
      </c>
      <c r="E440" s="51" t="s">
        <v>1499</v>
      </c>
    </row>
    <row r="441" spans="1:5" ht="30" x14ac:dyDescent="0.2">
      <c r="A441" s="50" t="str">
        <f t="shared" si="6"/>
        <v>AnalogSignalType.CustomCurrentAngleAPrimary</v>
      </c>
      <c r="B441" s="51" t="s">
        <v>2101</v>
      </c>
      <c r="C441" s="51" t="s">
        <v>1548</v>
      </c>
      <c r="D441" s="51" t="s">
        <v>1542</v>
      </c>
      <c r="E441" s="51" t="s">
        <v>1528</v>
      </c>
    </row>
    <row r="442" spans="1:5" ht="30" x14ac:dyDescent="0.2">
      <c r="A442" s="50" t="str">
        <f t="shared" si="6"/>
        <v>AnalogSignalType.CustomCurrentAngleBPrimary</v>
      </c>
      <c r="B442" s="51" t="s">
        <v>2102</v>
      </c>
      <c r="C442" s="51" t="s">
        <v>1548</v>
      </c>
      <c r="D442" s="51" t="s">
        <v>1542</v>
      </c>
      <c r="E442" s="51" t="s">
        <v>1536</v>
      </c>
    </row>
    <row r="443" spans="1:5" ht="30" x14ac:dyDescent="0.2">
      <c r="A443" s="50" t="str">
        <f t="shared" si="6"/>
        <v>AnalogSignalType.CustomCurrentAngleCPrimary</v>
      </c>
      <c r="B443" s="51" t="s">
        <v>2103</v>
      </c>
      <c r="C443" s="51" t="s">
        <v>1548</v>
      </c>
      <c r="D443" s="51" t="s">
        <v>1542</v>
      </c>
      <c r="E443" s="51" t="s">
        <v>1544</v>
      </c>
    </row>
    <row r="444" spans="1:5" ht="30" x14ac:dyDescent="0.2">
      <c r="A444" s="50" t="str">
        <f t="shared" si="6"/>
        <v>AnalogSignalType.CustomRotationSpeedABCPrimary</v>
      </c>
      <c r="B444" s="51" t="s">
        <v>2104</v>
      </c>
      <c r="C444" s="51" t="s">
        <v>1548</v>
      </c>
      <c r="D444" s="51" t="s">
        <v>1664</v>
      </c>
      <c r="E444" s="51" t="s">
        <v>1499</v>
      </c>
    </row>
    <row r="445" spans="1:5" ht="30" x14ac:dyDescent="0.2">
      <c r="A445" s="50" t="str">
        <f t="shared" si="6"/>
        <v>AnalogSignalType.CustomRotationSpeedAPrimary</v>
      </c>
      <c r="B445" s="51" t="s">
        <v>2105</v>
      </c>
      <c r="C445" s="51" t="s">
        <v>1548</v>
      </c>
      <c r="D445" s="51" t="s">
        <v>1664</v>
      </c>
      <c r="E445" s="51" t="s">
        <v>1528</v>
      </c>
    </row>
    <row r="446" spans="1:5" ht="30" x14ac:dyDescent="0.2">
      <c r="A446" s="50" t="str">
        <f t="shared" si="6"/>
        <v>AnalogSignalType.CustomRotationSpeedBPrimary</v>
      </c>
      <c r="B446" s="51" t="s">
        <v>2106</v>
      </c>
      <c r="C446" s="51" t="s">
        <v>1548</v>
      </c>
      <c r="D446" s="51" t="s">
        <v>1664</v>
      </c>
      <c r="E446" s="51" t="s">
        <v>1536</v>
      </c>
    </row>
    <row r="447" spans="1:5" ht="30" x14ac:dyDescent="0.2">
      <c r="A447" s="50" t="str">
        <f t="shared" si="6"/>
        <v>AnalogSignalType.CustomRotationSpeedCPrimary</v>
      </c>
      <c r="B447" s="51" t="s">
        <v>2107</v>
      </c>
      <c r="C447" s="51" t="s">
        <v>1548</v>
      </c>
      <c r="D447" s="51" t="s">
        <v>1664</v>
      </c>
      <c r="E447" s="51" t="s">
        <v>1544</v>
      </c>
    </row>
    <row r="448" spans="1:5" ht="30" x14ac:dyDescent="0.2">
      <c r="A448" s="50" t="str">
        <f t="shared" si="6"/>
        <v>AnalogSignalType.CustomMassABCPrimary</v>
      </c>
      <c r="B448" s="51" t="s">
        <v>2108</v>
      </c>
      <c r="C448" s="51" t="s">
        <v>1548</v>
      </c>
      <c r="D448" s="51" t="s">
        <v>1669</v>
      </c>
      <c r="E448" s="51" t="s">
        <v>1499</v>
      </c>
    </row>
    <row r="449" spans="1:5" ht="30" x14ac:dyDescent="0.2">
      <c r="A449" s="50" t="str">
        <f t="shared" si="6"/>
        <v>AnalogSignalType.CustomMassAPrimary</v>
      </c>
      <c r="B449" s="51" t="s">
        <v>2109</v>
      </c>
      <c r="C449" s="51" t="s">
        <v>1548</v>
      </c>
      <c r="D449" s="51" t="s">
        <v>1669</v>
      </c>
      <c r="E449" s="51" t="s">
        <v>1528</v>
      </c>
    </row>
    <row r="450" spans="1:5" ht="30" x14ac:dyDescent="0.2">
      <c r="A450" s="50" t="str">
        <f t="shared" si="6"/>
        <v>AnalogSignalType.CustomMassBPrimary</v>
      </c>
      <c r="B450" s="51" t="s">
        <v>2110</v>
      </c>
      <c r="C450" s="51" t="s">
        <v>1548</v>
      </c>
      <c r="D450" s="51" t="s">
        <v>1669</v>
      </c>
      <c r="E450" s="51" t="s">
        <v>1536</v>
      </c>
    </row>
    <row r="451" spans="1:5" ht="30" x14ac:dyDescent="0.2">
      <c r="A451" s="50" t="str">
        <f t="shared" si="6"/>
        <v>AnalogSignalType.CustomMassCPrimary</v>
      </c>
      <c r="B451" s="51" t="s">
        <v>2111</v>
      </c>
      <c r="C451" s="51" t="s">
        <v>1548</v>
      </c>
      <c r="D451" s="51" t="s">
        <v>1669</v>
      </c>
      <c r="E451" s="51" t="s">
        <v>1544</v>
      </c>
    </row>
    <row r="452" spans="1:5" ht="30" x14ac:dyDescent="0.2">
      <c r="A452" s="50" t="str">
        <f t="shared" si="6"/>
        <v>AnalogSignalType.CustomFailureRateABCPrimary</v>
      </c>
      <c r="B452" s="51" t="s">
        <v>2112</v>
      </c>
      <c r="C452" s="51" t="s">
        <v>1548</v>
      </c>
      <c r="D452" s="51" t="s">
        <v>1672</v>
      </c>
      <c r="E452" s="51" t="s">
        <v>1499</v>
      </c>
    </row>
    <row r="453" spans="1:5" ht="30" x14ac:dyDescent="0.2">
      <c r="A453" s="50" t="str">
        <f t="shared" si="6"/>
        <v>AnalogSignalType.CustomFailureRateAPrimary</v>
      </c>
      <c r="B453" s="51" t="s">
        <v>2113</v>
      </c>
      <c r="C453" s="51" t="s">
        <v>1548</v>
      </c>
      <c r="D453" s="51" t="s">
        <v>1672</v>
      </c>
      <c r="E453" s="51" t="s">
        <v>1528</v>
      </c>
    </row>
    <row r="454" spans="1:5" ht="30" x14ac:dyDescent="0.2">
      <c r="A454" s="50" t="str">
        <f t="shared" si="6"/>
        <v>AnalogSignalType.CustomFailureRateBPrimary</v>
      </c>
      <c r="B454" s="51" t="s">
        <v>2114</v>
      </c>
      <c r="C454" s="51" t="s">
        <v>1548</v>
      </c>
      <c r="D454" s="51" t="s">
        <v>1672</v>
      </c>
      <c r="E454" s="51" t="s">
        <v>1536</v>
      </c>
    </row>
    <row r="455" spans="1:5" ht="30" x14ac:dyDescent="0.2">
      <c r="A455" s="50" t="str">
        <f t="shared" ref="A455:A519" si="7">CONCATENATE(C455,D455,E455)</f>
        <v>AnalogSignalType.CustomFailureRateCPrimary</v>
      </c>
      <c r="B455" s="51" t="s">
        <v>2115</v>
      </c>
      <c r="C455" s="51" t="s">
        <v>1548</v>
      </c>
      <c r="D455" s="51" t="s">
        <v>1672</v>
      </c>
      <c r="E455" s="51" t="s">
        <v>1544</v>
      </c>
    </row>
    <row r="456" spans="1:5" ht="30" x14ac:dyDescent="0.2">
      <c r="A456" s="50" t="str">
        <f t="shared" si="7"/>
        <v>AnalogSignalType.CustomSoilTemperatureABCPrimary</v>
      </c>
      <c r="B456" s="51" t="s">
        <v>2116</v>
      </c>
      <c r="C456" s="51" t="s">
        <v>1548</v>
      </c>
      <c r="D456" s="51" t="s">
        <v>1676</v>
      </c>
      <c r="E456" s="51" t="s">
        <v>1499</v>
      </c>
    </row>
    <row r="457" spans="1:5" ht="30" x14ac:dyDescent="0.2">
      <c r="A457" s="50" t="str">
        <f t="shared" si="7"/>
        <v>AnalogSignalType.CustomSoilTemperatureAPrimary</v>
      </c>
      <c r="B457" s="51" t="s">
        <v>2117</v>
      </c>
      <c r="C457" s="51" t="s">
        <v>1548</v>
      </c>
      <c r="D457" s="51" t="s">
        <v>1676</v>
      </c>
      <c r="E457" s="51" t="s">
        <v>1528</v>
      </c>
    </row>
    <row r="458" spans="1:5" ht="30" x14ac:dyDescent="0.2">
      <c r="A458" s="50" t="str">
        <f t="shared" si="7"/>
        <v>AnalogSignalType.CustomSoilTemperatureBPrimary</v>
      </c>
      <c r="B458" s="51" t="s">
        <v>2118</v>
      </c>
      <c r="C458" s="51" t="s">
        <v>1548</v>
      </c>
      <c r="D458" s="51" t="s">
        <v>1676</v>
      </c>
      <c r="E458" s="51" t="s">
        <v>1536</v>
      </c>
    </row>
    <row r="459" spans="1:5" ht="30" x14ac:dyDescent="0.2">
      <c r="A459" s="50" t="str">
        <f t="shared" si="7"/>
        <v>AnalogSignalType.CustomSoilTemperatureCPrimary</v>
      </c>
      <c r="B459" s="51" t="s">
        <v>2119</v>
      </c>
      <c r="C459" s="51" t="s">
        <v>1548</v>
      </c>
      <c r="D459" s="51" t="s">
        <v>1676</v>
      </c>
      <c r="E459" s="51" t="s">
        <v>1544</v>
      </c>
    </row>
    <row r="460" spans="1:5" ht="30" x14ac:dyDescent="0.2">
      <c r="A460" s="50" t="str">
        <f t="shared" si="7"/>
        <v>AnalogSignalType.CustomOilTemperatureABCPrimary</v>
      </c>
      <c r="B460" s="51" t="s">
        <v>2120</v>
      </c>
      <c r="C460" s="51" t="s">
        <v>1548</v>
      </c>
      <c r="D460" s="51" t="s">
        <v>1680</v>
      </c>
      <c r="E460" s="51" t="s">
        <v>1499</v>
      </c>
    </row>
    <row r="461" spans="1:5" ht="30" x14ac:dyDescent="0.2">
      <c r="A461" s="50" t="str">
        <f t="shared" si="7"/>
        <v>AnalogSignalType.CustomOilTemperatureAPrimary</v>
      </c>
      <c r="B461" s="51" t="s">
        <v>2121</v>
      </c>
      <c r="C461" s="51" t="s">
        <v>1548</v>
      </c>
      <c r="D461" s="51" t="s">
        <v>1680</v>
      </c>
      <c r="E461" s="51" t="s">
        <v>1528</v>
      </c>
    </row>
    <row r="462" spans="1:5" ht="30" x14ac:dyDescent="0.2">
      <c r="A462" s="50" t="str">
        <f t="shared" si="7"/>
        <v>AnalogSignalType.CustomOilTemperatureBPrimary</v>
      </c>
      <c r="B462" s="51" t="s">
        <v>2122</v>
      </c>
      <c r="C462" s="51" t="s">
        <v>1548</v>
      </c>
      <c r="D462" s="51" t="s">
        <v>1680</v>
      </c>
      <c r="E462" s="51" t="s">
        <v>1536</v>
      </c>
    </row>
    <row r="463" spans="1:5" ht="30" x14ac:dyDescent="0.2">
      <c r="A463" s="50" t="str">
        <f t="shared" si="7"/>
        <v>AnalogSignalType.CustomOilTemperatureCPrimary</v>
      </c>
      <c r="B463" s="51" t="s">
        <v>2123</v>
      </c>
      <c r="C463" s="51" t="s">
        <v>1548</v>
      </c>
      <c r="D463" s="51" t="s">
        <v>1680</v>
      </c>
      <c r="E463" s="51" t="s">
        <v>1544</v>
      </c>
    </row>
    <row r="464" spans="1:5" ht="30" x14ac:dyDescent="0.2">
      <c r="A464" s="50" t="str">
        <f t="shared" si="7"/>
        <v>AnalogSignalType.CustomHotSpotTemperatureABCPrimary</v>
      </c>
      <c r="B464" s="51" t="s">
        <v>2124</v>
      </c>
      <c r="C464" s="51" t="s">
        <v>1548</v>
      </c>
      <c r="D464" s="51" t="s">
        <v>1684</v>
      </c>
      <c r="E464" s="51" t="s">
        <v>1499</v>
      </c>
    </row>
    <row r="465" spans="1:5" ht="30" x14ac:dyDescent="0.2">
      <c r="A465" s="50" t="str">
        <f t="shared" si="7"/>
        <v>AnalogSignalType.CustomHotSpotTemperatureAPrimary</v>
      </c>
      <c r="B465" s="51" t="s">
        <v>2125</v>
      </c>
      <c r="C465" s="51" t="s">
        <v>1548</v>
      </c>
      <c r="D465" s="51" t="s">
        <v>1684</v>
      </c>
      <c r="E465" s="51" t="s">
        <v>1528</v>
      </c>
    </row>
    <row r="466" spans="1:5" ht="30" x14ac:dyDescent="0.2">
      <c r="A466" s="50" t="str">
        <f t="shared" si="7"/>
        <v>AnalogSignalType.CustomHotSpotTemperatureBPrimary</v>
      </c>
      <c r="B466" s="51" t="s">
        <v>2126</v>
      </c>
      <c r="C466" s="51" t="s">
        <v>1548</v>
      </c>
      <c r="D466" s="51" t="s">
        <v>1684</v>
      </c>
      <c r="E466" s="51" t="s">
        <v>1536</v>
      </c>
    </row>
    <row r="467" spans="1:5" ht="30" x14ac:dyDescent="0.2">
      <c r="A467" s="50" t="str">
        <f t="shared" si="7"/>
        <v>AnalogSignalType.CustomHotSpotTemperatureCPrimary</v>
      </c>
      <c r="B467" s="51" t="s">
        <v>2127</v>
      </c>
      <c r="C467" s="51" t="s">
        <v>1548</v>
      </c>
      <c r="D467" s="51" t="s">
        <v>1684</v>
      </c>
      <c r="E467" s="51" t="s">
        <v>1544</v>
      </c>
    </row>
    <row r="468" spans="1:5" ht="30" x14ac:dyDescent="0.2">
      <c r="A468" s="50" t="str">
        <f t="shared" si="7"/>
        <v>AnalogSignalType.CustomAbsoluteDateTimeABCPrimary</v>
      </c>
      <c r="B468" s="51" t="s">
        <v>2128</v>
      </c>
      <c r="C468" s="51" t="s">
        <v>1548</v>
      </c>
      <c r="D468" s="51" t="s">
        <v>1689</v>
      </c>
      <c r="E468" s="51" t="s">
        <v>1499</v>
      </c>
    </row>
    <row r="469" spans="1:5" ht="30" x14ac:dyDescent="0.2">
      <c r="A469" s="50" t="str">
        <f t="shared" si="7"/>
        <v>AnalogSignalType.CustomAbsoluteDateTimeAPrimary</v>
      </c>
      <c r="B469" s="51" t="s">
        <v>2129</v>
      </c>
      <c r="C469" s="51" t="s">
        <v>1548</v>
      </c>
      <c r="D469" s="51" t="s">
        <v>1689</v>
      </c>
      <c r="E469" s="51" t="s">
        <v>1528</v>
      </c>
    </row>
    <row r="470" spans="1:5" ht="30" x14ac:dyDescent="0.2">
      <c r="A470" s="50" t="str">
        <f t="shared" si="7"/>
        <v>AnalogSignalType.CustomAbsoluteDateTimeBPrimary</v>
      </c>
      <c r="B470" s="51" t="s">
        <v>2130</v>
      </c>
      <c r="C470" s="51" t="s">
        <v>1548</v>
      </c>
      <c r="D470" s="51" t="s">
        <v>1689</v>
      </c>
      <c r="E470" s="51" t="s">
        <v>1536</v>
      </c>
    </row>
    <row r="471" spans="1:5" ht="30" x14ac:dyDescent="0.2">
      <c r="A471" s="50" t="str">
        <f t="shared" si="7"/>
        <v>AnalogSignalType.CustomAbsoluteDateTimeCPrimary</v>
      </c>
      <c r="B471" s="51" t="s">
        <v>2131</v>
      </c>
      <c r="C471" s="51" t="s">
        <v>1548</v>
      </c>
      <c r="D471" s="51" t="s">
        <v>1689</v>
      </c>
      <c r="E471" s="51" t="s">
        <v>1544</v>
      </c>
    </row>
    <row r="472" spans="1:5" ht="30" x14ac:dyDescent="0.2">
      <c r="A472" s="50" t="str">
        <f t="shared" si="7"/>
        <v>AnalogSignalType.CustomLatLongABCPrimary</v>
      </c>
      <c r="B472" s="51" t="s">
        <v>2132</v>
      </c>
      <c r="C472" s="51" t="s">
        <v>1548</v>
      </c>
      <c r="D472" s="51" t="s">
        <v>1694</v>
      </c>
      <c r="E472" s="51" t="s">
        <v>1499</v>
      </c>
    </row>
    <row r="473" spans="1:5" ht="30" x14ac:dyDescent="0.2">
      <c r="A473" s="50" t="str">
        <f t="shared" si="7"/>
        <v>AnalogSignalType.CustomLatLongAPrimary</v>
      </c>
      <c r="B473" s="51" t="s">
        <v>2133</v>
      </c>
      <c r="C473" s="51" t="s">
        <v>1548</v>
      </c>
      <c r="D473" s="51" t="s">
        <v>1694</v>
      </c>
      <c r="E473" s="51" t="s">
        <v>1528</v>
      </c>
    </row>
    <row r="474" spans="1:5" ht="30" x14ac:dyDescent="0.2">
      <c r="A474" s="50" t="str">
        <f t="shared" si="7"/>
        <v>AnalogSignalType.CustomLatLongBPrimary</v>
      </c>
      <c r="B474" s="51" t="s">
        <v>2134</v>
      </c>
      <c r="C474" s="51" t="s">
        <v>1548</v>
      </c>
      <c r="D474" s="51" t="s">
        <v>1694</v>
      </c>
      <c r="E474" s="51" t="s">
        <v>1536</v>
      </c>
    </row>
    <row r="475" spans="1:5" ht="30" x14ac:dyDescent="0.2">
      <c r="A475" s="50" t="str">
        <f t="shared" si="7"/>
        <v>AnalogSignalType.CustomLatLongCPrimary</v>
      </c>
      <c r="B475" s="51" t="s">
        <v>2135</v>
      </c>
      <c r="C475" s="51" t="s">
        <v>1548</v>
      </c>
      <c r="D475" s="51" t="s">
        <v>1694</v>
      </c>
      <c r="E475" s="51" t="s">
        <v>1544</v>
      </c>
    </row>
    <row r="476" spans="1:5" ht="30" x14ac:dyDescent="0.2">
      <c r="A476" s="50" t="str">
        <f t="shared" si="7"/>
        <v>MeasuredValueVoltageABCSecondary</v>
      </c>
      <c r="B476" s="51" t="s">
        <v>2136</v>
      </c>
      <c r="C476" s="51" t="s">
        <v>1532</v>
      </c>
      <c r="D476" s="51" t="s">
        <v>1469</v>
      </c>
      <c r="E476" s="51" t="s">
        <v>1551</v>
      </c>
    </row>
    <row r="477" spans="1:5" ht="15" x14ac:dyDescent="0.2">
      <c r="A477" s="50" t="str">
        <f t="shared" si="7"/>
        <v>MeasuredValueVoltageABSecondary</v>
      </c>
      <c r="B477" s="51" t="s">
        <v>2137</v>
      </c>
      <c r="C477" s="51" t="s">
        <v>1532</v>
      </c>
      <c r="D477" s="51" t="s">
        <v>1469</v>
      </c>
      <c r="E477" s="51" t="s">
        <v>1558</v>
      </c>
    </row>
    <row r="478" spans="1:5" ht="15" x14ac:dyDescent="0.2">
      <c r="A478" s="50" t="str">
        <f t="shared" si="7"/>
        <v>MeasuredValueVoltageBCSecondary</v>
      </c>
      <c r="B478" s="51" t="s">
        <v>2138</v>
      </c>
      <c r="C478" s="51" t="s">
        <v>1532</v>
      </c>
      <c r="D478" s="51" t="s">
        <v>1469</v>
      </c>
      <c r="E478" s="51" t="s">
        <v>1565</v>
      </c>
    </row>
    <row r="479" spans="1:5" ht="15" x14ac:dyDescent="0.2">
      <c r="A479" s="50" t="str">
        <f t="shared" si="7"/>
        <v>MeasuredValueVoltageACSecondary</v>
      </c>
      <c r="B479" s="51" t="s">
        <v>2139</v>
      </c>
      <c r="C479" s="51" t="s">
        <v>1532</v>
      </c>
      <c r="D479" s="51" t="s">
        <v>1469</v>
      </c>
      <c r="E479" s="51" t="s">
        <v>1572</v>
      </c>
    </row>
    <row r="480" spans="1:5" ht="15" x14ac:dyDescent="0.2">
      <c r="A480" s="50" t="str">
        <f t="shared" si="7"/>
        <v>MeasuredValueVoltageASecondary</v>
      </c>
      <c r="B480" s="51" t="s">
        <v>2140</v>
      </c>
      <c r="C480" s="51" t="s">
        <v>1532</v>
      </c>
      <c r="D480" s="51" t="s">
        <v>1469</v>
      </c>
      <c r="E480" s="51" t="s">
        <v>1580</v>
      </c>
    </row>
    <row r="481" spans="1:5" ht="15" x14ac:dyDescent="0.2">
      <c r="A481" s="50" t="str">
        <f t="shared" si="7"/>
        <v>MeasuredValueVoltageBSecondary</v>
      </c>
      <c r="B481" s="51" t="s">
        <v>2141</v>
      </c>
      <c r="C481" s="51" t="s">
        <v>1532</v>
      </c>
      <c r="D481" s="51" t="s">
        <v>1469</v>
      </c>
      <c r="E481" s="51" t="s">
        <v>1587</v>
      </c>
    </row>
    <row r="482" spans="1:5" ht="15" x14ac:dyDescent="0.2">
      <c r="A482" s="50" t="str">
        <f t="shared" si="7"/>
        <v>MeasuredValueVoltageCSecondary</v>
      </c>
      <c r="B482" s="51" t="s">
        <v>2142</v>
      </c>
      <c r="C482" s="51" t="s">
        <v>1532</v>
      </c>
      <c r="D482" s="51" t="s">
        <v>1469</v>
      </c>
      <c r="E482" s="51" t="s">
        <v>1594</v>
      </c>
    </row>
    <row r="483" spans="1:5" ht="30" x14ac:dyDescent="0.2">
      <c r="A483" s="50" t="str">
        <f t="shared" si="7"/>
        <v>MeasuredValueVoltageAngleABCSecondary</v>
      </c>
      <c r="B483" s="51" t="s">
        <v>2143</v>
      </c>
      <c r="C483" s="51" t="s">
        <v>1532</v>
      </c>
      <c r="D483" s="51" t="s">
        <v>1477</v>
      </c>
      <c r="E483" s="51" t="s">
        <v>1551</v>
      </c>
    </row>
    <row r="484" spans="1:5" ht="30" x14ac:dyDescent="0.2">
      <c r="A484" s="50" t="str">
        <f t="shared" si="7"/>
        <v>MeasuredValueVoltageAngleABSecondary</v>
      </c>
      <c r="B484" s="51" t="s">
        <v>2144</v>
      </c>
      <c r="C484" s="51" t="s">
        <v>1532</v>
      </c>
      <c r="D484" s="51" t="s">
        <v>1477</v>
      </c>
      <c r="E484" s="51" t="s">
        <v>1558</v>
      </c>
    </row>
    <row r="485" spans="1:5" ht="30" x14ac:dyDescent="0.2">
      <c r="A485" s="50" t="str">
        <f t="shared" si="7"/>
        <v>MeasuredValueVoltageAngleBCSecondary</v>
      </c>
      <c r="B485" s="51" t="s">
        <v>2145</v>
      </c>
      <c r="C485" s="51" t="s">
        <v>1532</v>
      </c>
      <c r="D485" s="51" t="s">
        <v>1477</v>
      </c>
      <c r="E485" s="51" t="s">
        <v>1565</v>
      </c>
    </row>
    <row r="486" spans="1:5" ht="30" x14ac:dyDescent="0.2">
      <c r="A486" s="50" t="str">
        <f t="shared" si="7"/>
        <v>MeasuredValueVoltageAngleACSecondary</v>
      </c>
      <c r="B486" s="51" t="s">
        <v>2146</v>
      </c>
      <c r="C486" s="51" t="s">
        <v>1532</v>
      </c>
      <c r="D486" s="51" t="s">
        <v>1477</v>
      </c>
      <c r="E486" s="51" t="s">
        <v>1572</v>
      </c>
    </row>
    <row r="487" spans="1:5" ht="30" x14ac:dyDescent="0.2">
      <c r="A487" s="50" t="str">
        <f t="shared" si="7"/>
        <v>MeasuredValueVoltageAngleASecondary</v>
      </c>
      <c r="B487" s="51" t="s">
        <v>2147</v>
      </c>
      <c r="C487" s="51" t="s">
        <v>1532</v>
      </c>
      <c r="D487" s="51" t="s">
        <v>1477</v>
      </c>
      <c r="E487" s="51" t="s">
        <v>1580</v>
      </c>
    </row>
    <row r="488" spans="1:5" ht="30" x14ac:dyDescent="0.2">
      <c r="A488" s="50" t="str">
        <f t="shared" si="7"/>
        <v>MeasuredValueVoltageAngleBSecondary</v>
      </c>
      <c r="B488" s="51" t="s">
        <v>2148</v>
      </c>
      <c r="C488" s="51" t="s">
        <v>1532</v>
      </c>
      <c r="D488" s="51" t="s">
        <v>1477</v>
      </c>
      <c r="E488" s="51" t="s">
        <v>1587</v>
      </c>
    </row>
    <row r="489" spans="1:5" ht="30" x14ac:dyDescent="0.2">
      <c r="A489" s="50" t="str">
        <f t="shared" si="7"/>
        <v>MeasuredValueVoltageAngleCSecondary</v>
      </c>
      <c r="B489" s="51" t="s">
        <v>2149</v>
      </c>
      <c r="C489" s="51" t="s">
        <v>1532</v>
      </c>
      <c r="D489" s="51" t="s">
        <v>1477</v>
      </c>
      <c r="E489" s="51" t="s">
        <v>1594</v>
      </c>
    </row>
    <row r="490" spans="1:5" ht="30" x14ac:dyDescent="0.2">
      <c r="A490" s="50" t="str">
        <f t="shared" si="7"/>
        <v>MeasuredValueFrequencyABCSecondary</v>
      </c>
      <c r="B490" s="51" t="s">
        <v>2150</v>
      </c>
      <c r="C490" s="51" t="s">
        <v>1532</v>
      </c>
      <c r="D490" s="51" t="s">
        <v>1485</v>
      </c>
      <c r="E490" s="51" t="s">
        <v>1551</v>
      </c>
    </row>
    <row r="491" spans="1:5" ht="30" x14ac:dyDescent="0.2">
      <c r="A491" s="50" t="str">
        <f t="shared" si="7"/>
        <v>MeasuredValueRelativeVoltageABCSecondary</v>
      </c>
      <c r="B491" s="51" t="s">
        <v>2151</v>
      </c>
      <c r="C491" s="51" t="s">
        <v>1532</v>
      </c>
      <c r="D491" s="51" t="s">
        <v>1491</v>
      </c>
      <c r="E491" s="51" t="s">
        <v>1551</v>
      </c>
    </row>
    <row r="492" spans="1:5" ht="30" x14ac:dyDescent="0.2">
      <c r="A492" s="50" t="str">
        <f t="shared" si="7"/>
        <v>MeasuredValueRelativeVoltageABSecondary</v>
      </c>
      <c r="B492" s="51" t="s">
        <v>2152</v>
      </c>
      <c r="C492" s="51" t="s">
        <v>1532</v>
      </c>
      <c r="D492" s="51" t="s">
        <v>1491</v>
      </c>
      <c r="E492" s="51" t="s">
        <v>1558</v>
      </c>
    </row>
    <row r="493" spans="1:5" ht="30" x14ac:dyDescent="0.2">
      <c r="A493" s="50" t="str">
        <f t="shared" si="7"/>
        <v>MeasuredValueRelativeVoltageBCSecondary</v>
      </c>
      <c r="B493" s="51" t="s">
        <v>2153</v>
      </c>
      <c r="C493" s="51" t="s">
        <v>1532</v>
      </c>
      <c r="D493" s="51" t="s">
        <v>1491</v>
      </c>
      <c r="E493" s="51" t="s">
        <v>1565</v>
      </c>
    </row>
    <row r="494" spans="1:5" ht="30" x14ac:dyDescent="0.2">
      <c r="A494" s="50" t="str">
        <f t="shared" si="7"/>
        <v>MeasuredValueRelativeVoltageACSecondary</v>
      </c>
      <c r="B494" s="51" t="s">
        <v>2154</v>
      </c>
      <c r="C494" s="51" t="s">
        <v>1532</v>
      </c>
      <c r="D494" s="51" t="s">
        <v>1491</v>
      </c>
      <c r="E494" s="51" t="s">
        <v>1572</v>
      </c>
    </row>
    <row r="495" spans="1:5" ht="30" x14ac:dyDescent="0.2">
      <c r="A495" s="50" t="str">
        <f t="shared" si="7"/>
        <v>MeasuredValueRelativeVoltageASecondary</v>
      </c>
      <c r="B495" s="51" t="s">
        <v>2155</v>
      </c>
      <c r="C495" s="51" t="s">
        <v>1532</v>
      </c>
      <c r="D495" s="51" t="s">
        <v>1491</v>
      </c>
      <c r="E495" s="51" t="s">
        <v>1580</v>
      </c>
    </row>
    <row r="496" spans="1:5" ht="30" x14ac:dyDescent="0.2">
      <c r="A496" s="50" t="str">
        <f t="shared" si="7"/>
        <v>MeasuredValueRelativeVoltageBSecondary</v>
      </c>
      <c r="B496" s="51" t="s">
        <v>2156</v>
      </c>
      <c r="C496" s="51" t="s">
        <v>1532</v>
      </c>
      <c r="D496" s="51" t="s">
        <v>1491</v>
      </c>
      <c r="E496" s="51" t="s">
        <v>1587</v>
      </c>
    </row>
    <row r="497" spans="1:5" ht="30" x14ac:dyDescent="0.2">
      <c r="A497" s="50" t="str">
        <f t="shared" si="7"/>
        <v>MeasuredValueRelativeVoltageCSecondary</v>
      </c>
      <c r="B497" s="51" t="s">
        <v>2157</v>
      </c>
      <c r="C497" s="51" t="s">
        <v>1532</v>
      </c>
      <c r="D497" s="51" t="s">
        <v>1491</v>
      </c>
      <c r="E497" s="51" t="s">
        <v>1594</v>
      </c>
    </row>
    <row r="498" spans="1:5" ht="30" x14ac:dyDescent="0.2">
      <c r="A498" s="50" t="str">
        <f t="shared" si="7"/>
        <v>MeasuredValueCurrentABCSecondary</v>
      </c>
      <c r="B498" s="51" t="s">
        <v>2158</v>
      </c>
      <c r="C498" s="51" t="s">
        <v>1532</v>
      </c>
      <c r="D498" s="51" t="s">
        <v>1498</v>
      </c>
      <c r="E498" s="51" t="s">
        <v>1551</v>
      </c>
    </row>
    <row r="499" spans="1:5" ht="15" x14ac:dyDescent="0.2">
      <c r="A499" s="50" t="str">
        <f t="shared" si="7"/>
        <v>MeasuredValueCurrentASecondary</v>
      </c>
      <c r="B499" s="51" t="s">
        <v>2159</v>
      </c>
      <c r="C499" s="51" t="s">
        <v>1532</v>
      </c>
      <c r="D499" s="51" t="s">
        <v>1498</v>
      </c>
      <c r="E499" s="51" t="s">
        <v>1580</v>
      </c>
    </row>
    <row r="500" spans="1:5" ht="15" x14ac:dyDescent="0.2">
      <c r="A500" s="50" t="str">
        <f t="shared" si="7"/>
        <v>MeasuredValueCurrentBSecondary</v>
      </c>
      <c r="B500" s="51" t="s">
        <v>2160</v>
      </c>
      <c r="C500" s="51" t="s">
        <v>1532</v>
      </c>
      <c r="D500" s="51" t="s">
        <v>1498</v>
      </c>
      <c r="E500" s="51" t="s">
        <v>1587</v>
      </c>
    </row>
    <row r="501" spans="1:5" ht="15" x14ac:dyDescent="0.2">
      <c r="A501" s="50" t="str">
        <f t="shared" si="7"/>
        <v>MeasuredValueCurrentCSecondary</v>
      </c>
      <c r="B501" s="51" t="s">
        <v>2161</v>
      </c>
      <c r="C501" s="51" t="s">
        <v>1532</v>
      </c>
      <c r="D501" s="51" t="s">
        <v>1498</v>
      </c>
      <c r="E501" s="51" t="s">
        <v>1594</v>
      </c>
    </row>
    <row r="502" spans="1:5" ht="15" x14ac:dyDescent="0.2">
      <c r="A502" s="50" t="str">
        <f t="shared" si="7"/>
        <v>MeasuredValueCurrentNSecondary</v>
      </c>
      <c r="B502" s="51" t="s">
        <v>2162</v>
      </c>
      <c r="C502" s="51" t="s">
        <v>1532</v>
      </c>
      <c r="D502" s="51" t="s">
        <v>1498</v>
      </c>
      <c r="E502" s="51" t="s">
        <v>1640</v>
      </c>
    </row>
    <row r="503" spans="1:5" ht="30" x14ac:dyDescent="0.2">
      <c r="A503" s="50" t="str">
        <f t="shared" si="7"/>
        <v>MeasuredValueActivePowerABCSecondary</v>
      </c>
      <c r="B503" s="51" t="s">
        <v>2163</v>
      </c>
      <c r="C503" s="51" t="s">
        <v>1532</v>
      </c>
      <c r="D503" s="51" t="s">
        <v>1504</v>
      </c>
      <c r="E503" s="51" t="s">
        <v>1551</v>
      </c>
    </row>
    <row r="504" spans="1:5" ht="30" x14ac:dyDescent="0.2">
      <c r="A504" s="50" t="str">
        <f t="shared" si="7"/>
        <v>MeasuredValueActivePowerASecondary</v>
      </c>
      <c r="B504" s="51" t="s">
        <v>2164</v>
      </c>
      <c r="C504" s="51" t="s">
        <v>1532</v>
      </c>
      <c r="D504" s="51" t="s">
        <v>1504</v>
      </c>
      <c r="E504" s="51" t="s">
        <v>1580</v>
      </c>
    </row>
    <row r="505" spans="1:5" ht="30" x14ac:dyDescent="0.2">
      <c r="A505" s="50" t="str">
        <f t="shared" si="7"/>
        <v>MeasuredValueActivePowerBSecondary</v>
      </c>
      <c r="B505" s="51" t="s">
        <v>2165</v>
      </c>
      <c r="C505" s="51" t="s">
        <v>1532</v>
      </c>
      <c r="D505" s="51" t="s">
        <v>1504</v>
      </c>
      <c r="E505" s="51" t="s">
        <v>1587</v>
      </c>
    </row>
    <row r="506" spans="1:5" ht="30" x14ac:dyDescent="0.2">
      <c r="A506" s="50" t="str">
        <f t="shared" si="7"/>
        <v>MeasuredValueActivePowerCSecondary</v>
      </c>
      <c r="B506" s="51" t="s">
        <v>2166</v>
      </c>
      <c r="C506" s="51" t="s">
        <v>1532</v>
      </c>
      <c r="D506" s="51" t="s">
        <v>1504</v>
      </c>
      <c r="E506" s="51" t="s">
        <v>1594</v>
      </c>
    </row>
    <row r="507" spans="1:5" ht="30" x14ac:dyDescent="0.2">
      <c r="A507" s="50" t="str">
        <f t="shared" si="7"/>
        <v>MeasuredValueReactivePowerABCSecondary</v>
      </c>
      <c r="B507" s="51" t="s">
        <v>2167</v>
      </c>
      <c r="C507" s="51" t="s">
        <v>1532</v>
      </c>
      <c r="D507" s="51" t="s">
        <v>1563</v>
      </c>
      <c r="E507" s="51" t="s">
        <v>1551</v>
      </c>
    </row>
    <row r="508" spans="1:5" ht="30" x14ac:dyDescent="0.2">
      <c r="A508" s="50" t="str">
        <f t="shared" si="7"/>
        <v>MeasuredValueReactivePowerASecondary</v>
      </c>
      <c r="B508" s="51" t="s">
        <v>2168</v>
      </c>
      <c r="C508" s="51" t="s">
        <v>1532</v>
      </c>
      <c r="D508" s="51" t="s">
        <v>1563</v>
      </c>
      <c r="E508" s="51" t="s">
        <v>1580</v>
      </c>
    </row>
    <row r="509" spans="1:5" ht="30" x14ac:dyDescent="0.2">
      <c r="A509" s="50" t="str">
        <f t="shared" si="7"/>
        <v>MeasuredValueReactivePowerBSecondary</v>
      </c>
      <c r="B509" s="51" t="s">
        <v>2169</v>
      </c>
      <c r="C509" s="51" t="s">
        <v>1532</v>
      </c>
      <c r="D509" s="51" t="s">
        <v>1563</v>
      </c>
      <c r="E509" s="51" t="s">
        <v>1587</v>
      </c>
    </row>
    <row r="510" spans="1:5" ht="30" x14ac:dyDescent="0.2">
      <c r="A510" s="50" t="str">
        <f t="shared" si="7"/>
        <v>MeasuredValueReactivePowerCSecondary</v>
      </c>
      <c r="B510" s="51" t="s">
        <v>2170</v>
      </c>
      <c r="C510" s="51" t="s">
        <v>1532</v>
      </c>
      <c r="D510" s="51" t="s">
        <v>1563</v>
      </c>
      <c r="E510" s="51" t="s">
        <v>1594</v>
      </c>
    </row>
    <row r="511" spans="1:5" ht="30" x14ac:dyDescent="0.2">
      <c r="A511" s="50" t="str">
        <f t="shared" si="7"/>
        <v>MeasuredValueApparentPowerABCSecondary</v>
      </c>
      <c r="B511" s="51" t="s">
        <v>2171</v>
      </c>
      <c r="C511" s="51" t="s">
        <v>1532</v>
      </c>
      <c r="D511" s="51" t="s">
        <v>1511</v>
      </c>
      <c r="E511" s="51" t="s">
        <v>1551</v>
      </c>
    </row>
    <row r="512" spans="1:5" ht="30" x14ac:dyDescent="0.2">
      <c r="A512" s="50" t="str">
        <f t="shared" si="7"/>
        <v>MeasuredValueCosPhiABCSecondary</v>
      </c>
      <c r="B512" s="51" t="s">
        <v>2172</v>
      </c>
      <c r="C512" s="51" t="s">
        <v>1532</v>
      </c>
      <c r="D512" s="51" t="s">
        <v>1518</v>
      </c>
      <c r="E512" s="51" t="s">
        <v>1551</v>
      </c>
    </row>
    <row r="513" spans="1:5" ht="15" x14ac:dyDescent="0.2">
      <c r="A513" s="50" t="str">
        <f t="shared" si="7"/>
        <v>MeasuredValueCosPhiASecondary</v>
      </c>
      <c r="B513" s="51" t="s">
        <v>2173</v>
      </c>
      <c r="C513" s="51" t="s">
        <v>1532</v>
      </c>
      <c r="D513" s="51" t="s">
        <v>1518</v>
      </c>
      <c r="E513" s="51" t="s">
        <v>1580</v>
      </c>
    </row>
    <row r="514" spans="1:5" ht="15" x14ac:dyDescent="0.2">
      <c r="A514" s="50" t="str">
        <f t="shared" si="7"/>
        <v>MeasuredValueCosPhiBSecondary</v>
      </c>
      <c r="B514" s="51" t="s">
        <v>2174</v>
      </c>
      <c r="C514" s="51" t="s">
        <v>1532</v>
      </c>
      <c r="D514" s="51" t="s">
        <v>1518</v>
      </c>
      <c r="E514" s="51" t="s">
        <v>1587</v>
      </c>
    </row>
    <row r="515" spans="1:5" ht="15" x14ac:dyDescent="0.2">
      <c r="A515" s="50" t="str">
        <f t="shared" si="7"/>
        <v>MeasuredValueCosPhiCSecondary</v>
      </c>
      <c r="B515" s="51" t="s">
        <v>2175</v>
      </c>
      <c r="C515" s="51" t="s">
        <v>1532</v>
      </c>
      <c r="D515" s="51" t="s">
        <v>1518</v>
      </c>
      <c r="E515" s="51" t="s">
        <v>1594</v>
      </c>
    </row>
    <row r="516" spans="1:5" ht="30" x14ac:dyDescent="0.2">
      <c r="A516" s="50" t="str">
        <f t="shared" si="7"/>
        <v>MeasuredValueActiveEnergyABCSecondary</v>
      </c>
      <c r="B516" s="51" t="s">
        <v>2176</v>
      </c>
      <c r="C516" s="51" t="s">
        <v>1532</v>
      </c>
      <c r="D516" s="51" t="s">
        <v>1526</v>
      </c>
      <c r="E516" s="51" t="s">
        <v>1551</v>
      </c>
    </row>
    <row r="517" spans="1:5" ht="30" x14ac:dyDescent="0.2">
      <c r="A517" s="50" t="str">
        <f t="shared" si="7"/>
        <v>MeasuredValueActiveEnergyASecondary</v>
      </c>
      <c r="B517" s="51" t="s">
        <v>2177</v>
      </c>
      <c r="C517" s="51" t="s">
        <v>1532</v>
      </c>
      <c r="D517" s="51" t="s">
        <v>1526</v>
      </c>
      <c r="E517" s="51" t="s">
        <v>1580</v>
      </c>
    </row>
    <row r="518" spans="1:5" ht="30" x14ac:dyDescent="0.2">
      <c r="A518" s="50" t="str">
        <f t="shared" si="7"/>
        <v>MeasuredValueActiveEnergyBSecondary</v>
      </c>
      <c r="B518" s="51" t="s">
        <v>2178</v>
      </c>
      <c r="C518" s="51" t="s">
        <v>1532</v>
      </c>
      <c r="D518" s="51" t="s">
        <v>1526</v>
      </c>
      <c r="E518" s="51" t="s">
        <v>1587</v>
      </c>
    </row>
    <row r="519" spans="1:5" ht="30" x14ac:dyDescent="0.2">
      <c r="A519" s="50" t="str">
        <f t="shared" si="7"/>
        <v>MeasuredValueActiveEnergyCSecondary</v>
      </c>
      <c r="B519" s="51" t="s">
        <v>2179</v>
      </c>
      <c r="C519" s="51" t="s">
        <v>1532</v>
      </c>
      <c r="D519" s="51" t="s">
        <v>1526</v>
      </c>
      <c r="E519" s="51" t="s">
        <v>1594</v>
      </c>
    </row>
    <row r="520" spans="1:5" ht="30" x14ac:dyDescent="0.2">
      <c r="A520" s="50" t="str">
        <f t="shared" ref="A520:A584" si="8">CONCATENATE(C520,D520,E520)</f>
        <v>MeasuredValueReactiveEnergyABCSecondary</v>
      </c>
      <c r="B520" s="51" t="s">
        <v>2180</v>
      </c>
      <c r="C520" s="51" t="s">
        <v>1532</v>
      </c>
      <c r="D520" s="51" t="s">
        <v>1534</v>
      </c>
      <c r="E520" s="51" t="s">
        <v>1551</v>
      </c>
    </row>
    <row r="521" spans="1:5" ht="30" x14ac:dyDescent="0.2">
      <c r="A521" s="50" t="str">
        <f t="shared" si="8"/>
        <v>MeasuredValueReactiveEnergyASecondary</v>
      </c>
      <c r="B521" s="51" t="s">
        <v>2181</v>
      </c>
      <c r="C521" s="51" t="s">
        <v>1532</v>
      </c>
      <c r="D521" s="51" t="s">
        <v>1534</v>
      </c>
      <c r="E521" s="51" t="s">
        <v>1580</v>
      </c>
    </row>
    <row r="522" spans="1:5" ht="30" x14ac:dyDescent="0.2">
      <c r="A522" s="50" t="str">
        <f t="shared" si="8"/>
        <v>MeasuredValueReactiveEnergyBSecondary</v>
      </c>
      <c r="B522" s="51" t="s">
        <v>2182</v>
      </c>
      <c r="C522" s="51" t="s">
        <v>1532</v>
      </c>
      <c r="D522" s="51" t="s">
        <v>1534</v>
      </c>
      <c r="E522" s="51" t="s">
        <v>1587</v>
      </c>
    </row>
    <row r="523" spans="1:5" ht="30" x14ac:dyDescent="0.2">
      <c r="A523" s="50" t="str">
        <f t="shared" si="8"/>
        <v>MeasuredValueReactiveEnergyCSecondary</v>
      </c>
      <c r="B523" s="51" t="s">
        <v>2183</v>
      </c>
      <c r="C523" s="51" t="s">
        <v>1532</v>
      </c>
      <c r="D523" s="51" t="s">
        <v>1534</v>
      </c>
      <c r="E523" s="51" t="s">
        <v>1594</v>
      </c>
    </row>
    <row r="524" spans="1:5" ht="15" x14ac:dyDescent="0.2">
      <c r="A524" s="50" t="str">
        <f t="shared" si="8"/>
        <v>FaultRecorderVoltageABCSecondary</v>
      </c>
      <c r="B524" s="51" t="s">
        <v>2184</v>
      </c>
      <c r="C524" s="51" t="s">
        <v>1540</v>
      </c>
      <c r="D524" s="51" t="s">
        <v>1469</v>
      </c>
      <c r="E524" s="51" t="s">
        <v>1551</v>
      </c>
    </row>
    <row r="525" spans="1:5" ht="15" x14ac:dyDescent="0.2">
      <c r="A525" s="50" t="str">
        <f t="shared" si="8"/>
        <v>FaultRecorderVoltageASecondary</v>
      </c>
      <c r="B525" s="51" t="s">
        <v>2185</v>
      </c>
      <c r="C525" s="51" t="s">
        <v>1540</v>
      </c>
      <c r="D525" s="51" t="s">
        <v>1469</v>
      </c>
      <c r="E525" s="51" t="s">
        <v>1580</v>
      </c>
    </row>
    <row r="526" spans="1:5" ht="15" x14ac:dyDescent="0.2">
      <c r="A526" s="50" t="str">
        <f t="shared" si="8"/>
        <v>FaultRecorderVoltageBSecondary</v>
      </c>
      <c r="B526" s="51" t="s">
        <v>2186</v>
      </c>
      <c r="C526" s="51" t="s">
        <v>1540</v>
      </c>
      <c r="D526" s="51" t="s">
        <v>1469</v>
      </c>
      <c r="E526" s="51" t="s">
        <v>1587</v>
      </c>
    </row>
    <row r="527" spans="1:5" ht="15" x14ac:dyDescent="0.2">
      <c r="A527" s="50" t="str">
        <f t="shared" si="8"/>
        <v>FaultRecorderVoltageCSecondary</v>
      </c>
      <c r="B527" s="51" t="s">
        <v>2187</v>
      </c>
      <c r="C527" s="51" t="s">
        <v>1540</v>
      </c>
      <c r="D527" s="51" t="s">
        <v>1469</v>
      </c>
      <c r="E527" s="51" t="s">
        <v>1594</v>
      </c>
    </row>
    <row r="528" spans="1:5" ht="15" x14ac:dyDescent="0.2">
      <c r="A528" s="50" t="str">
        <f t="shared" si="8"/>
        <v>FaultRecorderCurrentABCSecondary</v>
      </c>
      <c r="B528" s="51" t="s">
        <v>2188</v>
      </c>
      <c r="C528" s="51" t="s">
        <v>1540</v>
      </c>
      <c r="D528" s="51" t="s">
        <v>1498</v>
      </c>
      <c r="E528" s="51" t="s">
        <v>1551</v>
      </c>
    </row>
    <row r="529" spans="1:5" ht="15" x14ac:dyDescent="0.2">
      <c r="A529" s="50" t="str">
        <f t="shared" si="8"/>
        <v>FaultRecorderCurrentASecondary</v>
      </c>
      <c r="B529" s="51" t="s">
        <v>2189</v>
      </c>
      <c r="C529" s="51" t="s">
        <v>1540</v>
      </c>
      <c r="D529" s="51" t="s">
        <v>1498</v>
      </c>
      <c r="E529" s="51" t="s">
        <v>1580</v>
      </c>
    </row>
    <row r="530" spans="1:5" ht="15" x14ac:dyDescent="0.2">
      <c r="A530" s="50" t="str">
        <f t="shared" si="8"/>
        <v>FaultRecorderCurrentBSecondary</v>
      </c>
      <c r="B530" s="51" t="s">
        <v>2190</v>
      </c>
      <c r="C530" s="51" t="s">
        <v>1540</v>
      </c>
      <c r="D530" s="51" t="s">
        <v>1498</v>
      </c>
      <c r="E530" s="51" t="s">
        <v>1587</v>
      </c>
    </row>
    <row r="531" spans="1:5" ht="15" x14ac:dyDescent="0.2">
      <c r="A531" s="50" t="str">
        <f t="shared" si="8"/>
        <v>FaultRecorderCurrentCSecondary</v>
      </c>
      <c r="B531" s="51" t="s">
        <v>2191</v>
      </c>
      <c r="C531" s="51" t="s">
        <v>1540</v>
      </c>
      <c r="D531" s="51" t="s">
        <v>1498</v>
      </c>
      <c r="E531" s="51" t="s">
        <v>1594</v>
      </c>
    </row>
    <row r="532" spans="1:5" ht="30" x14ac:dyDescent="0.2">
      <c r="A532" s="50" t="str">
        <f t="shared" si="8"/>
        <v>FaultRecorderVoltageAngleABCSecondary</v>
      </c>
      <c r="B532" s="51" t="s">
        <v>2192</v>
      </c>
      <c r="C532" s="51" t="s">
        <v>1540</v>
      </c>
      <c r="D532" s="51" t="s">
        <v>1477</v>
      </c>
      <c r="E532" s="51" t="s">
        <v>1551</v>
      </c>
    </row>
    <row r="533" spans="1:5" ht="30" x14ac:dyDescent="0.2">
      <c r="A533" s="50" t="str">
        <f t="shared" si="8"/>
        <v>FaultRecorderVoltageAngleASecondary</v>
      </c>
      <c r="B533" s="51" t="s">
        <v>2193</v>
      </c>
      <c r="C533" s="51" t="s">
        <v>1540</v>
      </c>
      <c r="D533" s="51" t="s">
        <v>1477</v>
      </c>
      <c r="E533" s="51" t="s">
        <v>1580</v>
      </c>
    </row>
    <row r="534" spans="1:5" ht="30" x14ac:dyDescent="0.2">
      <c r="A534" s="50" t="str">
        <f t="shared" si="8"/>
        <v>FaultRecorderVoltageAngleBSecondary</v>
      </c>
      <c r="B534" s="51" t="s">
        <v>2194</v>
      </c>
      <c r="C534" s="51" t="s">
        <v>1540</v>
      </c>
      <c r="D534" s="51" t="s">
        <v>1477</v>
      </c>
      <c r="E534" s="51" t="s">
        <v>1587</v>
      </c>
    </row>
    <row r="535" spans="1:5" ht="30" x14ac:dyDescent="0.2">
      <c r="A535" s="50" t="str">
        <f t="shared" si="8"/>
        <v>FaultRecorderVoltageAngleCSecondary</v>
      </c>
      <c r="B535" s="51" t="s">
        <v>2195</v>
      </c>
      <c r="C535" s="51" t="s">
        <v>1540</v>
      </c>
      <c r="D535" s="51" t="s">
        <v>1477</v>
      </c>
      <c r="E535" s="51" t="s">
        <v>1594</v>
      </c>
    </row>
    <row r="536" spans="1:5" ht="30" x14ac:dyDescent="0.2">
      <c r="A536" s="50" t="str">
        <f t="shared" si="8"/>
        <v>FaultRecorderCurrentAngleABCSecondary</v>
      </c>
      <c r="B536" s="51" t="s">
        <v>2196</v>
      </c>
      <c r="C536" s="51" t="s">
        <v>1540</v>
      </c>
      <c r="D536" s="51" t="s">
        <v>1542</v>
      </c>
      <c r="E536" s="51" t="s">
        <v>1551</v>
      </c>
    </row>
    <row r="537" spans="1:5" ht="30" x14ac:dyDescent="0.2">
      <c r="A537" s="50" t="str">
        <f t="shared" si="8"/>
        <v>FaultRecorderCurrentAngleASecondary</v>
      </c>
      <c r="B537" s="51" t="s">
        <v>2197</v>
      </c>
      <c r="C537" s="51" t="s">
        <v>1540</v>
      </c>
      <c r="D537" s="51" t="s">
        <v>1542</v>
      </c>
      <c r="E537" s="51" t="s">
        <v>1580</v>
      </c>
    </row>
    <row r="538" spans="1:5" ht="30" x14ac:dyDescent="0.2">
      <c r="A538" s="50" t="str">
        <f t="shared" si="8"/>
        <v>FaultRecorderCurrentAngleBSecondary</v>
      </c>
      <c r="B538" s="51" t="s">
        <v>2198</v>
      </c>
      <c r="C538" s="51" t="s">
        <v>1540</v>
      </c>
      <c r="D538" s="51" t="s">
        <v>1542</v>
      </c>
      <c r="E538" s="51" t="s">
        <v>1587</v>
      </c>
    </row>
    <row r="539" spans="1:5" ht="30" x14ac:dyDescent="0.2">
      <c r="A539" s="50" t="str">
        <f t="shared" si="8"/>
        <v>FaultRecorderCurrentAngleCSecondary</v>
      </c>
      <c r="B539" s="51" t="s">
        <v>2199</v>
      </c>
      <c r="C539" s="51" t="s">
        <v>1540</v>
      </c>
      <c r="D539" s="51" t="s">
        <v>1542</v>
      </c>
      <c r="E539" s="51" t="s">
        <v>1594</v>
      </c>
    </row>
    <row r="540" spans="1:5" ht="30" x14ac:dyDescent="0.2">
      <c r="A540" s="50" t="str">
        <f t="shared" si="8"/>
        <v>MeasuredValueTemperatureABCSecondary</v>
      </c>
      <c r="B540" s="51" t="s">
        <v>2200</v>
      </c>
      <c r="C540" s="51" t="s">
        <v>1532</v>
      </c>
      <c r="D540" s="51" t="s">
        <v>1549</v>
      </c>
      <c r="E540" s="51" t="s">
        <v>1551</v>
      </c>
    </row>
    <row r="541" spans="1:5" ht="30" x14ac:dyDescent="0.2">
      <c r="A541" s="50" t="str">
        <f t="shared" si="8"/>
        <v>MeasuredValueTemperatureASecondary</v>
      </c>
      <c r="B541" s="51" t="s">
        <v>2201</v>
      </c>
      <c r="C541" s="51" t="s">
        <v>1532</v>
      </c>
      <c r="D541" s="51" t="s">
        <v>1549</v>
      </c>
      <c r="E541" s="51" t="s">
        <v>1580</v>
      </c>
    </row>
    <row r="542" spans="1:5" ht="30" x14ac:dyDescent="0.2">
      <c r="A542" s="50" t="str">
        <f t="shared" si="8"/>
        <v>MeasuredValueTemperatureBSecondary</v>
      </c>
      <c r="B542" s="51" t="s">
        <v>2202</v>
      </c>
      <c r="C542" s="51" t="s">
        <v>1532</v>
      </c>
      <c r="D542" s="51" t="s">
        <v>1549</v>
      </c>
      <c r="E542" s="51" t="s">
        <v>1587</v>
      </c>
    </row>
    <row r="543" spans="1:5" ht="30" x14ac:dyDescent="0.2">
      <c r="A543" s="50" t="str">
        <f t="shared" si="8"/>
        <v>MeasuredValueTemperatureCSecondary</v>
      </c>
      <c r="B543" s="51" t="s">
        <v>2203</v>
      </c>
      <c r="C543" s="51" t="s">
        <v>1532</v>
      </c>
      <c r="D543" s="51" t="s">
        <v>1549</v>
      </c>
      <c r="E543" s="51" t="s">
        <v>1594</v>
      </c>
    </row>
    <row r="544" spans="1:5" ht="30" x14ac:dyDescent="0.2">
      <c r="A544" s="50" t="str">
        <f t="shared" si="8"/>
        <v>AnalogSignalType.CustomUnitlessABCSecondary</v>
      </c>
      <c r="B544" s="51" t="s">
        <v>2204</v>
      </c>
      <c r="C544" s="51" t="s">
        <v>1548</v>
      </c>
      <c r="D544" s="51" t="s">
        <v>1556</v>
      </c>
      <c r="E544" s="51" t="s">
        <v>1551</v>
      </c>
    </row>
    <row r="545" spans="1:5" ht="30" x14ac:dyDescent="0.2">
      <c r="A545" s="50" t="str">
        <f t="shared" si="8"/>
        <v>AnalogSignalType.CustomUnitlessASecondary</v>
      </c>
      <c r="B545" s="51" t="s">
        <v>2205</v>
      </c>
      <c r="C545" s="51" t="s">
        <v>1548</v>
      </c>
      <c r="D545" s="51" t="s">
        <v>1556</v>
      </c>
      <c r="E545" s="51" t="s">
        <v>1580</v>
      </c>
    </row>
    <row r="546" spans="1:5" ht="30" x14ac:dyDescent="0.2">
      <c r="A546" s="50" t="str">
        <f t="shared" si="8"/>
        <v>AnalogSignalType.CustomUnitlessBSecondary</v>
      </c>
      <c r="B546" s="51" t="s">
        <v>2206</v>
      </c>
      <c r="C546" s="51" t="s">
        <v>1548</v>
      </c>
      <c r="D546" s="51" t="s">
        <v>1556</v>
      </c>
      <c r="E546" s="51" t="s">
        <v>1587</v>
      </c>
    </row>
    <row r="547" spans="1:5" ht="30" x14ac:dyDescent="0.2">
      <c r="A547" s="50" t="str">
        <f t="shared" si="8"/>
        <v>AnalogSignalType.CustomUnitlessCSecondary</v>
      </c>
      <c r="B547" s="51" t="s">
        <v>2207</v>
      </c>
      <c r="C547" s="51" t="s">
        <v>1548</v>
      </c>
      <c r="D547" s="51" t="s">
        <v>1556</v>
      </c>
      <c r="E547" s="51" t="s">
        <v>1594</v>
      </c>
    </row>
    <row r="548" spans="1:5" ht="30" x14ac:dyDescent="0.2">
      <c r="A548" s="50" t="str">
        <f t="shared" si="8"/>
        <v>AnalogSignalType.CustomVoltageABCSecondary</v>
      </c>
      <c r="B548" s="51" t="s">
        <v>2208</v>
      </c>
      <c r="C548" s="51" t="s">
        <v>1548</v>
      </c>
      <c r="D548" s="51" t="s">
        <v>1469</v>
      </c>
      <c r="E548" s="51" t="s">
        <v>1551</v>
      </c>
    </row>
    <row r="549" spans="1:5" ht="30" x14ac:dyDescent="0.2">
      <c r="A549" s="50" t="str">
        <f t="shared" si="8"/>
        <v>AnalogSignalType.CustomVoltageASecondary</v>
      </c>
      <c r="B549" s="51" t="s">
        <v>2209</v>
      </c>
      <c r="C549" s="51" t="s">
        <v>1548</v>
      </c>
      <c r="D549" s="51" t="s">
        <v>1469</v>
      </c>
      <c r="E549" s="51" t="s">
        <v>1580</v>
      </c>
    </row>
    <row r="550" spans="1:5" ht="30" x14ac:dyDescent="0.2">
      <c r="A550" s="50" t="str">
        <f t="shared" si="8"/>
        <v>AnalogSignalType.CustomVoltageBSecondary</v>
      </c>
      <c r="B550" s="51" t="s">
        <v>2210</v>
      </c>
      <c r="C550" s="51" t="s">
        <v>1548</v>
      </c>
      <c r="D550" s="51" t="s">
        <v>1469</v>
      </c>
      <c r="E550" s="51" t="s">
        <v>1587</v>
      </c>
    </row>
    <row r="551" spans="1:5" ht="30" x14ac:dyDescent="0.2">
      <c r="A551" s="50" t="str">
        <f t="shared" si="8"/>
        <v>AnalogSignalType.CustomVoltageCSecondary</v>
      </c>
      <c r="B551" s="51" t="s">
        <v>2211</v>
      </c>
      <c r="C551" s="51" t="s">
        <v>1548</v>
      </c>
      <c r="D551" s="51" t="s">
        <v>1469</v>
      </c>
      <c r="E551" s="51" t="s">
        <v>1594</v>
      </c>
    </row>
    <row r="552" spans="1:5" ht="30" x14ac:dyDescent="0.2">
      <c r="A552" s="50" t="str">
        <f t="shared" si="8"/>
        <v>AnalogSignalType.CustomCurrentABCSecondary</v>
      </c>
      <c r="B552" s="51" t="s">
        <v>2212</v>
      </c>
      <c r="C552" s="51" t="s">
        <v>1548</v>
      </c>
      <c r="D552" s="51" t="s">
        <v>1498</v>
      </c>
      <c r="E552" s="51" t="s">
        <v>1551</v>
      </c>
    </row>
    <row r="553" spans="1:5" ht="30" x14ac:dyDescent="0.2">
      <c r="A553" s="50" t="str">
        <f t="shared" si="8"/>
        <v>AnalogSignalType.CustomCurrentASecondary</v>
      </c>
      <c r="B553" s="51" t="s">
        <v>2213</v>
      </c>
      <c r="C553" s="51" t="s">
        <v>1548</v>
      </c>
      <c r="D553" s="51" t="s">
        <v>1498</v>
      </c>
      <c r="E553" s="51" t="s">
        <v>1580</v>
      </c>
    </row>
    <row r="554" spans="1:5" ht="30" x14ac:dyDescent="0.2">
      <c r="A554" s="50" t="str">
        <f t="shared" si="8"/>
        <v>AnalogSignalType.CustomCurrentBSecondary</v>
      </c>
      <c r="B554" s="51" t="s">
        <v>2214</v>
      </c>
      <c r="C554" s="51" t="s">
        <v>1548</v>
      </c>
      <c r="D554" s="51" t="s">
        <v>1498</v>
      </c>
      <c r="E554" s="51" t="s">
        <v>1587</v>
      </c>
    </row>
    <row r="555" spans="1:5" ht="30" x14ac:dyDescent="0.2">
      <c r="A555" s="50" t="str">
        <f t="shared" si="8"/>
        <v>AnalogSignalType.CustomCurrentCSecondary</v>
      </c>
      <c r="B555" s="51" t="s">
        <v>2215</v>
      </c>
      <c r="C555" s="51" t="s">
        <v>1548</v>
      </c>
      <c r="D555" s="51" t="s">
        <v>1498</v>
      </c>
      <c r="E555" s="51" t="s">
        <v>1594</v>
      </c>
    </row>
    <row r="556" spans="1:5" ht="30" x14ac:dyDescent="0.2">
      <c r="A556" s="50" t="str">
        <f t="shared" si="8"/>
        <v>AnalogSignalType.CustomCurrentNSecondary</v>
      </c>
      <c r="B556" s="51" t="s">
        <v>2216</v>
      </c>
      <c r="C556" s="51" t="s">
        <v>1548</v>
      </c>
      <c r="D556" s="51" t="s">
        <v>1498</v>
      </c>
      <c r="E556" s="51" t="s">
        <v>1640</v>
      </c>
    </row>
    <row r="557" spans="1:5" ht="30" x14ac:dyDescent="0.2">
      <c r="A557" s="50" t="str">
        <f t="shared" si="8"/>
        <v>AnalogSignalType.CustomActivePowerABCSecondary</v>
      </c>
      <c r="B557" s="51" t="s">
        <v>2217</v>
      </c>
      <c r="C557" s="51" t="s">
        <v>1548</v>
      </c>
      <c r="D557" s="51" t="s">
        <v>1504</v>
      </c>
      <c r="E557" s="51" t="s">
        <v>1551</v>
      </c>
    </row>
    <row r="558" spans="1:5" ht="30" x14ac:dyDescent="0.2">
      <c r="A558" s="50" t="str">
        <f t="shared" si="8"/>
        <v>AnalogSignalType.CustomActivePowerASecondary</v>
      </c>
      <c r="B558" s="51" t="s">
        <v>2218</v>
      </c>
      <c r="C558" s="51" t="s">
        <v>1548</v>
      </c>
      <c r="D558" s="51" t="s">
        <v>1504</v>
      </c>
      <c r="E558" s="51" t="s">
        <v>1580</v>
      </c>
    </row>
    <row r="559" spans="1:5" ht="30" x14ac:dyDescent="0.2">
      <c r="A559" s="50" t="str">
        <f t="shared" si="8"/>
        <v>AnalogSignalType.CustomActivePowerBSecondary</v>
      </c>
      <c r="B559" s="51" t="s">
        <v>2219</v>
      </c>
      <c r="C559" s="51" t="s">
        <v>1548</v>
      </c>
      <c r="D559" s="51" t="s">
        <v>1504</v>
      </c>
      <c r="E559" s="51" t="s">
        <v>1587</v>
      </c>
    </row>
    <row r="560" spans="1:5" ht="30" x14ac:dyDescent="0.2">
      <c r="A560" s="50" t="str">
        <f t="shared" si="8"/>
        <v>AnalogSignalType.CustomActivePowerCSecondary</v>
      </c>
      <c r="B560" s="51" t="s">
        <v>2220</v>
      </c>
      <c r="C560" s="51" t="s">
        <v>1548</v>
      </c>
      <c r="D560" s="51" t="s">
        <v>1504</v>
      </c>
      <c r="E560" s="51" t="s">
        <v>1594</v>
      </c>
    </row>
    <row r="561" spans="1:5" ht="30" x14ac:dyDescent="0.2">
      <c r="A561" s="50" t="str">
        <f t="shared" si="8"/>
        <v>AnalogSignalType.CustomReactivePowerABCSecondary</v>
      </c>
      <c r="B561" s="51" t="s">
        <v>2221</v>
      </c>
      <c r="C561" s="51" t="s">
        <v>1548</v>
      </c>
      <c r="D561" s="51" t="s">
        <v>1563</v>
      </c>
      <c r="E561" s="51" t="s">
        <v>1551</v>
      </c>
    </row>
    <row r="562" spans="1:5" ht="30" x14ac:dyDescent="0.2">
      <c r="A562" s="50" t="str">
        <f t="shared" si="8"/>
        <v>AnalogSignalType.CustomReactivePowerASecondary</v>
      </c>
      <c r="B562" s="51" t="s">
        <v>2222</v>
      </c>
      <c r="C562" s="51" t="s">
        <v>1548</v>
      </c>
      <c r="D562" s="51" t="s">
        <v>1563</v>
      </c>
      <c r="E562" s="51" t="s">
        <v>1580</v>
      </c>
    </row>
    <row r="563" spans="1:5" ht="30" x14ac:dyDescent="0.2">
      <c r="A563" s="50" t="str">
        <f t="shared" si="8"/>
        <v>AnalogSignalType.CustomReactivePowerBSecondary</v>
      </c>
      <c r="B563" s="51" t="s">
        <v>2223</v>
      </c>
      <c r="C563" s="51" t="s">
        <v>1548</v>
      </c>
      <c r="D563" s="51" t="s">
        <v>1563</v>
      </c>
      <c r="E563" s="51" t="s">
        <v>1587</v>
      </c>
    </row>
    <row r="564" spans="1:5" ht="30" x14ac:dyDescent="0.2">
      <c r="A564" s="50" t="str">
        <f t="shared" si="8"/>
        <v>AnalogSignalType.CustomReactivePowerCSecondary</v>
      </c>
      <c r="B564" s="51" t="s">
        <v>2224</v>
      </c>
      <c r="C564" s="51" t="s">
        <v>1548</v>
      </c>
      <c r="D564" s="51" t="s">
        <v>1563</v>
      </c>
      <c r="E564" s="51" t="s">
        <v>1594</v>
      </c>
    </row>
    <row r="565" spans="1:5" ht="30" x14ac:dyDescent="0.2">
      <c r="A565" s="50" t="str">
        <f t="shared" si="8"/>
        <v>AnalogSignalType.CustomFrequencyABCSecondary</v>
      </c>
      <c r="B565" s="51" t="s">
        <v>2225</v>
      </c>
      <c r="C565" s="51" t="s">
        <v>1548</v>
      </c>
      <c r="D565" s="51" t="s">
        <v>1485</v>
      </c>
      <c r="E565" s="51" t="s">
        <v>1551</v>
      </c>
    </row>
    <row r="566" spans="1:5" ht="30" x14ac:dyDescent="0.2">
      <c r="A566" s="50" t="str">
        <f t="shared" si="8"/>
        <v>AnalogSignalType.CustomFrequencyASecondary</v>
      </c>
      <c r="B566" s="51" t="s">
        <v>2226</v>
      </c>
      <c r="C566" s="51" t="s">
        <v>1548</v>
      </c>
      <c r="D566" s="51" t="s">
        <v>1485</v>
      </c>
      <c r="E566" s="51" t="s">
        <v>1580</v>
      </c>
    </row>
    <row r="567" spans="1:5" ht="30" x14ac:dyDescent="0.2">
      <c r="A567" s="50" t="str">
        <f t="shared" si="8"/>
        <v>AnalogSignalType.CustomFrequencyBSecondary</v>
      </c>
      <c r="B567" s="51" t="s">
        <v>2227</v>
      </c>
      <c r="C567" s="51" t="s">
        <v>1548</v>
      </c>
      <c r="D567" s="51" t="s">
        <v>1485</v>
      </c>
      <c r="E567" s="51" t="s">
        <v>1587</v>
      </c>
    </row>
    <row r="568" spans="1:5" ht="30" x14ac:dyDescent="0.2">
      <c r="A568" s="50" t="str">
        <f t="shared" si="8"/>
        <v>AnalogSignalType.CustomFrequencyCSecondary</v>
      </c>
      <c r="B568" s="51" t="s">
        <v>2228</v>
      </c>
      <c r="C568" s="51" t="s">
        <v>1548</v>
      </c>
      <c r="D568" s="51" t="s">
        <v>1485</v>
      </c>
      <c r="E568" s="51" t="s">
        <v>1594</v>
      </c>
    </row>
    <row r="569" spans="1:5" ht="30" x14ac:dyDescent="0.2">
      <c r="A569" s="50" t="str">
        <f t="shared" si="8"/>
        <v>AnalogSignalType.CustomTemperatureABCSecondary</v>
      </c>
      <c r="B569" s="51" t="s">
        <v>2229</v>
      </c>
      <c r="C569" s="51" t="s">
        <v>1548</v>
      </c>
      <c r="D569" s="51" t="s">
        <v>1549</v>
      </c>
      <c r="E569" s="51" t="s">
        <v>1551</v>
      </c>
    </row>
    <row r="570" spans="1:5" ht="30" x14ac:dyDescent="0.2">
      <c r="A570" s="50" t="str">
        <f t="shared" si="8"/>
        <v>AnalogSignalType.CustomTemperatureASecondary</v>
      </c>
      <c r="B570" s="51" t="s">
        <v>2230</v>
      </c>
      <c r="C570" s="51" t="s">
        <v>1548</v>
      </c>
      <c r="D570" s="51" t="s">
        <v>1549</v>
      </c>
      <c r="E570" s="51" t="s">
        <v>1580</v>
      </c>
    </row>
    <row r="571" spans="1:5" ht="30" x14ac:dyDescent="0.2">
      <c r="A571" s="50" t="str">
        <f t="shared" si="8"/>
        <v>AnalogSignalType.CustomTemperatureBSecondary</v>
      </c>
      <c r="B571" s="51" t="s">
        <v>2231</v>
      </c>
      <c r="C571" s="51" t="s">
        <v>1548</v>
      </c>
      <c r="D571" s="51" t="s">
        <v>1549</v>
      </c>
      <c r="E571" s="51" t="s">
        <v>1587</v>
      </c>
    </row>
    <row r="572" spans="1:5" ht="30" x14ac:dyDescent="0.2">
      <c r="A572" s="50" t="str">
        <f t="shared" si="8"/>
        <v>AnalogSignalType.CustomTemperatureCSecondary</v>
      </c>
      <c r="B572" s="51" t="s">
        <v>2232</v>
      </c>
      <c r="C572" s="51" t="s">
        <v>1548</v>
      </c>
      <c r="D572" s="51" t="s">
        <v>1549</v>
      </c>
      <c r="E572" s="51" t="s">
        <v>1594</v>
      </c>
    </row>
    <row r="573" spans="1:5" ht="30" x14ac:dyDescent="0.2">
      <c r="A573" s="50" t="str">
        <f t="shared" si="8"/>
        <v>AnalogSignalType.CustomActiveEnergyABCSecondary</v>
      </c>
      <c r="B573" s="51" t="s">
        <v>2233</v>
      </c>
      <c r="C573" s="51" t="s">
        <v>1548</v>
      </c>
      <c r="D573" s="51" t="s">
        <v>1526</v>
      </c>
      <c r="E573" s="51" t="s">
        <v>1551</v>
      </c>
    </row>
    <row r="574" spans="1:5" ht="30" x14ac:dyDescent="0.2">
      <c r="A574" s="50" t="str">
        <f t="shared" si="8"/>
        <v>AnalogSignalType.CustomActiveEnergyASecondary</v>
      </c>
      <c r="B574" s="51" t="s">
        <v>2234</v>
      </c>
      <c r="C574" s="51" t="s">
        <v>1548</v>
      </c>
      <c r="D574" s="51" t="s">
        <v>1526</v>
      </c>
      <c r="E574" s="51" t="s">
        <v>1580</v>
      </c>
    </row>
    <row r="575" spans="1:5" ht="30" x14ac:dyDescent="0.2">
      <c r="A575" s="50" t="str">
        <f t="shared" si="8"/>
        <v>AnalogSignalType.CustomActiveEnergyBSecondary</v>
      </c>
      <c r="B575" s="51" t="s">
        <v>2235</v>
      </c>
      <c r="C575" s="51" t="s">
        <v>1548</v>
      </c>
      <c r="D575" s="51" t="s">
        <v>1526</v>
      </c>
      <c r="E575" s="51" t="s">
        <v>1587</v>
      </c>
    </row>
    <row r="576" spans="1:5" ht="30" x14ac:dyDescent="0.2">
      <c r="A576" s="50" t="str">
        <f t="shared" si="8"/>
        <v>AnalogSignalType.CustomActiveEnergyCSecondary</v>
      </c>
      <c r="B576" s="51" t="s">
        <v>2236</v>
      </c>
      <c r="C576" s="51" t="s">
        <v>1548</v>
      </c>
      <c r="D576" s="51" t="s">
        <v>1526</v>
      </c>
      <c r="E576" s="51" t="s">
        <v>1594</v>
      </c>
    </row>
    <row r="577" spans="1:5" ht="30" x14ac:dyDescent="0.2">
      <c r="A577" s="50" t="str">
        <f t="shared" si="8"/>
        <v>AnalogSignalType.CustomReactiveEnergyABCSecondary</v>
      </c>
      <c r="B577" s="51" t="s">
        <v>2237</v>
      </c>
      <c r="C577" s="51" t="s">
        <v>1548</v>
      </c>
      <c r="D577" s="51" t="s">
        <v>1534</v>
      </c>
      <c r="E577" s="51" t="s">
        <v>1551</v>
      </c>
    </row>
    <row r="578" spans="1:5" ht="30" x14ac:dyDescent="0.2">
      <c r="A578" s="50" t="str">
        <f t="shared" si="8"/>
        <v>AnalogSignalType.CustomReactiveEnergyASecondary</v>
      </c>
      <c r="B578" s="51" t="s">
        <v>2238</v>
      </c>
      <c r="C578" s="51" t="s">
        <v>1548</v>
      </c>
      <c r="D578" s="51" t="s">
        <v>1534</v>
      </c>
      <c r="E578" s="51" t="s">
        <v>1580</v>
      </c>
    </row>
    <row r="579" spans="1:5" ht="30" x14ac:dyDescent="0.2">
      <c r="A579" s="50" t="str">
        <f t="shared" si="8"/>
        <v>AnalogSignalType.CustomReactiveEnergyBSecondary</v>
      </c>
      <c r="B579" s="51" t="s">
        <v>2239</v>
      </c>
      <c r="C579" s="51" t="s">
        <v>1548</v>
      </c>
      <c r="D579" s="51" t="s">
        <v>1534</v>
      </c>
      <c r="E579" s="51" t="s">
        <v>1587</v>
      </c>
    </row>
    <row r="580" spans="1:5" ht="30" x14ac:dyDescent="0.2">
      <c r="A580" s="50" t="str">
        <f t="shared" si="8"/>
        <v>AnalogSignalType.CustomReactiveEnergyCSecondary</v>
      </c>
      <c r="B580" s="51" t="s">
        <v>2240</v>
      </c>
      <c r="C580" s="51" t="s">
        <v>1548</v>
      </c>
      <c r="D580" s="51" t="s">
        <v>1534</v>
      </c>
      <c r="E580" s="51" t="s">
        <v>1594</v>
      </c>
    </row>
    <row r="581" spans="1:5" ht="30" x14ac:dyDescent="0.2">
      <c r="A581" s="50" t="str">
        <f t="shared" si="8"/>
        <v>AnalogSignalType.CustomApparentPowerABCSecondary</v>
      </c>
      <c r="B581" s="51" t="s">
        <v>2241</v>
      </c>
      <c r="C581" s="51" t="s">
        <v>1548</v>
      </c>
      <c r="D581" s="51" t="s">
        <v>1511</v>
      </c>
      <c r="E581" s="51" t="s">
        <v>1551</v>
      </c>
    </row>
    <row r="582" spans="1:5" ht="30" x14ac:dyDescent="0.2">
      <c r="A582" s="50" t="str">
        <f t="shared" si="8"/>
        <v>AnalogSignalType.CustomApparentPowerASecondary</v>
      </c>
      <c r="B582" s="51" t="s">
        <v>2242</v>
      </c>
      <c r="C582" s="51" t="s">
        <v>1548</v>
      </c>
      <c r="D582" s="51" t="s">
        <v>1511</v>
      </c>
      <c r="E582" s="51" t="s">
        <v>1580</v>
      </c>
    </row>
    <row r="583" spans="1:5" ht="30" x14ac:dyDescent="0.2">
      <c r="A583" s="50" t="str">
        <f t="shared" si="8"/>
        <v>AnalogSignalType.CustomApparentPowerBSecondary</v>
      </c>
      <c r="B583" s="51" t="s">
        <v>2243</v>
      </c>
      <c r="C583" s="51" t="s">
        <v>1548</v>
      </c>
      <c r="D583" s="51" t="s">
        <v>1511</v>
      </c>
      <c r="E583" s="51" t="s">
        <v>1587</v>
      </c>
    </row>
    <row r="584" spans="1:5" ht="30" x14ac:dyDescent="0.2">
      <c r="A584" s="50" t="str">
        <f t="shared" si="8"/>
        <v>AnalogSignalType.CustomApparentPowerCSecondary</v>
      </c>
      <c r="B584" s="51" t="s">
        <v>2244</v>
      </c>
      <c r="C584" s="51" t="s">
        <v>1548</v>
      </c>
      <c r="D584" s="51" t="s">
        <v>1511</v>
      </c>
      <c r="E584" s="51" t="s">
        <v>1594</v>
      </c>
    </row>
    <row r="585" spans="1:5" ht="30" x14ac:dyDescent="0.2">
      <c r="A585" s="50" t="str">
        <f t="shared" ref="A585:A648" si="9">CONCATENATE(C585,D585,E585)</f>
        <v>AnalogSignalType.CustomVoltageAngleABCSecondary</v>
      </c>
      <c r="B585" s="51" t="s">
        <v>2245</v>
      </c>
      <c r="C585" s="51" t="s">
        <v>1548</v>
      </c>
      <c r="D585" s="51" t="s">
        <v>1477</v>
      </c>
      <c r="E585" s="51" t="s">
        <v>1551</v>
      </c>
    </row>
    <row r="586" spans="1:5" ht="30" x14ac:dyDescent="0.2">
      <c r="A586" s="50" t="str">
        <f t="shared" si="9"/>
        <v>AnalogSignalType.CustomVoltageAngleASecondary</v>
      </c>
      <c r="B586" s="51" t="s">
        <v>2246</v>
      </c>
      <c r="C586" s="51" t="s">
        <v>1548</v>
      </c>
      <c r="D586" s="51" t="s">
        <v>1477</v>
      </c>
      <c r="E586" s="51" t="s">
        <v>1580</v>
      </c>
    </row>
    <row r="587" spans="1:5" ht="30" x14ac:dyDescent="0.2">
      <c r="A587" s="50" t="str">
        <f t="shared" si="9"/>
        <v>AnalogSignalType.CustomVoltageAngleBSecondary</v>
      </c>
      <c r="B587" s="51" t="s">
        <v>2247</v>
      </c>
      <c r="C587" s="51" t="s">
        <v>1548</v>
      </c>
      <c r="D587" s="51" t="s">
        <v>1477</v>
      </c>
      <c r="E587" s="51" t="s">
        <v>1587</v>
      </c>
    </row>
    <row r="588" spans="1:5" ht="30" x14ac:dyDescent="0.2">
      <c r="A588" s="50" t="str">
        <f t="shared" si="9"/>
        <v>AnalogSignalType.CustomVoltageAngleCSecondary</v>
      </c>
      <c r="B588" s="51" t="s">
        <v>2248</v>
      </c>
      <c r="C588" s="51" t="s">
        <v>1548</v>
      </c>
      <c r="D588" s="51" t="s">
        <v>1477</v>
      </c>
      <c r="E588" s="51" t="s">
        <v>1594</v>
      </c>
    </row>
    <row r="589" spans="1:5" ht="30" x14ac:dyDescent="0.2">
      <c r="A589" s="50" t="str">
        <f t="shared" si="9"/>
        <v>AnalogSignalType.CustomTimeABCSecondary</v>
      </c>
      <c r="B589" s="51" t="s">
        <v>2249</v>
      </c>
      <c r="C589" s="51" t="s">
        <v>1548</v>
      </c>
      <c r="D589" s="51" t="s">
        <v>1570</v>
      </c>
      <c r="E589" s="51" t="s">
        <v>1551</v>
      </c>
    </row>
    <row r="590" spans="1:5" ht="30" x14ac:dyDescent="0.2">
      <c r="A590" s="50" t="str">
        <f t="shared" si="9"/>
        <v>AnalogSignalType.CustomTimeASecondary</v>
      </c>
      <c r="B590" s="51" t="s">
        <v>2250</v>
      </c>
      <c r="C590" s="51" t="s">
        <v>1548</v>
      </c>
      <c r="D590" s="51" t="s">
        <v>1570</v>
      </c>
      <c r="E590" s="51" t="s">
        <v>1580</v>
      </c>
    </row>
    <row r="591" spans="1:5" ht="30" x14ac:dyDescent="0.2">
      <c r="A591" s="50" t="str">
        <f t="shared" si="9"/>
        <v>AnalogSignalType.CustomTimeBSecondary</v>
      </c>
      <c r="B591" s="51" t="s">
        <v>2251</v>
      </c>
      <c r="C591" s="51" t="s">
        <v>1548</v>
      </c>
      <c r="D591" s="51" t="s">
        <v>1570</v>
      </c>
      <c r="E591" s="51" t="s">
        <v>1587</v>
      </c>
    </row>
    <row r="592" spans="1:5" ht="30" x14ac:dyDescent="0.2">
      <c r="A592" s="50" t="str">
        <f t="shared" si="9"/>
        <v>AnalogSignalType.CustomTimeCSecondary</v>
      </c>
      <c r="B592" s="51" t="s">
        <v>2252</v>
      </c>
      <c r="C592" s="51" t="s">
        <v>1548</v>
      </c>
      <c r="D592" s="51" t="s">
        <v>1570</v>
      </c>
      <c r="E592" s="51" t="s">
        <v>1594</v>
      </c>
    </row>
    <row r="593" spans="1:5" ht="30" x14ac:dyDescent="0.2">
      <c r="A593" s="50" t="str">
        <f t="shared" si="9"/>
        <v>AnalogSignalType.CustomHumidityABCSecondary</v>
      </c>
      <c r="B593" s="51" t="s">
        <v>2253</v>
      </c>
      <c r="C593" s="51" t="s">
        <v>1548</v>
      </c>
      <c r="D593" s="51" t="s">
        <v>1578</v>
      </c>
      <c r="E593" s="51" t="s">
        <v>1551</v>
      </c>
    </row>
    <row r="594" spans="1:5" ht="30" x14ac:dyDescent="0.2">
      <c r="A594" s="50" t="str">
        <f t="shared" si="9"/>
        <v>AnalogSignalType.CustomHumidityASecondary</v>
      </c>
      <c r="B594" s="51" t="s">
        <v>2254</v>
      </c>
      <c r="C594" s="51" t="s">
        <v>1548</v>
      </c>
      <c r="D594" s="51" t="s">
        <v>1578</v>
      </c>
      <c r="E594" s="51" t="s">
        <v>1580</v>
      </c>
    </row>
    <row r="595" spans="1:5" ht="30" x14ac:dyDescent="0.2">
      <c r="A595" s="50" t="str">
        <f t="shared" si="9"/>
        <v>AnalogSignalType.CustomHumidityBSecondary</v>
      </c>
      <c r="B595" s="51" t="s">
        <v>2255</v>
      </c>
      <c r="C595" s="51" t="s">
        <v>1548</v>
      </c>
      <c r="D595" s="51" t="s">
        <v>1578</v>
      </c>
      <c r="E595" s="51" t="s">
        <v>1587</v>
      </c>
    </row>
    <row r="596" spans="1:5" ht="30" x14ac:dyDescent="0.2">
      <c r="A596" s="50" t="str">
        <f t="shared" si="9"/>
        <v>AnalogSignalType.CustomHumidityCSecondary</v>
      </c>
      <c r="B596" s="51" t="s">
        <v>2256</v>
      </c>
      <c r="C596" s="51" t="s">
        <v>1548</v>
      </c>
      <c r="D596" s="51" t="s">
        <v>1578</v>
      </c>
      <c r="E596" s="51" t="s">
        <v>1594</v>
      </c>
    </row>
    <row r="597" spans="1:5" ht="30" x14ac:dyDescent="0.2">
      <c r="A597" s="50" t="str">
        <f t="shared" si="9"/>
        <v>AnalogSignalType.CustomWindSpeedABCSecondary</v>
      </c>
      <c r="B597" s="51" t="s">
        <v>2257</v>
      </c>
      <c r="C597" s="51" t="s">
        <v>1548</v>
      </c>
      <c r="D597" s="51" t="s">
        <v>1585</v>
      </c>
      <c r="E597" s="51" t="s">
        <v>1551</v>
      </c>
    </row>
    <row r="598" spans="1:5" ht="30" x14ac:dyDescent="0.2">
      <c r="A598" s="50" t="str">
        <f t="shared" si="9"/>
        <v>AnalogSignalType.CustomWindSpeedASecondary</v>
      </c>
      <c r="B598" s="51" t="s">
        <v>2258</v>
      </c>
      <c r="C598" s="51" t="s">
        <v>1548</v>
      </c>
      <c r="D598" s="51" t="s">
        <v>1585</v>
      </c>
      <c r="E598" s="51" t="s">
        <v>1580</v>
      </c>
    </row>
    <row r="599" spans="1:5" ht="30" x14ac:dyDescent="0.2">
      <c r="A599" s="50" t="str">
        <f t="shared" si="9"/>
        <v>AnalogSignalType.CustomWindSpeedBSecondary</v>
      </c>
      <c r="B599" s="51" t="s">
        <v>2259</v>
      </c>
      <c r="C599" s="51" t="s">
        <v>1548</v>
      </c>
      <c r="D599" s="51" t="s">
        <v>1585</v>
      </c>
      <c r="E599" s="51" t="s">
        <v>1587</v>
      </c>
    </row>
    <row r="600" spans="1:5" ht="30" x14ac:dyDescent="0.2">
      <c r="A600" s="50" t="str">
        <f t="shared" si="9"/>
        <v>AnalogSignalType.CustomWindSpeedCSecondary</v>
      </c>
      <c r="B600" s="51" t="s">
        <v>2260</v>
      </c>
      <c r="C600" s="51" t="s">
        <v>1548</v>
      </c>
      <c r="D600" s="51" t="s">
        <v>1585</v>
      </c>
      <c r="E600" s="51" t="s">
        <v>1594</v>
      </c>
    </row>
    <row r="601" spans="1:5" ht="30" x14ac:dyDescent="0.2">
      <c r="A601" s="50" t="str">
        <f t="shared" si="9"/>
        <v>AnalogSignalType.CustomFeelsLikeABCSecondary</v>
      </c>
      <c r="B601" s="51" t="s">
        <v>2261</v>
      </c>
      <c r="C601" s="51" t="s">
        <v>1548</v>
      </c>
      <c r="D601" s="51" t="s">
        <v>1592</v>
      </c>
      <c r="E601" s="51" t="s">
        <v>1551</v>
      </c>
    </row>
    <row r="602" spans="1:5" ht="30" x14ac:dyDescent="0.2">
      <c r="A602" s="50" t="str">
        <f t="shared" si="9"/>
        <v>AnalogSignalType.CustomFeelsLikeASecondary</v>
      </c>
      <c r="B602" s="51" t="s">
        <v>2262</v>
      </c>
      <c r="C602" s="51" t="s">
        <v>1548</v>
      </c>
      <c r="D602" s="51" t="s">
        <v>1592</v>
      </c>
      <c r="E602" s="51" t="s">
        <v>1580</v>
      </c>
    </row>
    <row r="603" spans="1:5" ht="30" x14ac:dyDescent="0.2">
      <c r="A603" s="50" t="str">
        <f t="shared" si="9"/>
        <v>AnalogSignalType.CustomFeelsLikeBSecondary</v>
      </c>
      <c r="B603" s="51" t="s">
        <v>2263</v>
      </c>
      <c r="C603" s="51" t="s">
        <v>1548</v>
      </c>
      <c r="D603" s="51" t="s">
        <v>1592</v>
      </c>
      <c r="E603" s="51" t="s">
        <v>1587</v>
      </c>
    </row>
    <row r="604" spans="1:5" ht="30" x14ac:dyDescent="0.2">
      <c r="A604" s="50" t="str">
        <f t="shared" si="9"/>
        <v>AnalogSignalType.CustomFeelsLikeCSecondary</v>
      </c>
      <c r="B604" s="51" t="s">
        <v>2264</v>
      </c>
      <c r="C604" s="51" t="s">
        <v>1548</v>
      </c>
      <c r="D604" s="51" t="s">
        <v>1592</v>
      </c>
      <c r="E604" s="51" t="s">
        <v>1594</v>
      </c>
    </row>
    <row r="605" spans="1:5" ht="30" x14ac:dyDescent="0.2">
      <c r="A605" s="50" t="str">
        <f t="shared" si="9"/>
        <v>AnalogSignalType.CustomSunshineMinutesABCSecondary</v>
      </c>
      <c r="B605" s="51" t="s">
        <v>2265</v>
      </c>
      <c r="C605" s="51" t="s">
        <v>1548</v>
      </c>
      <c r="D605" s="51" t="s">
        <v>1598</v>
      </c>
      <c r="E605" s="51" t="s">
        <v>1551</v>
      </c>
    </row>
    <row r="606" spans="1:5" ht="30" x14ac:dyDescent="0.2">
      <c r="A606" s="50" t="str">
        <f t="shared" si="9"/>
        <v>AnalogSignalType.CustomSunshineMinutesASecondary</v>
      </c>
      <c r="B606" s="51" t="s">
        <v>2266</v>
      </c>
      <c r="C606" s="51" t="s">
        <v>1548</v>
      </c>
      <c r="D606" s="51" t="s">
        <v>1598</v>
      </c>
      <c r="E606" s="51" t="s">
        <v>1580</v>
      </c>
    </row>
    <row r="607" spans="1:5" ht="30" x14ac:dyDescent="0.2">
      <c r="A607" s="50" t="str">
        <f t="shared" si="9"/>
        <v>AnalogSignalType.CustomSunshineMinutesBSecondary</v>
      </c>
      <c r="B607" s="51" t="s">
        <v>2267</v>
      </c>
      <c r="C607" s="51" t="s">
        <v>1548</v>
      </c>
      <c r="D607" s="51" t="s">
        <v>1598</v>
      </c>
      <c r="E607" s="51" t="s">
        <v>1587</v>
      </c>
    </row>
    <row r="608" spans="1:5" ht="30" x14ac:dyDescent="0.2">
      <c r="A608" s="50" t="str">
        <f t="shared" si="9"/>
        <v>AnalogSignalType.CustomSunshineMinutesCSecondary</v>
      </c>
      <c r="B608" s="51" t="s">
        <v>2268</v>
      </c>
      <c r="C608" s="51" t="s">
        <v>1548</v>
      </c>
      <c r="D608" s="51" t="s">
        <v>1598</v>
      </c>
      <c r="E608" s="51" t="s">
        <v>1594</v>
      </c>
    </row>
    <row r="609" spans="1:5" ht="30" x14ac:dyDescent="0.2">
      <c r="A609" s="50" t="str">
        <f t="shared" si="9"/>
        <v>AnalogSignalType.CustomSkyCoverABCSecondary</v>
      </c>
      <c r="B609" s="51" t="s">
        <v>2269</v>
      </c>
      <c r="C609" s="51" t="s">
        <v>1548</v>
      </c>
      <c r="D609" s="51" t="s">
        <v>1605</v>
      </c>
      <c r="E609" s="51" t="s">
        <v>1551</v>
      </c>
    </row>
    <row r="610" spans="1:5" ht="30" x14ac:dyDescent="0.2">
      <c r="A610" s="50" t="str">
        <f t="shared" si="9"/>
        <v>AnalogSignalType.CustomSkyCoverASecondary</v>
      </c>
      <c r="B610" s="51" t="s">
        <v>2270</v>
      </c>
      <c r="C610" s="51" t="s">
        <v>1548</v>
      </c>
      <c r="D610" s="51" t="s">
        <v>1605</v>
      </c>
      <c r="E610" s="51" t="s">
        <v>1580</v>
      </c>
    </row>
    <row r="611" spans="1:5" ht="30" x14ac:dyDescent="0.2">
      <c r="A611" s="50" t="str">
        <f t="shared" si="9"/>
        <v>AnalogSignalType.CustomSkyCoverBSecondary</v>
      </c>
      <c r="B611" s="51" t="s">
        <v>2271</v>
      </c>
      <c r="C611" s="51" t="s">
        <v>1548</v>
      </c>
      <c r="D611" s="51" t="s">
        <v>1605</v>
      </c>
      <c r="E611" s="51" t="s">
        <v>1587</v>
      </c>
    </row>
    <row r="612" spans="1:5" ht="30" x14ac:dyDescent="0.2">
      <c r="A612" s="50" t="str">
        <f t="shared" si="9"/>
        <v>AnalogSignalType.CustomSkyCoverCSecondary</v>
      </c>
      <c r="B612" s="51" t="s">
        <v>2272</v>
      </c>
      <c r="C612" s="51" t="s">
        <v>1548</v>
      </c>
      <c r="D612" s="51" t="s">
        <v>1605</v>
      </c>
      <c r="E612" s="51" t="s">
        <v>1594</v>
      </c>
    </row>
    <row r="613" spans="1:5" ht="30" x14ac:dyDescent="0.2">
      <c r="A613" s="50" t="str">
        <f t="shared" si="9"/>
        <v>AnalogSignalType.CustomLengthABCSecondary</v>
      </c>
      <c r="B613" s="51" t="s">
        <v>2273</v>
      </c>
      <c r="C613" s="51" t="s">
        <v>1548</v>
      </c>
      <c r="D613" s="51" t="s">
        <v>1612</v>
      </c>
      <c r="E613" s="51" t="s">
        <v>1551</v>
      </c>
    </row>
    <row r="614" spans="1:5" ht="30" x14ac:dyDescent="0.2">
      <c r="A614" s="50" t="str">
        <f t="shared" si="9"/>
        <v>AnalogSignalType.CustomLengthASecondary</v>
      </c>
      <c r="B614" s="51" t="s">
        <v>2274</v>
      </c>
      <c r="C614" s="51" t="s">
        <v>1548</v>
      </c>
      <c r="D614" s="51" t="s">
        <v>1612</v>
      </c>
      <c r="E614" s="51" t="s">
        <v>1580</v>
      </c>
    </row>
    <row r="615" spans="1:5" ht="30" x14ac:dyDescent="0.2">
      <c r="A615" s="50" t="str">
        <f t="shared" si="9"/>
        <v>AnalogSignalType.CustomLengthBSecondary</v>
      </c>
      <c r="B615" s="51" t="s">
        <v>2275</v>
      </c>
      <c r="C615" s="51" t="s">
        <v>1548</v>
      </c>
      <c r="D615" s="51" t="s">
        <v>1612</v>
      </c>
      <c r="E615" s="51" t="s">
        <v>1587</v>
      </c>
    </row>
    <row r="616" spans="1:5" ht="30" x14ac:dyDescent="0.2">
      <c r="A616" s="50" t="str">
        <f t="shared" si="9"/>
        <v>AnalogSignalType.CustomLengthCSecondary</v>
      </c>
      <c r="B616" s="51" t="s">
        <v>2276</v>
      </c>
      <c r="C616" s="51" t="s">
        <v>1548</v>
      </c>
      <c r="D616" s="51" t="s">
        <v>1612</v>
      </c>
      <c r="E616" s="51" t="s">
        <v>1594</v>
      </c>
    </row>
    <row r="617" spans="1:5" ht="30" x14ac:dyDescent="0.2">
      <c r="A617" s="50" t="str">
        <f t="shared" si="9"/>
        <v>AnalogSignalType.CustomCrossSectionABCSecondary</v>
      </c>
      <c r="B617" s="51" t="s">
        <v>2277</v>
      </c>
      <c r="C617" s="51" t="s">
        <v>1548</v>
      </c>
      <c r="D617" s="51" t="s">
        <v>1619</v>
      </c>
      <c r="E617" s="51" t="s">
        <v>1551</v>
      </c>
    </row>
    <row r="618" spans="1:5" ht="30" x14ac:dyDescent="0.2">
      <c r="A618" s="50" t="str">
        <f t="shared" si="9"/>
        <v>AnalogSignalType.CustomCrossSectionASecondary</v>
      </c>
      <c r="B618" s="51" t="s">
        <v>2278</v>
      </c>
      <c r="C618" s="51" t="s">
        <v>1548</v>
      </c>
      <c r="D618" s="51" t="s">
        <v>1619</v>
      </c>
      <c r="E618" s="51" t="s">
        <v>1580</v>
      </c>
    </row>
    <row r="619" spans="1:5" ht="30" x14ac:dyDescent="0.2">
      <c r="A619" s="50" t="str">
        <f t="shared" si="9"/>
        <v>AnalogSignalType.CustomCrossSectionBSecondary</v>
      </c>
      <c r="B619" s="51" t="s">
        <v>2279</v>
      </c>
      <c r="C619" s="51" t="s">
        <v>1548</v>
      </c>
      <c r="D619" s="51" t="s">
        <v>1619</v>
      </c>
      <c r="E619" s="51" t="s">
        <v>1587</v>
      </c>
    </row>
    <row r="620" spans="1:5" ht="30" x14ac:dyDescent="0.2">
      <c r="A620" s="50" t="str">
        <f t="shared" si="9"/>
        <v>AnalogSignalType.CustomCrossSectionCSecondary</v>
      </c>
      <c r="B620" s="51" t="s">
        <v>2280</v>
      </c>
      <c r="C620" s="51" t="s">
        <v>1548</v>
      </c>
      <c r="D620" s="51" t="s">
        <v>1619</v>
      </c>
      <c r="E620" s="51" t="s">
        <v>1594</v>
      </c>
    </row>
    <row r="621" spans="1:5" ht="30" x14ac:dyDescent="0.2">
      <c r="A621" s="50" t="str">
        <f t="shared" si="9"/>
        <v>AnalogSignalType.CustomImpedanceABCSecondary</v>
      </c>
      <c r="B621" s="51" t="s">
        <v>2281</v>
      </c>
      <c r="C621" s="51" t="s">
        <v>1548</v>
      </c>
      <c r="D621" s="51" t="s">
        <v>1625</v>
      </c>
      <c r="E621" s="51" t="s">
        <v>1551</v>
      </c>
    </row>
    <row r="622" spans="1:5" ht="30" x14ac:dyDescent="0.2">
      <c r="A622" s="50" t="str">
        <f t="shared" si="9"/>
        <v>AnalogSignalType.CustomImpedanceASecondary</v>
      </c>
      <c r="B622" s="51" t="s">
        <v>2282</v>
      </c>
      <c r="C622" s="51" t="s">
        <v>1548</v>
      </c>
      <c r="D622" s="51" t="s">
        <v>1625</v>
      </c>
      <c r="E622" s="51" t="s">
        <v>1580</v>
      </c>
    </row>
    <row r="623" spans="1:5" ht="30" x14ac:dyDescent="0.2">
      <c r="A623" s="50" t="str">
        <f t="shared" si="9"/>
        <v>AnalogSignalType.CustomImpedanceBSecondary</v>
      </c>
      <c r="B623" s="51" t="s">
        <v>2283</v>
      </c>
      <c r="C623" s="51" t="s">
        <v>1548</v>
      </c>
      <c r="D623" s="51" t="s">
        <v>1625</v>
      </c>
      <c r="E623" s="51" t="s">
        <v>1587</v>
      </c>
    </row>
    <row r="624" spans="1:5" ht="30" x14ac:dyDescent="0.2">
      <c r="A624" s="50" t="str">
        <f t="shared" si="9"/>
        <v>AnalogSignalType.CustomImpedanceCSecondary</v>
      </c>
      <c r="B624" s="51" t="s">
        <v>2284</v>
      </c>
      <c r="C624" s="51" t="s">
        <v>1548</v>
      </c>
      <c r="D624" s="51" t="s">
        <v>1625</v>
      </c>
      <c r="E624" s="51" t="s">
        <v>1594</v>
      </c>
    </row>
    <row r="625" spans="1:5" ht="30" x14ac:dyDescent="0.2">
      <c r="A625" s="50" t="str">
        <f t="shared" si="9"/>
        <v>AnalogSignalType.CustomAdmittanceABCSecondary</v>
      </c>
      <c r="B625" s="51" t="s">
        <v>2285</v>
      </c>
      <c r="C625" s="51" t="s">
        <v>1548</v>
      </c>
      <c r="D625" s="51" t="s">
        <v>1631</v>
      </c>
      <c r="E625" s="51" t="s">
        <v>1551</v>
      </c>
    </row>
    <row r="626" spans="1:5" ht="30" x14ac:dyDescent="0.2">
      <c r="A626" s="50" t="str">
        <f t="shared" si="9"/>
        <v>AnalogSignalType.CustomAdmittanceASecondary</v>
      </c>
      <c r="B626" s="51" t="s">
        <v>2286</v>
      </c>
      <c r="C626" s="51" t="s">
        <v>1548</v>
      </c>
      <c r="D626" s="51" t="s">
        <v>1631</v>
      </c>
      <c r="E626" s="51" t="s">
        <v>1580</v>
      </c>
    </row>
    <row r="627" spans="1:5" ht="30" x14ac:dyDescent="0.2">
      <c r="A627" s="50" t="str">
        <f t="shared" si="9"/>
        <v>AnalogSignalType.CustomAdmittanceBSecondary</v>
      </c>
      <c r="B627" s="51" t="s">
        <v>2287</v>
      </c>
      <c r="C627" s="51" t="s">
        <v>1548</v>
      </c>
      <c r="D627" s="51" t="s">
        <v>1631</v>
      </c>
      <c r="E627" s="51" t="s">
        <v>1587</v>
      </c>
    </row>
    <row r="628" spans="1:5" ht="30" x14ac:dyDescent="0.2">
      <c r="A628" s="50" t="str">
        <f t="shared" si="9"/>
        <v>AnalogSignalType.CustomAdmittanceCSecondary</v>
      </c>
      <c r="B628" s="51" t="s">
        <v>2288</v>
      </c>
      <c r="C628" s="51" t="s">
        <v>1548</v>
      </c>
      <c r="D628" s="51" t="s">
        <v>1631</v>
      </c>
      <c r="E628" s="51" t="s">
        <v>1594</v>
      </c>
    </row>
    <row r="629" spans="1:5" ht="30" x14ac:dyDescent="0.2">
      <c r="A629" s="50" t="str">
        <f t="shared" si="9"/>
        <v>AnalogSignalType.CustomImpedancePerLengthABCSecondary</v>
      </c>
      <c r="B629" s="51" t="s">
        <v>2289</v>
      </c>
      <c r="C629" s="51" t="s">
        <v>1548</v>
      </c>
      <c r="D629" s="51" t="s">
        <v>1638</v>
      </c>
      <c r="E629" s="51" t="s">
        <v>1551</v>
      </c>
    </row>
    <row r="630" spans="1:5" ht="30" x14ac:dyDescent="0.2">
      <c r="A630" s="50" t="str">
        <f t="shared" si="9"/>
        <v>AnalogSignalType.CustomImpedancePerLengthASecondary</v>
      </c>
      <c r="B630" s="51" t="s">
        <v>2290</v>
      </c>
      <c r="C630" s="51" t="s">
        <v>1548</v>
      </c>
      <c r="D630" s="51" t="s">
        <v>1638</v>
      </c>
      <c r="E630" s="51" t="s">
        <v>1580</v>
      </c>
    </row>
    <row r="631" spans="1:5" ht="30" x14ac:dyDescent="0.2">
      <c r="A631" s="50" t="str">
        <f t="shared" si="9"/>
        <v>AnalogSignalType.CustomImpedancePerLengthBSecondary</v>
      </c>
      <c r="B631" s="51" t="s">
        <v>2291</v>
      </c>
      <c r="C631" s="51" t="s">
        <v>1548</v>
      </c>
      <c r="D631" s="51" t="s">
        <v>1638</v>
      </c>
      <c r="E631" s="51" t="s">
        <v>1587</v>
      </c>
    </row>
    <row r="632" spans="1:5" ht="30" x14ac:dyDescent="0.2">
      <c r="A632" s="50" t="str">
        <f t="shared" si="9"/>
        <v>AnalogSignalType.CustomImpedancePerLengthCSecondary</v>
      </c>
      <c r="B632" s="51" t="s">
        <v>2292</v>
      </c>
      <c r="C632" s="51" t="s">
        <v>1548</v>
      </c>
      <c r="D632" s="51" t="s">
        <v>1638</v>
      </c>
      <c r="E632" s="51" t="s">
        <v>1594</v>
      </c>
    </row>
    <row r="633" spans="1:5" ht="30" x14ac:dyDescent="0.2">
      <c r="A633" s="50" t="str">
        <f t="shared" si="9"/>
        <v>AnalogSignalType.CustomAdmittancePerLengthABCSecondary</v>
      </c>
      <c r="B633" s="51" t="s">
        <v>2293</v>
      </c>
      <c r="C633" s="51" t="s">
        <v>1548</v>
      </c>
      <c r="D633" s="51" t="s">
        <v>1645</v>
      </c>
      <c r="E633" s="51" t="s">
        <v>1551</v>
      </c>
    </row>
    <row r="634" spans="1:5" ht="30" x14ac:dyDescent="0.2">
      <c r="A634" s="50" t="str">
        <f t="shared" si="9"/>
        <v>AnalogSignalType.CustomAdmittancePerLengthASecondary</v>
      </c>
      <c r="B634" s="51" t="s">
        <v>2294</v>
      </c>
      <c r="C634" s="51" t="s">
        <v>1548</v>
      </c>
      <c r="D634" s="51" t="s">
        <v>1645</v>
      </c>
      <c r="E634" s="51" t="s">
        <v>1580</v>
      </c>
    </row>
    <row r="635" spans="1:5" ht="30" x14ac:dyDescent="0.2">
      <c r="A635" s="50" t="str">
        <f t="shared" si="9"/>
        <v>AnalogSignalType.CustomAdmittancePerLengthBSecondary</v>
      </c>
      <c r="B635" s="51" t="s">
        <v>2295</v>
      </c>
      <c r="C635" s="51" t="s">
        <v>1548</v>
      </c>
      <c r="D635" s="51" t="s">
        <v>1645</v>
      </c>
      <c r="E635" s="51" t="s">
        <v>1587</v>
      </c>
    </row>
    <row r="636" spans="1:5" ht="30" x14ac:dyDescent="0.2">
      <c r="A636" s="50" t="str">
        <f t="shared" si="9"/>
        <v>AnalogSignalType.CustomAdmittancePerLengthCSecondary</v>
      </c>
      <c r="B636" s="51" t="s">
        <v>2296</v>
      </c>
      <c r="C636" s="51" t="s">
        <v>1548</v>
      </c>
      <c r="D636" s="51" t="s">
        <v>1645</v>
      </c>
      <c r="E636" s="51" t="s">
        <v>1594</v>
      </c>
    </row>
    <row r="637" spans="1:5" ht="30" x14ac:dyDescent="0.2">
      <c r="A637" s="50" t="str">
        <f t="shared" si="9"/>
        <v>AnalogSignalType.CustomPercentABCSecondary</v>
      </c>
      <c r="B637" s="51" t="s">
        <v>2297</v>
      </c>
      <c r="C637" s="51" t="s">
        <v>1548</v>
      </c>
      <c r="D637" s="51" t="s">
        <v>1652</v>
      </c>
      <c r="E637" s="51" t="s">
        <v>1551</v>
      </c>
    </row>
    <row r="638" spans="1:5" ht="30" x14ac:dyDescent="0.2">
      <c r="A638" s="50" t="str">
        <f t="shared" si="9"/>
        <v>AnalogSignalType.CustomPercentASecondary</v>
      </c>
      <c r="B638" s="51" t="s">
        <v>2298</v>
      </c>
      <c r="C638" s="51" t="s">
        <v>1548</v>
      </c>
      <c r="D638" s="51" t="s">
        <v>1652</v>
      </c>
      <c r="E638" s="51" t="s">
        <v>1580</v>
      </c>
    </row>
    <row r="639" spans="1:5" ht="30" x14ac:dyDescent="0.2">
      <c r="A639" s="50" t="str">
        <f t="shared" si="9"/>
        <v>AnalogSignalType.CustomPercentBSecondary</v>
      </c>
      <c r="B639" s="51" t="s">
        <v>2299</v>
      </c>
      <c r="C639" s="51" t="s">
        <v>1548</v>
      </c>
      <c r="D639" s="51" t="s">
        <v>1652</v>
      </c>
      <c r="E639" s="51" t="s">
        <v>1587</v>
      </c>
    </row>
    <row r="640" spans="1:5" ht="30" x14ac:dyDescent="0.2">
      <c r="A640" s="50" t="str">
        <f t="shared" si="9"/>
        <v>AnalogSignalType.CustomPercentCSecondary</v>
      </c>
      <c r="B640" s="51" t="s">
        <v>2300</v>
      </c>
      <c r="C640" s="51" t="s">
        <v>1548</v>
      </c>
      <c r="D640" s="51" t="s">
        <v>1652</v>
      </c>
      <c r="E640" s="51" t="s">
        <v>1594</v>
      </c>
    </row>
    <row r="641" spans="1:5" ht="30" x14ac:dyDescent="0.2">
      <c r="A641" s="50" t="str">
        <f t="shared" si="9"/>
        <v>AnalogSignalType.CustomMoneyABCSecondary</v>
      </c>
      <c r="B641" s="51" t="s">
        <v>2301</v>
      </c>
      <c r="C641" s="51" t="s">
        <v>1548</v>
      </c>
      <c r="D641" s="51" t="s">
        <v>1656</v>
      </c>
      <c r="E641" s="51" t="s">
        <v>1551</v>
      </c>
    </row>
    <row r="642" spans="1:5" ht="30" x14ac:dyDescent="0.2">
      <c r="A642" s="50" t="str">
        <f t="shared" si="9"/>
        <v>AnalogSignalType.CustomMoneyASecondary</v>
      </c>
      <c r="B642" s="51" t="s">
        <v>2302</v>
      </c>
      <c r="C642" s="51" t="s">
        <v>1548</v>
      </c>
      <c r="D642" s="51" t="s">
        <v>1656</v>
      </c>
      <c r="E642" s="51" t="s">
        <v>1580</v>
      </c>
    </row>
    <row r="643" spans="1:5" ht="30" x14ac:dyDescent="0.2">
      <c r="A643" s="50" t="str">
        <f t="shared" si="9"/>
        <v>AnalogSignalType.CustomMoneyBSecondary</v>
      </c>
      <c r="B643" s="51" t="s">
        <v>2303</v>
      </c>
      <c r="C643" s="51" t="s">
        <v>1548</v>
      </c>
      <c r="D643" s="51" t="s">
        <v>1656</v>
      </c>
      <c r="E643" s="51" t="s">
        <v>1587</v>
      </c>
    </row>
    <row r="644" spans="1:5" ht="30" x14ac:dyDescent="0.2">
      <c r="A644" s="50" t="str">
        <f t="shared" si="9"/>
        <v>AnalogSignalType.CustomMoneyCSecondary</v>
      </c>
      <c r="B644" s="51" t="s">
        <v>2304</v>
      </c>
      <c r="C644" s="51" t="s">
        <v>1548</v>
      </c>
      <c r="D644" s="51" t="s">
        <v>1656</v>
      </c>
      <c r="E644" s="51" t="s">
        <v>1594</v>
      </c>
    </row>
    <row r="645" spans="1:5" ht="30" x14ac:dyDescent="0.2">
      <c r="A645" s="50" t="str">
        <f t="shared" si="9"/>
        <v>AnalogSignalType.CustomRelativeVoltageABCSecondary</v>
      </c>
      <c r="B645" s="51" t="s">
        <v>2305</v>
      </c>
      <c r="C645" s="51" t="s">
        <v>1548</v>
      </c>
      <c r="D645" s="51" t="s">
        <v>1491</v>
      </c>
      <c r="E645" s="51" t="s">
        <v>1551</v>
      </c>
    </row>
    <row r="646" spans="1:5" ht="30" x14ac:dyDescent="0.2">
      <c r="A646" s="50" t="str">
        <f t="shared" si="9"/>
        <v>AnalogSignalType.CustomRelativeVoltageASecondary</v>
      </c>
      <c r="B646" s="51" t="s">
        <v>2306</v>
      </c>
      <c r="C646" s="51" t="s">
        <v>1548</v>
      </c>
      <c r="D646" s="51" t="s">
        <v>1491</v>
      </c>
      <c r="E646" s="51" t="s">
        <v>1580</v>
      </c>
    </row>
    <row r="647" spans="1:5" ht="30" x14ac:dyDescent="0.2">
      <c r="A647" s="50" t="str">
        <f t="shared" si="9"/>
        <v>AnalogSignalType.CustomRelativeVoltageBSecondary</v>
      </c>
      <c r="B647" s="51" t="s">
        <v>2307</v>
      </c>
      <c r="C647" s="51" t="s">
        <v>1548</v>
      </c>
      <c r="D647" s="51" t="s">
        <v>1491</v>
      </c>
      <c r="E647" s="51" t="s">
        <v>1587</v>
      </c>
    </row>
    <row r="648" spans="1:5" ht="30" x14ac:dyDescent="0.2">
      <c r="A648" s="50" t="str">
        <f t="shared" si="9"/>
        <v>AnalogSignalType.CustomRelativeVoltageCSecondary</v>
      </c>
      <c r="B648" s="51" t="s">
        <v>2308</v>
      </c>
      <c r="C648" s="51" t="s">
        <v>1548</v>
      </c>
      <c r="D648" s="51" t="s">
        <v>1491</v>
      </c>
      <c r="E648" s="51" t="s">
        <v>1594</v>
      </c>
    </row>
    <row r="649" spans="1:5" ht="30" x14ac:dyDescent="0.2">
      <c r="A649" s="50" t="str">
        <f t="shared" ref="A649:A712" si="10">CONCATENATE(C649,D649,E649)</f>
        <v>AnalogSignalType.CustomInsolationABCSecondary</v>
      </c>
      <c r="B649" s="51" t="s">
        <v>2309</v>
      </c>
      <c r="C649" s="51" t="s">
        <v>1548</v>
      </c>
      <c r="D649" s="51" t="s">
        <v>1660</v>
      </c>
      <c r="E649" s="51" t="s">
        <v>1551</v>
      </c>
    </row>
    <row r="650" spans="1:5" ht="30" x14ac:dyDescent="0.2">
      <c r="A650" s="50" t="str">
        <f t="shared" si="10"/>
        <v>AnalogSignalType.CustomInsolationASecondary</v>
      </c>
      <c r="B650" s="51" t="s">
        <v>2310</v>
      </c>
      <c r="C650" s="51" t="s">
        <v>1548</v>
      </c>
      <c r="D650" s="51" t="s">
        <v>1660</v>
      </c>
      <c r="E650" s="51" t="s">
        <v>1580</v>
      </c>
    </row>
    <row r="651" spans="1:5" ht="30" x14ac:dyDescent="0.2">
      <c r="A651" s="50" t="str">
        <f t="shared" si="10"/>
        <v>AnalogSignalType.CustomInsolationBSecondary</v>
      </c>
      <c r="B651" s="51" t="s">
        <v>2311</v>
      </c>
      <c r="C651" s="51" t="s">
        <v>1548</v>
      </c>
      <c r="D651" s="51" t="s">
        <v>1660</v>
      </c>
      <c r="E651" s="51" t="s">
        <v>1587</v>
      </c>
    </row>
    <row r="652" spans="1:5" ht="30" x14ac:dyDescent="0.2">
      <c r="A652" s="50" t="str">
        <f t="shared" si="10"/>
        <v>AnalogSignalType.CustomInsolationCSecondary</v>
      </c>
      <c r="B652" s="51" t="s">
        <v>2312</v>
      </c>
      <c r="C652" s="51" t="s">
        <v>1548</v>
      </c>
      <c r="D652" s="51" t="s">
        <v>1660</v>
      </c>
      <c r="E652" s="51" t="s">
        <v>1594</v>
      </c>
    </row>
    <row r="653" spans="1:5" ht="30" x14ac:dyDescent="0.2">
      <c r="A653" s="50" t="str">
        <f t="shared" si="10"/>
        <v>AnalogSignalType.CustomCurrentAngleABCSecondary</v>
      </c>
      <c r="B653" s="51" t="s">
        <v>2313</v>
      </c>
      <c r="C653" s="51" t="s">
        <v>1548</v>
      </c>
      <c r="D653" s="51" t="s">
        <v>1542</v>
      </c>
      <c r="E653" s="51" t="s">
        <v>1551</v>
      </c>
    </row>
    <row r="654" spans="1:5" ht="30" x14ac:dyDescent="0.2">
      <c r="A654" s="50" t="str">
        <f t="shared" si="10"/>
        <v>AnalogSignalType.CustomCurrentAngleASecondary</v>
      </c>
      <c r="B654" s="51" t="s">
        <v>2314</v>
      </c>
      <c r="C654" s="51" t="s">
        <v>1548</v>
      </c>
      <c r="D654" s="51" t="s">
        <v>1542</v>
      </c>
      <c r="E654" s="51" t="s">
        <v>1580</v>
      </c>
    </row>
    <row r="655" spans="1:5" ht="30" x14ac:dyDescent="0.2">
      <c r="A655" s="50" t="str">
        <f t="shared" si="10"/>
        <v>AnalogSignalType.CustomCurrentAngleBSecondary</v>
      </c>
      <c r="B655" s="51" t="s">
        <v>2315</v>
      </c>
      <c r="C655" s="51" t="s">
        <v>1548</v>
      </c>
      <c r="D655" s="51" t="s">
        <v>1542</v>
      </c>
      <c r="E655" s="51" t="s">
        <v>1587</v>
      </c>
    </row>
    <row r="656" spans="1:5" ht="30" x14ac:dyDescent="0.2">
      <c r="A656" s="50" t="str">
        <f t="shared" si="10"/>
        <v>AnalogSignalType.CustomCurrentAngleCSecondary</v>
      </c>
      <c r="B656" s="51" t="s">
        <v>2316</v>
      </c>
      <c r="C656" s="51" t="s">
        <v>1548</v>
      </c>
      <c r="D656" s="51" t="s">
        <v>1542</v>
      </c>
      <c r="E656" s="51" t="s">
        <v>1594</v>
      </c>
    </row>
    <row r="657" spans="1:5" ht="30" x14ac:dyDescent="0.2">
      <c r="A657" s="50" t="str">
        <f t="shared" si="10"/>
        <v>AnalogSignalType.CustomRotationSpeedABCSecondary</v>
      </c>
      <c r="B657" s="51" t="s">
        <v>2317</v>
      </c>
      <c r="C657" s="51" t="s">
        <v>1548</v>
      </c>
      <c r="D657" s="51" t="s">
        <v>1664</v>
      </c>
      <c r="E657" s="51" t="s">
        <v>1551</v>
      </c>
    </row>
    <row r="658" spans="1:5" ht="30" x14ac:dyDescent="0.2">
      <c r="A658" s="50" t="str">
        <f t="shared" si="10"/>
        <v>AnalogSignalType.CustomRotationSpeedASecondary</v>
      </c>
      <c r="B658" s="51" t="s">
        <v>2318</v>
      </c>
      <c r="C658" s="51" t="s">
        <v>1548</v>
      </c>
      <c r="D658" s="51" t="s">
        <v>1664</v>
      </c>
      <c r="E658" s="51" t="s">
        <v>1580</v>
      </c>
    </row>
    <row r="659" spans="1:5" ht="30" x14ac:dyDescent="0.2">
      <c r="A659" s="50" t="str">
        <f t="shared" si="10"/>
        <v>AnalogSignalType.CustomRotationSpeedBSecondary</v>
      </c>
      <c r="B659" s="51" t="s">
        <v>2319</v>
      </c>
      <c r="C659" s="51" t="s">
        <v>1548</v>
      </c>
      <c r="D659" s="51" t="s">
        <v>1664</v>
      </c>
      <c r="E659" s="51" t="s">
        <v>1587</v>
      </c>
    </row>
    <row r="660" spans="1:5" ht="30" x14ac:dyDescent="0.2">
      <c r="A660" s="50" t="str">
        <f t="shared" si="10"/>
        <v>AnalogSignalType.CustomRotationSpeedCSecondary</v>
      </c>
      <c r="B660" s="51" t="s">
        <v>2320</v>
      </c>
      <c r="C660" s="51" t="s">
        <v>1548</v>
      </c>
      <c r="D660" s="51" t="s">
        <v>1664</v>
      </c>
      <c r="E660" s="51" t="s">
        <v>1594</v>
      </c>
    </row>
    <row r="661" spans="1:5" ht="30" x14ac:dyDescent="0.2">
      <c r="A661" s="50" t="str">
        <f t="shared" si="10"/>
        <v>AnalogSignalType.CustomMassABCSecondary</v>
      </c>
      <c r="B661" s="51" t="s">
        <v>2321</v>
      </c>
      <c r="C661" s="51" t="s">
        <v>1548</v>
      </c>
      <c r="D661" s="51" t="s">
        <v>1669</v>
      </c>
      <c r="E661" s="51" t="s">
        <v>1551</v>
      </c>
    </row>
    <row r="662" spans="1:5" ht="30" x14ac:dyDescent="0.2">
      <c r="A662" s="50" t="str">
        <f t="shared" si="10"/>
        <v>AnalogSignalType.CustomMassASecondary</v>
      </c>
      <c r="B662" s="51" t="s">
        <v>2322</v>
      </c>
      <c r="C662" s="51" t="s">
        <v>1548</v>
      </c>
      <c r="D662" s="51" t="s">
        <v>1669</v>
      </c>
      <c r="E662" s="51" t="s">
        <v>1580</v>
      </c>
    </row>
    <row r="663" spans="1:5" ht="30" x14ac:dyDescent="0.2">
      <c r="A663" s="50" t="str">
        <f t="shared" si="10"/>
        <v>AnalogSignalType.CustomMassBSecondary</v>
      </c>
      <c r="B663" s="51" t="s">
        <v>2323</v>
      </c>
      <c r="C663" s="51" t="s">
        <v>1548</v>
      </c>
      <c r="D663" s="51" t="s">
        <v>1669</v>
      </c>
      <c r="E663" s="51" t="s">
        <v>1587</v>
      </c>
    </row>
    <row r="664" spans="1:5" ht="30" x14ac:dyDescent="0.2">
      <c r="A664" s="50" t="str">
        <f t="shared" si="10"/>
        <v>AnalogSignalType.CustomMassCSecondary</v>
      </c>
      <c r="B664" s="51" t="s">
        <v>2324</v>
      </c>
      <c r="C664" s="51" t="s">
        <v>1548</v>
      </c>
      <c r="D664" s="51" t="s">
        <v>1669</v>
      </c>
      <c r="E664" s="51" t="s">
        <v>1594</v>
      </c>
    </row>
    <row r="665" spans="1:5" ht="30" x14ac:dyDescent="0.2">
      <c r="A665" s="50" t="str">
        <f t="shared" si="10"/>
        <v>AnalogSignalType.CustomFailureRateABCSecondary</v>
      </c>
      <c r="B665" s="51" t="s">
        <v>2325</v>
      </c>
      <c r="C665" s="51" t="s">
        <v>1548</v>
      </c>
      <c r="D665" s="51" t="s">
        <v>1672</v>
      </c>
      <c r="E665" s="51" t="s">
        <v>1551</v>
      </c>
    </row>
    <row r="666" spans="1:5" ht="30" x14ac:dyDescent="0.2">
      <c r="A666" s="50" t="str">
        <f t="shared" si="10"/>
        <v>AnalogSignalType.CustomFailureRateASecondary</v>
      </c>
      <c r="B666" s="51" t="s">
        <v>2326</v>
      </c>
      <c r="C666" s="51" t="s">
        <v>1548</v>
      </c>
      <c r="D666" s="51" t="s">
        <v>1672</v>
      </c>
      <c r="E666" s="51" t="s">
        <v>1580</v>
      </c>
    </row>
    <row r="667" spans="1:5" ht="30" x14ac:dyDescent="0.2">
      <c r="A667" s="50" t="str">
        <f t="shared" si="10"/>
        <v>AnalogSignalType.CustomFailureRateBSecondary</v>
      </c>
      <c r="B667" s="51" t="s">
        <v>2327</v>
      </c>
      <c r="C667" s="51" t="s">
        <v>1548</v>
      </c>
      <c r="D667" s="51" t="s">
        <v>1672</v>
      </c>
      <c r="E667" s="51" t="s">
        <v>1587</v>
      </c>
    </row>
    <row r="668" spans="1:5" ht="30" x14ac:dyDescent="0.2">
      <c r="A668" s="50" t="str">
        <f t="shared" si="10"/>
        <v>AnalogSignalType.CustomFailureRateCSecondary</v>
      </c>
      <c r="B668" s="51" t="s">
        <v>2328</v>
      </c>
      <c r="C668" s="51" t="s">
        <v>1548</v>
      </c>
      <c r="D668" s="51" t="s">
        <v>1672</v>
      </c>
      <c r="E668" s="51" t="s">
        <v>1594</v>
      </c>
    </row>
    <row r="669" spans="1:5" ht="30" x14ac:dyDescent="0.2">
      <c r="A669" s="50" t="str">
        <f t="shared" si="10"/>
        <v>AnalogSignalType.CustomSoilTemperatureABCSecondary</v>
      </c>
      <c r="B669" s="51" t="s">
        <v>2329</v>
      </c>
      <c r="C669" s="51" t="s">
        <v>1548</v>
      </c>
      <c r="D669" s="51" t="s">
        <v>1676</v>
      </c>
      <c r="E669" s="51" t="s">
        <v>1551</v>
      </c>
    </row>
    <row r="670" spans="1:5" ht="30" x14ac:dyDescent="0.2">
      <c r="A670" s="50" t="str">
        <f t="shared" si="10"/>
        <v>AnalogSignalType.CustomSoilTemperatureASecondary</v>
      </c>
      <c r="B670" s="51" t="s">
        <v>2330</v>
      </c>
      <c r="C670" s="51" t="s">
        <v>1548</v>
      </c>
      <c r="D670" s="51" t="s">
        <v>1676</v>
      </c>
      <c r="E670" s="51" t="s">
        <v>1580</v>
      </c>
    </row>
    <row r="671" spans="1:5" ht="30" x14ac:dyDescent="0.2">
      <c r="A671" s="50" t="str">
        <f t="shared" si="10"/>
        <v>AnalogSignalType.CustomSoilTemperatureBSecondary</v>
      </c>
      <c r="B671" s="51" t="s">
        <v>2331</v>
      </c>
      <c r="C671" s="51" t="s">
        <v>1548</v>
      </c>
      <c r="D671" s="51" t="s">
        <v>1676</v>
      </c>
      <c r="E671" s="51" t="s">
        <v>1587</v>
      </c>
    </row>
    <row r="672" spans="1:5" ht="30" x14ac:dyDescent="0.2">
      <c r="A672" s="50" t="str">
        <f t="shared" si="10"/>
        <v>AnalogSignalType.CustomSoilTemperatureCSecondary</v>
      </c>
      <c r="B672" s="51" t="s">
        <v>2332</v>
      </c>
      <c r="C672" s="51" t="s">
        <v>1548</v>
      </c>
      <c r="D672" s="51" t="s">
        <v>1676</v>
      </c>
      <c r="E672" s="51" t="s">
        <v>1594</v>
      </c>
    </row>
    <row r="673" spans="1:5" ht="30" x14ac:dyDescent="0.2">
      <c r="A673" s="50" t="str">
        <f t="shared" si="10"/>
        <v>AnalogSignalType.CustomOilTemperatureABCSecondary</v>
      </c>
      <c r="B673" s="51" t="s">
        <v>2333</v>
      </c>
      <c r="C673" s="51" t="s">
        <v>1548</v>
      </c>
      <c r="D673" s="51" t="s">
        <v>1680</v>
      </c>
      <c r="E673" s="51" t="s">
        <v>1551</v>
      </c>
    </row>
    <row r="674" spans="1:5" ht="30" x14ac:dyDescent="0.2">
      <c r="A674" s="50" t="str">
        <f t="shared" si="10"/>
        <v>AnalogSignalType.CustomOilTemperatureASecondary</v>
      </c>
      <c r="B674" s="51" t="s">
        <v>2334</v>
      </c>
      <c r="C674" s="51" t="s">
        <v>1548</v>
      </c>
      <c r="D674" s="51" t="s">
        <v>1680</v>
      </c>
      <c r="E674" s="51" t="s">
        <v>1580</v>
      </c>
    </row>
    <row r="675" spans="1:5" ht="30" x14ac:dyDescent="0.2">
      <c r="A675" s="50" t="str">
        <f t="shared" si="10"/>
        <v>AnalogSignalType.CustomOilTemperatureBSecondary</v>
      </c>
      <c r="B675" s="51" t="s">
        <v>2335</v>
      </c>
      <c r="C675" s="51" t="s">
        <v>1548</v>
      </c>
      <c r="D675" s="51" t="s">
        <v>1680</v>
      </c>
      <c r="E675" s="51" t="s">
        <v>1587</v>
      </c>
    </row>
    <row r="676" spans="1:5" ht="30" x14ac:dyDescent="0.2">
      <c r="A676" s="50" t="str">
        <f t="shared" si="10"/>
        <v>AnalogSignalType.CustomOilTemperatureCSecondary</v>
      </c>
      <c r="B676" s="51" t="s">
        <v>2336</v>
      </c>
      <c r="C676" s="51" t="s">
        <v>1548</v>
      </c>
      <c r="D676" s="51" t="s">
        <v>1680</v>
      </c>
      <c r="E676" s="51" t="s">
        <v>1594</v>
      </c>
    </row>
    <row r="677" spans="1:5" ht="30" x14ac:dyDescent="0.2">
      <c r="A677" s="50" t="str">
        <f t="shared" si="10"/>
        <v>AnalogSignalType.CustomHotSpotTemperatureABCSecondary</v>
      </c>
      <c r="B677" s="51" t="s">
        <v>2337</v>
      </c>
      <c r="C677" s="51" t="s">
        <v>1548</v>
      </c>
      <c r="D677" s="51" t="s">
        <v>1684</v>
      </c>
      <c r="E677" s="51" t="s">
        <v>1551</v>
      </c>
    </row>
    <row r="678" spans="1:5" ht="30" x14ac:dyDescent="0.2">
      <c r="A678" s="50" t="str">
        <f t="shared" si="10"/>
        <v>AnalogSignalType.CustomHotSpotTemperatureASecondary</v>
      </c>
      <c r="B678" s="51" t="s">
        <v>2338</v>
      </c>
      <c r="C678" s="51" t="s">
        <v>1548</v>
      </c>
      <c r="D678" s="51" t="s">
        <v>1684</v>
      </c>
      <c r="E678" s="51" t="s">
        <v>1580</v>
      </c>
    </row>
    <row r="679" spans="1:5" ht="30" x14ac:dyDescent="0.2">
      <c r="A679" s="50" t="str">
        <f t="shared" si="10"/>
        <v>AnalogSignalType.CustomHotSpotTemperatureBSecondary</v>
      </c>
      <c r="B679" s="51" t="s">
        <v>2339</v>
      </c>
      <c r="C679" s="51" t="s">
        <v>1548</v>
      </c>
      <c r="D679" s="51" t="s">
        <v>1684</v>
      </c>
      <c r="E679" s="51" t="s">
        <v>1587</v>
      </c>
    </row>
    <row r="680" spans="1:5" ht="30" x14ac:dyDescent="0.2">
      <c r="A680" s="50" t="str">
        <f t="shared" si="10"/>
        <v>AnalogSignalType.CustomHotSpotTemperatureCSecondary</v>
      </c>
      <c r="B680" s="51" t="s">
        <v>2340</v>
      </c>
      <c r="C680" s="51" t="s">
        <v>1548</v>
      </c>
      <c r="D680" s="51" t="s">
        <v>1684</v>
      </c>
      <c r="E680" s="51" t="s">
        <v>1594</v>
      </c>
    </row>
    <row r="681" spans="1:5" ht="30" x14ac:dyDescent="0.2">
      <c r="A681" s="50" t="str">
        <f t="shared" si="10"/>
        <v>AnalogSignalType.CustomAbsoluteDateTimeABCSecondary</v>
      </c>
      <c r="B681" s="51" t="s">
        <v>2341</v>
      </c>
      <c r="C681" s="51" t="s">
        <v>1548</v>
      </c>
      <c r="D681" s="51" t="s">
        <v>1689</v>
      </c>
      <c r="E681" s="51" t="s">
        <v>1551</v>
      </c>
    </row>
    <row r="682" spans="1:5" ht="30" x14ac:dyDescent="0.2">
      <c r="A682" s="50" t="str">
        <f t="shared" si="10"/>
        <v>AnalogSignalType.CustomAbsoluteDateTimeASecondary</v>
      </c>
      <c r="B682" s="51" t="s">
        <v>2342</v>
      </c>
      <c r="C682" s="51" t="s">
        <v>1548</v>
      </c>
      <c r="D682" s="51" t="s">
        <v>1689</v>
      </c>
      <c r="E682" s="51" t="s">
        <v>1580</v>
      </c>
    </row>
    <row r="683" spans="1:5" ht="30" x14ac:dyDescent="0.2">
      <c r="A683" s="50" t="str">
        <f t="shared" si="10"/>
        <v>AnalogSignalType.CustomAbsoluteDateTimeBSecondary</v>
      </c>
      <c r="B683" s="51" t="s">
        <v>2343</v>
      </c>
      <c r="C683" s="51" t="s">
        <v>1548</v>
      </c>
      <c r="D683" s="51" t="s">
        <v>1689</v>
      </c>
      <c r="E683" s="51" t="s">
        <v>1587</v>
      </c>
    </row>
    <row r="684" spans="1:5" ht="30" x14ac:dyDescent="0.2">
      <c r="A684" s="50" t="str">
        <f t="shared" si="10"/>
        <v>AnalogSignalType.CustomAbsoluteDateTimeCSecondary</v>
      </c>
      <c r="B684" s="51" t="s">
        <v>2344</v>
      </c>
      <c r="C684" s="51" t="s">
        <v>1548</v>
      </c>
      <c r="D684" s="51" t="s">
        <v>1689</v>
      </c>
      <c r="E684" s="51" t="s">
        <v>1594</v>
      </c>
    </row>
    <row r="685" spans="1:5" ht="30" x14ac:dyDescent="0.2">
      <c r="A685" s="50" t="str">
        <f t="shared" si="10"/>
        <v>AnalogSignalType.CustomLatLongABCSecondary</v>
      </c>
      <c r="B685" s="51" t="s">
        <v>2345</v>
      </c>
      <c r="C685" s="51" t="s">
        <v>1548</v>
      </c>
      <c r="D685" s="51" t="s">
        <v>1694</v>
      </c>
      <c r="E685" s="51" t="s">
        <v>1551</v>
      </c>
    </row>
    <row r="686" spans="1:5" ht="30" x14ac:dyDescent="0.2">
      <c r="A686" s="50" t="str">
        <f t="shared" si="10"/>
        <v>AnalogSignalType.CustomLatLongASecondary</v>
      </c>
      <c r="B686" s="51" t="s">
        <v>2346</v>
      </c>
      <c r="C686" s="51" t="s">
        <v>1548</v>
      </c>
      <c r="D686" s="51" t="s">
        <v>1694</v>
      </c>
      <c r="E686" s="51" t="s">
        <v>1580</v>
      </c>
    </row>
    <row r="687" spans="1:5" ht="30" x14ac:dyDescent="0.2">
      <c r="A687" s="50" t="str">
        <f t="shared" si="10"/>
        <v>AnalogSignalType.CustomLatLongBSecondary</v>
      </c>
      <c r="B687" s="51" t="s">
        <v>2347</v>
      </c>
      <c r="C687" s="51" t="s">
        <v>1548</v>
      </c>
      <c r="D687" s="51" t="s">
        <v>1694</v>
      </c>
      <c r="E687" s="51" t="s">
        <v>1587</v>
      </c>
    </row>
    <row r="688" spans="1:5" ht="30" x14ac:dyDescent="0.2">
      <c r="A688" s="50" t="str">
        <f t="shared" si="10"/>
        <v>AnalogSignalType.CustomLatLongCSecondary</v>
      </c>
      <c r="B688" s="51" t="s">
        <v>2348</v>
      </c>
      <c r="C688" s="51" t="s">
        <v>1548</v>
      </c>
      <c r="D688" s="51" t="s">
        <v>1694</v>
      </c>
      <c r="E688" s="51" t="s">
        <v>1594</v>
      </c>
    </row>
    <row r="689" spans="1:5" ht="15" x14ac:dyDescent="0.2">
      <c r="A689" s="50" t="str">
        <f t="shared" si="10"/>
        <v/>
      </c>
      <c r="B689" s="51"/>
      <c r="C689" s="51"/>
      <c r="D689" s="51"/>
      <c r="E689" s="51" t="s">
        <v>2349</v>
      </c>
    </row>
    <row r="690" spans="1:5" ht="15" x14ac:dyDescent="0.2">
      <c r="A690" s="50" t="str">
        <f t="shared" si="10"/>
        <v>EnabledStatusABC</v>
      </c>
      <c r="B690" s="51" t="s">
        <v>2350</v>
      </c>
      <c r="C690" s="51" t="s">
        <v>34</v>
      </c>
      <c r="D690" s="51" t="s">
        <v>1301</v>
      </c>
      <c r="E690" s="51" t="s">
        <v>1425</v>
      </c>
    </row>
    <row r="691" spans="1:5" ht="15" x14ac:dyDescent="0.2">
      <c r="A691" s="50" t="str">
        <f t="shared" si="10"/>
        <v>EnabledStatusA</v>
      </c>
      <c r="B691" s="51" t="s">
        <v>2351</v>
      </c>
      <c r="C691" s="51" t="s">
        <v>34</v>
      </c>
      <c r="D691" s="51" t="s">
        <v>1301</v>
      </c>
      <c r="E691" s="51" t="s">
        <v>1440</v>
      </c>
    </row>
    <row r="692" spans="1:5" ht="15" x14ac:dyDescent="0.2">
      <c r="A692" s="50" t="str">
        <f t="shared" si="10"/>
        <v>EnabledStatusB</v>
      </c>
      <c r="B692" s="51" t="s">
        <v>2352</v>
      </c>
      <c r="C692" s="51" t="s">
        <v>34</v>
      </c>
      <c r="D692" s="51" t="s">
        <v>1301</v>
      </c>
      <c r="E692" s="51" t="s">
        <v>1456</v>
      </c>
    </row>
    <row r="693" spans="1:5" ht="15" x14ac:dyDescent="0.2">
      <c r="A693" s="50" t="str">
        <f t="shared" si="10"/>
        <v>EnabledStatusC</v>
      </c>
      <c r="B693" s="51" t="s">
        <v>2353</v>
      </c>
      <c r="C693" s="51" t="s">
        <v>34</v>
      </c>
      <c r="D693" s="51" t="s">
        <v>1301</v>
      </c>
      <c r="E693" s="51" t="s">
        <v>1467</v>
      </c>
    </row>
    <row r="694" spans="1:5" ht="15" x14ac:dyDescent="0.2">
      <c r="A694" s="50" t="str">
        <f t="shared" si="10"/>
        <v>TapPositionDiscreteABC</v>
      </c>
      <c r="B694" s="51" t="s">
        <v>2354</v>
      </c>
      <c r="C694" s="51" t="s">
        <v>1310</v>
      </c>
      <c r="D694" s="51" t="s">
        <v>1308</v>
      </c>
      <c r="E694" s="51" t="s">
        <v>1425</v>
      </c>
    </row>
    <row r="695" spans="1:5" ht="15" x14ac:dyDescent="0.2">
      <c r="A695" s="50" t="str">
        <f t="shared" si="10"/>
        <v>TapPositionDiscreteA</v>
      </c>
      <c r="B695" s="51" t="s">
        <v>2355</v>
      </c>
      <c r="C695" s="51" t="s">
        <v>1310</v>
      </c>
      <c r="D695" s="51" t="s">
        <v>1308</v>
      </c>
      <c r="E695" s="51" t="s">
        <v>1440</v>
      </c>
    </row>
    <row r="696" spans="1:5" ht="15" x14ac:dyDescent="0.2">
      <c r="A696" s="50" t="str">
        <f t="shared" si="10"/>
        <v>TapPositionDiscreteB</v>
      </c>
      <c r="B696" s="51" t="s">
        <v>2356</v>
      </c>
      <c r="C696" s="51" t="s">
        <v>1310</v>
      </c>
      <c r="D696" s="51" t="s">
        <v>1308</v>
      </c>
      <c r="E696" s="51" t="s">
        <v>1456</v>
      </c>
    </row>
    <row r="697" spans="1:5" ht="15" x14ac:dyDescent="0.2">
      <c r="A697" s="50" t="str">
        <f t="shared" si="10"/>
        <v>TapPositionDiscreteC</v>
      </c>
      <c r="B697" s="51" t="s">
        <v>2357</v>
      </c>
      <c r="C697" s="51" t="s">
        <v>1310</v>
      </c>
      <c r="D697" s="51" t="s">
        <v>1308</v>
      </c>
      <c r="E697" s="51" t="s">
        <v>1467</v>
      </c>
    </row>
    <row r="698" spans="1:5" ht="15" x14ac:dyDescent="0.2">
      <c r="A698" s="50" t="str">
        <f t="shared" si="10"/>
        <v>TapIncrementStatusABC</v>
      </c>
      <c r="B698" s="51" t="s">
        <v>2358</v>
      </c>
      <c r="C698" s="51" t="s">
        <v>649</v>
      </c>
      <c r="D698" s="51" t="s">
        <v>1301</v>
      </c>
      <c r="E698" s="51" t="s">
        <v>1425</v>
      </c>
    </row>
    <row r="699" spans="1:5" ht="15" x14ac:dyDescent="0.2">
      <c r="A699" s="50" t="str">
        <f t="shared" si="10"/>
        <v>TapIncrementStatusA</v>
      </c>
      <c r="B699" s="51" t="s">
        <v>2359</v>
      </c>
      <c r="C699" s="51" t="s">
        <v>649</v>
      </c>
      <c r="D699" s="51" t="s">
        <v>1301</v>
      </c>
      <c r="E699" s="51" t="s">
        <v>1440</v>
      </c>
    </row>
    <row r="700" spans="1:5" ht="15" x14ac:dyDescent="0.2">
      <c r="A700" s="50" t="str">
        <f t="shared" si="10"/>
        <v>TapIncrementStatusB</v>
      </c>
      <c r="B700" s="51" t="s">
        <v>2360</v>
      </c>
      <c r="C700" s="51" t="s">
        <v>649</v>
      </c>
      <c r="D700" s="51" t="s">
        <v>1301</v>
      </c>
      <c r="E700" s="51" t="s">
        <v>1456</v>
      </c>
    </row>
    <row r="701" spans="1:5" ht="15" x14ac:dyDescent="0.2">
      <c r="A701" s="50" t="str">
        <f t="shared" si="10"/>
        <v>TapIncrementStatusC</v>
      </c>
      <c r="B701" s="51" t="s">
        <v>2361</v>
      </c>
      <c r="C701" s="51" t="s">
        <v>649</v>
      </c>
      <c r="D701" s="51" t="s">
        <v>1301</v>
      </c>
      <c r="E701" s="51" t="s">
        <v>1467</v>
      </c>
    </row>
    <row r="702" spans="1:5" ht="15" x14ac:dyDescent="0.2">
      <c r="A702" s="50" t="str">
        <f t="shared" si="10"/>
        <v>PhaseShiftCurrentAngleABC</v>
      </c>
      <c r="B702" s="51" t="s">
        <v>2362</v>
      </c>
      <c r="C702" s="51" t="s">
        <v>1576</v>
      </c>
      <c r="D702" s="51" t="s">
        <v>1542</v>
      </c>
      <c r="E702" s="51" t="s">
        <v>1425</v>
      </c>
    </row>
    <row r="703" spans="1:5" ht="15" x14ac:dyDescent="0.2">
      <c r="A703" s="50" t="str">
        <f t="shared" si="10"/>
        <v>ReverseModeDiscreteABC</v>
      </c>
      <c r="B703" s="51" t="s">
        <v>2363</v>
      </c>
      <c r="C703" s="51" t="s">
        <v>1378</v>
      </c>
      <c r="D703" s="51" t="s">
        <v>1308</v>
      </c>
      <c r="E703" s="51" t="s">
        <v>1425</v>
      </c>
    </row>
    <row r="704" spans="1:5" ht="15" x14ac:dyDescent="0.2">
      <c r="A704" s="50" t="str">
        <f t="shared" si="10"/>
        <v>ReverseModeDiscreteA</v>
      </c>
      <c r="B704" s="51" t="s">
        <v>2364</v>
      </c>
      <c r="C704" s="51" t="s">
        <v>1378</v>
      </c>
      <c r="D704" s="51" t="s">
        <v>1308</v>
      </c>
      <c r="E704" s="51" t="s">
        <v>1440</v>
      </c>
    </row>
    <row r="705" spans="1:5" ht="15" x14ac:dyDescent="0.2">
      <c r="A705" s="50" t="str">
        <f t="shared" si="10"/>
        <v>ReverseModeDiscreteB</v>
      </c>
      <c r="B705" s="51" t="s">
        <v>2365</v>
      </c>
      <c r="C705" s="51" t="s">
        <v>1378</v>
      </c>
      <c r="D705" s="51" t="s">
        <v>1308</v>
      </c>
      <c r="E705" s="51" t="s">
        <v>1456</v>
      </c>
    </row>
    <row r="706" spans="1:5" ht="15" x14ac:dyDescent="0.2">
      <c r="A706" s="50" t="str">
        <f t="shared" si="10"/>
        <v>ReverseModeDiscreteC</v>
      </c>
      <c r="B706" s="51" t="s">
        <v>2366</v>
      </c>
      <c r="C706" s="51" t="s">
        <v>1378</v>
      </c>
      <c r="D706" s="51" t="s">
        <v>1308</v>
      </c>
      <c r="E706" s="51" t="s">
        <v>1467</v>
      </c>
    </row>
    <row r="707" spans="1:5" ht="15" x14ac:dyDescent="0.2">
      <c r="A707" s="50" t="str">
        <f t="shared" si="10"/>
        <v>ParallelStatusABC</v>
      </c>
      <c r="B707" s="51" t="s">
        <v>2367</v>
      </c>
      <c r="C707" s="51" t="s">
        <v>451</v>
      </c>
      <c r="D707" s="51" t="s">
        <v>1301</v>
      </c>
      <c r="E707" s="51" t="s">
        <v>1425</v>
      </c>
    </row>
    <row r="708" spans="1:5" ht="15" x14ac:dyDescent="0.2">
      <c r="A708" s="50" t="str">
        <f t="shared" si="10"/>
        <v>ParallelStatusA</v>
      </c>
      <c r="B708" s="51" t="s">
        <v>2368</v>
      </c>
      <c r="C708" s="51" t="s">
        <v>451</v>
      </c>
      <c r="D708" s="51" t="s">
        <v>1301</v>
      </c>
      <c r="E708" s="51" t="s">
        <v>1440</v>
      </c>
    </row>
    <row r="709" spans="1:5" ht="15" x14ac:dyDescent="0.2">
      <c r="A709" s="50" t="str">
        <f t="shared" si="10"/>
        <v>ParallelStatusB</v>
      </c>
      <c r="B709" s="51" t="s">
        <v>2369</v>
      </c>
      <c r="C709" s="51" t="s">
        <v>451</v>
      </c>
      <c r="D709" s="51" t="s">
        <v>1301</v>
      </c>
      <c r="E709" s="51" t="s">
        <v>1456</v>
      </c>
    </row>
    <row r="710" spans="1:5" ht="15" x14ac:dyDescent="0.2">
      <c r="A710" s="50" t="str">
        <f t="shared" si="10"/>
        <v>ParallelStatusC</v>
      </c>
      <c r="B710" s="51" t="s">
        <v>2370</v>
      </c>
      <c r="C710" s="51" t="s">
        <v>451</v>
      </c>
      <c r="D710" s="51" t="s">
        <v>1301</v>
      </c>
      <c r="E710" s="51" t="s">
        <v>1467</v>
      </c>
    </row>
    <row r="711" spans="1:5" ht="15" x14ac:dyDescent="0.2">
      <c r="A711" s="50" t="str">
        <f t="shared" si="10"/>
        <v>EnabledStatusABC</v>
      </c>
      <c r="B711" s="51" t="s">
        <v>2371</v>
      </c>
      <c r="C711" s="51" t="s">
        <v>34</v>
      </c>
      <c r="D711" s="51" t="s">
        <v>1301</v>
      </c>
      <c r="E711" s="51" t="s">
        <v>1425</v>
      </c>
    </row>
    <row r="712" spans="1:5" ht="15" x14ac:dyDescent="0.2">
      <c r="A712" s="50" t="str">
        <f t="shared" si="10"/>
        <v>EnabledStatusA</v>
      </c>
      <c r="B712" s="51" t="s">
        <v>2372</v>
      </c>
      <c r="C712" s="51" t="s">
        <v>34</v>
      </c>
      <c r="D712" s="51" t="s">
        <v>1301</v>
      </c>
      <c r="E712" s="51" t="s">
        <v>1440</v>
      </c>
    </row>
    <row r="713" spans="1:5" ht="15" x14ac:dyDescent="0.2">
      <c r="A713" s="50" t="str">
        <f t="shared" ref="A713:A776" si="11">CONCATENATE(C713,D713,E713)</f>
        <v>EnabledStatusB</v>
      </c>
      <c r="B713" s="51" t="s">
        <v>2373</v>
      </c>
      <c r="C713" s="51" t="s">
        <v>34</v>
      </c>
      <c r="D713" s="51" t="s">
        <v>1301</v>
      </c>
      <c r="E713" s="51" t="s">
        <v>1456</v>
      </c>
    </row>
    <row r="714" spans="1:5" ht="15" x14ac:dyDescent="0.2">
      <c r="A714" s="50" t="str">
        <f t="shared" si="11"/>
        <v>EnabledStatusC</v>
      </c>
      <c r="B714" s="51" t="s">
        <v>2374</v>
      </c>
      <c r="C714" s="51" t="s">
        <v>34</v>
      </c>
      <c r="D714" s="51" t="s">
        <v>1301</v>
      </c>
      <c r="E714" s="51" t="s">
        <v>1467</v>
      </c>
    </row>
    <row r="715" spans="1:5" ht="15" x14ac:dyDescent="0.2">
      <c r="A715" s="50" t="str">
        <f t="shared" si="11"/>
        <v>ControlActiveSettingDiscreteABC</v>
      </c>
      <c r="B715" s="51" t="s">
        <v>2375</v>
      </c>
      <c r="C715" s="51" t="s">
        <v>1333</v>
      </c>
      <c r="D715" s="51" t="s">
        <v>1308</v>
      </c>
      <c r="E715" s="51" t="s">
        <v>1425</v>
      </c>
    </row>
    <row r="716" spans="1:5" ht="15" x14ac:dyDescent="0.2">
      <c r="A716" s="50" t="str">
        <f t="shared" si="11"/>
        <v>ControlActiveSettingDiscreteA</v>
      </c>
      <c r="B716" s="51" t="s">
        <v>2376</v>
      </c>
      <c r="C716" s="51" t="s">
        <v>1333</v>
      </c>
      <c r="D716" s="51" t="s">
        <v>1308</v>
      </c>
      <c r="E716" s="51" t="s">
        <v>1440</v>
      </c>
    </row>
    <row r="717" spans="1:5" ht="15" x14ac:dyDescent="0.2">
      <c r="A717" s="50" t="str">
        <f t="shared" si="11"/>
        <v>ControlActiveSettingDiscreteB</v>
      </c>
      <c r="B717" s="51" t="s">
        <v>2377</v>
      </c>
      <c r="C717" s="51" t="s">
        <v>1333</v>
      </c>
      <c r="D717" s="51" t="s">
        <v>1308</v>
      </c>
      <c r="E717" s="51" t="s">
        <v>1456</v>
      </c>
    </row>
    <row r="718" spans="1:5" ht="15" x14ac:dyDescent="0.2">
      <c r="A718" s="50" t="str">
        <f t="shared" si="11"/>
        <v>ControlActiveSettingDiscreteC</v>
      </c>
      <c r="B718" s="51" t="s">
        <v>2378</v>
      </c>
      <c r="C718" s="51" t="s">
        <v>1333</v>
      </c>
      <c r="D718" s="51" t="s">
        <v>1308</v>
      </c>
      <c r="E718" s="51" t="s">
        <v>1467</v>
      </c>
    </row>
    <row r="719" spans="1:5" ht="15" x14ac:dyDescent="0.2">
      <c r="A719" s="50" t="str">
        <f t="shared" si="11"/>
        <v>ControlDelayTimeABC</v>
      </c>
      <c r="B719" s="51" t="s">
        <v>2379</v>
      </c>
      <c r="C719" s="51" t="s">
        <v>1603</v>
      </c>
      <c r="D719" s="51" t="s">
        <v>1570</v>
      </c>
      <c r="E719" s="51" t="s">
        <v>1425</v>
      </c>
    </row>
    <row r="720" spans="1:5" ht="15" x14ac:dyDescent="0.2">
      <c r="A720" s="50" t="str">
        <f t="shared" si="11"/>
        <v>ControlDelayTimeA</v>
      </c>
      <c r="B720" s="51" t="s">
        <v>2380</v>
      </c>
      <c r="C720" s="51" t="s">
        <v>1603</v>
      </c>
      <c r="D720" s="51" t="s">
        <v>1570</v>
      </c>
      <c r="E720" s="51" t="s">
        <v>1440</v>
      </c>
    </row>
    <row r="721" spans="1:5" ht="15" x14ac:dyDescent="0.2">
      <c r="A721" s="50" t="str">
        <f t="shared" si="11"/>
        <v>ControlDelayTimeB</v>
      </c>
      <c r="B721" s="51" t="s">
        <v>2381</v>
      </c>
      <c r="C721" s="51" t="s">
        <v>1603</v>
      </c>
      <c r="D721" s="51" t="s">
        <v>1570</v>
      </c>
      <c r="E721" s="51" t="s">
        <v>1456</v>
      </c>
    </row>
    <row r="722" spans="1:5" ht="15" x14ac:dyDescent="0.2">
      <c r="A722" s="50" t="str">
        <f t="shared" si="11"/>
        <v>ControlDelayTimeC</v>
      </c>
      <c r="B722" s="51" t="s">
        <v>2382</v>
      </c>
      <c r="C722" s="51" t="s">
        <v>1603</v>
      </c>
      <c r="D722" s="51" t="s">
        <v>1570</v>
      </c>
      <c r="E722" s="51" t="s">
        <v>1467</v>
      </c>
    </row>
    <row r="723" spans="1:5" ht="15" x14ac:dyDescent="0.2">
      <c r="A723" s="50" t="str">
        <f t="shared" si="11"/>
        <v>ControlLimitHighVoltageABC</v>
      </c>
      <c r="B723" s="51" t="s">
        <v>2383</v>
      </c>
      <c r="C723" s="51" t="s">
        <v>1610</v>
      </c>
      <c r="D723" s="51" t="s">
        <v>1469</v>
      </c>
      <c r="E723" s="51" t="s">
        <v>1425</v>
      </c>
    </row>
    <row r="724" spans="1:5" ht="15" x14ac:dyDescent="0.2">
      <c r="A724" s="50" t="str">
        <f t="shared" si="11"/>
        <v>ControlLimitHighVoltageA</v>
      </c>
      <c r="B724" s="51" t="s">
        <v>2384</v>
      </c>
      <c r="C724" s="51" t="s">
        <v>1610</v>
      </c>
      <c r="D724" s="51" t="s">
        <v>1469</v>
      </c>
      <c r="E724" s="51" t="s">
        <v>1440</v>
      </c>
    </row>
    <row r="725" spans="1:5" ht="15" x14ac:dyDescent="0.2">
      <c r="A725" s="50" t="str">
        <f t="shared" si="11"/>
        <v>ControlLimitHighVoltageB</v>
      </c>
      <c r="B725" s="51" t="s">
        <v>2385</v>
      </c>
      <c r="C725" s="51" t="s">
        <v>1610</v>
      </c>
      <c r="D725" s="51" t="s">
        <v>1469</v>
      </c>
      <c r="E725" s="51" t="s">
        <v>1456</v>
      </c>
    </row>
    <row r="726" spans="1:5" ht="15" x14ac:dyDescent="0.2">
      <c r="A726" s="50" t="str">
        <f t="shared" si="11"/>
        <v>ControlLimitHighVoltageC</v>
      </c>
      <c r="B726" s="51" t="s">
        <v>2386</v>
      </c>
      <c r="C726" s="51" t="s">
        <v>1610</v>
      </c>
      <c r="D726" s="51" t="s">
        <v>1469</v>
      </c>
      <c r="E726" s="51" t="s">
        <v>1467</v>
      </c>
    </row>
    <row r="727" spans="1:5" ht="15" x14ac:dyDescent="0.2">
      <c r="A727" s="50" t="str">
        <f t="shared" si="11"/>
        <v>ControlLimitHighRelativeVoltageABC</v>
      </c>
      <c r="B727" s="51" t="s">
        <v>2387</v>
      </c>
      <c r="C727" s="51" t="s">
        <v>1610</v>
      </c>
      <c r="D727" s="51" t="s">
        <v>1491</v>
      </c>
      <c r="E727" s="51" t="s">
        <v>1425</v>
      </c>
    </row>
    <row r="728" spans="1:5" ht="15" x14ac:dyDescent="0.2">
      <c r="A728" s="50" t="str">
        <f t="shared" si="11"/>
        <v>ControlLimitHighRelativeVoltageA</v>
      </c>
      <c r="B728" s="51" t="s">
        <v>2388</v>
      </c>
      <c r="C728" s="51" t="s">
        <v>1610</v>
      </c>
      <c r="D728" s="51" t="s">
        <v>1491</v>
      </c>
      <c r="E728" s="51" t="s">
        <v>1440</v>
      </c>
    </row>
    <row r="729" spans="1:5" ht="15" x14ac:dyDescent="0.2">
      <c r="A729" s="50" t="str">
        <f t="shared" si="11"/>
        <v>ControlLimitHighRelativeVoltageB</v>
      </c>
      <c r="B729" s="51" t="s">
        <v>2389</v>
      </c>
      <c r="C729" s="51" t="s">
        <v>1610</v>
      </c>
      <c r="D729" s="51" t="s">
        <v>1491</v>
      </c>
      <c r="E729" s="51" t="s">
        <v>1456</v>
      </c>
    </row>
    <row r="730" spans="1:5" ht="15" x14ac:dyDescent="0.2">
      <c r="A730" s="50" t="str">
        <f t="shared" si="11"/>
        <v>ControlLimitHighRelativeVoltageC</v>
      </c>
      <c r="B730" s="51" t="s">
        <v>2390</v>
      </c>
      <c r="C730" s="51" t="s">
        <v>1610</v>
      </c>
      <c r="D730" s="51" t="s">
        <v>1491</v>
      </c>
      <c r="E730" s="51" t="s">
        <v>1467</v>
      </c>
    </row>
    <row r="731" spans="1:5" ht="15" x14ac:dyDescent="0.2">
      <c r="A731" s="50" t="str">
        <f t="shared" si="11"/>
        <v>ControlLimitHighCurrentABC</v>
      </c>
      <c r="B731" s="51" t="s">
        <v>2391</v>
      </c>
      <c r="C731" s="51" t="s">
        <v>1610</v>
      </c>
      <c r="D731" s="51" t="s">
        <v>1498</v>
      </c>
      <c r="E731" s="51" t="s">
        <v>1425</v>
      </c>
    </row>
    <row r="732" spans="1:5" ht="15" x14ac:dyDescent="0.2">
      <c r="A732" s="50" t="str">
        <f t="shared" si="11"/>
        <v>ControlLimitHighCurrentA</v>
      </c>
      <c r="B732" s="51" t="s">
        <v>2392</v>
      </c>
      <c r="C732" s="51" t="s">
        <v>1610</v>
      </c>
      <c r="D732" s="51" t="s">
        <v>1498</v>
      </c>
      <c r="E732" s="51" t="s">
        <v>1440</v>
      </c>
    </row>
    <row r="733" spans="1:5" ht="15" x14ac:dyDescent="0.2">
      <c r="A733" s="50" t="str">
        <f t="shared" si="11"/>
        <v>ControlLimitHighCurrentB</v>
      </c>
      <c r="B733" s="51" t="s">
        <v>2393</v>
      </c>
      <c r="C733" s="51" t="s">
        <v>1610</v>
      </c>
      <c r="D733" s="51" t="s">
        <v>1498</v>
      </c>
      <c r="E733" s="51" t="s">
        <v>1456</v>
      </c>
    </row>
    <row r="734" spans="1:5" ht="15" x14ac:dyDescent="0.2">
      <c r="A734" s="50" t="str">
        <f t="shared" si="11"/>
        <v>ControlLimitHighCurrentC</v>
      </c>
      <c r="B734" s="51" t="s">
        <v>2394</v>
      </c>
      <c r="C734" s="51" t="s">
        <v>1610</v>
      </c>
      <c r="D734" s="51" t="s">
        <v>1498</v>
      </c>
      <c r="E734" s="51" t="s">
        <v>1467</v>
      </c>
    </row>
    <row r="735" spans="1:5" ht="15" x14ac:dyDescent="0.2">
      <c r="A735" s="50" t="str">
        <f t="shared" si="11"/>
        <v>ControlLimitHighActivePowerABC</v>
      </c>
      <c r="B735" s="51" t="s">
        <v>2395</v>
      </c>
      <c r="C735" s="51" t="s">
        <v>1610</v>
      </c>
      <c r="D735" s="51" t="s">
        <v>1504</v>
      </c>
      <c r="E735" s="51" t="s">
        <v>1425</v>
      </c>
    </row>
    <row r="736" spans="1:5" ht="15" x14ac:dyDescent="0.2">
      <c r="A736" s="50" t="str">
        <f t="shared" si="11"/>
        <v>ControlLimitHighActivePowerA</v>
      </c>
      <c r="B736" s="51" t="s">
        <v>2396</v>
      </c>
      <c r="C736" s="51" t="s">
        <v>1610</v>
      </c>
      <c r="D736" s="51" t="s">
        <v>1504</v>
      </c>
      <c r="E736" s="51" t="s">
        <v>1440</v>
      </c>
    </row>
    <row r="737" spans="1:5" ht="15" x14ac:dyDescent="0.2">
      <c r="A737" s="50" t="str">
        <f t="shared" si="11"/>
        <v>ControlLimitHighActivePowerB</v>
      </c>
      <c r="B737" s="51" t="s">
        <v>2397</v>
      </c>
      <c r="C737" s="51" t="s">
        <v>1610</v>
      </c>
      <c r="D737" s="51" t="s">
        <v>1504</v>
      </c>
      <c r="E737" s="51" t="s">
        <v>1456</v>
      </c>
    </row>
    <row r="738" spans="1:5" ht="15" x14ac:dyDescent="0.2">
      <c r="A738" s="50" t="str">
        <f t="shared" si="11"/>
        <v>ControlLimitHighActivePowerC</v>
      </c>
      <c r="B738" s="51" t="s">
        <v>2398</v>
      </c>
      <c r="C738" s="51" t="s">
        <v>1610</v>
      </c>
      <c r="D738" s="51" t="s">
        <v>1504</v>
      </c>
      <c r="E738" s="51" t="s">
        <v>1467</v>
      </c>
    </row>
    <row r="739" spans="1:5" ht="15" x14ac:dyDescent="0.2">
      <c r="A739" s="50" t="str">
        <f t="shared" si="11"/>
        <v>ControlLimitHighReactivePowerABC</v>
      </c>
      <c r="B739" s="51" t="s">
        <v>2399</v>
      </c>
      <c r="C739" s="51" t="s">
        <v>1610</v>
      </c>
      <c r="D739" s="51" t="s">
        <v>1563</v>
      </c>
      <c r="E739" s="51" t="s">
        <v>1425</v>
      </c>
    </row>
    <row r="740" spans="1:5" ht="15" x14ac:dyDescent="0.2">
      <c r="A740" s="50" t="str">
        <f t="shared" si="11"/>
        <v>ControlLimitHighReactivePowerA</v>
      </c>
      <c r="B740" s="51" t="s">
        <v>2400</v>
      </c>
      <c r="C740" s="51" t="s">
        <v>1610</v>
      </c>
      <c r="D740" s="51" t="s">
        <v>1563</v>
      </c>
      <c r="E740" s="51" t="s">
        <v>1440</v>
      </c>
    </row>
    <row r="741" spans="1:5" ht="15" x14ac:dyDescent="0.2">
      <c r="A741" s="50" t="str">
        <f t="shared" si="11"/>
        <v>ControlLimitHighReactivePowerB</v>
      </c>
      <c r="B741" s="51" t="s">
        <v>2401</v>
      </c>
      <c r="C741" s="51" t="s">
        <v>1610</v>
      </c>
      <c r="D741" s="51" t="s">
        <v>1563</v>
      </c>
      <c r="E741" s="51" t="s">
        <v>1456</v>
      </c>
    </row>
    <row r="742" spans="1:5" ht="15" x14ac:dyDescent="0.2">
      <c r="A742" s="50" t="str">
        <f t="shared" si="11"/>
        <v>ControlLimitHighReactivePowerC</v>
      </c>
      <c r="B742" s="51" t="s">
        <v>2402</v>
      </c>
      <c r="C742" s="51" t="s">
        <v>1610</v>
      </c>
      <c r="D742" s="51" t="s">
        <v>1563</v>
      </c>
      <c r="E742" s="51" t="s">
        <v>1467</v>
      </c>
    </row>
    <row r="743" spans="1:5" ht="15" x14ac:dyDescent="0.2">
      <c r="A743" s="50" t="str">
        <f t="shared" si="11"/>
        <v>ControlLimitHighCosPhiABC</v>
      </c>
      <c r="B743" s="51" t="s">
        <v>2403</v>
      </c>
      <c r="C743" s="51" t="s">
        <v>1610</v>
      </c>
      <c r="D743" s="51" t="s">
        <v>1518</v>
      </c>
      <c r="E743" s="51" t="s">
        <v>1425</v>
      </c>
    </row>
    <row r="744" spans="1:5" ht="15" x14ac:dyDescent="0.2">
      <c r="A744" s="50" t="str">
        <f t="shared" si="11"/>
        <v>ControlLimitHighCosPhiA</v>
      </c>
      <c r="B744" s="51" t="s">
        <v>2404</v>
      </c>
      <c r="C744" s="51" t="s">
        <v>1610</v>
      </c>
      <c r="D744" s="51" t="s">
        <v>1518</v>
      </c>
      <c r="E744" s="51" t="s">
        <v>1440</v>
      </c>
    </row>
    <row r="745" spans="1:5" ht="15" x14ac:dyDescent="0.2">
      <c r="A745" s="50" t="str">
        <f t="shared" si="11"/>
        <v>ControlLimitHighCosPhiB</v>
      </c>
      <c r="B745" s="51" t="s">
        <v>2405</v>
      </c>
      <c r="C745" s="51" t="s">
        <v>1610</v>
      </c>
      <c r="D745" s="51" t="s">
        <v>1518</v>
      </c>
      <c r="E745" s="51" t="s">
        <v>1456</v>
      </c>
    </row>
    <row r="746" spans="1:5" ht="15" x14ac:dyDescent="0.2">
      <c r="A746" s="50" t="str">
        <f t="shared" si="11"/>
        <v>ControlLimitHighCosPhiC</v>
      </c>
      <c r="B746" s="51" t="s">
        <v>2406</v>
      </c>
      <c r="C746" s="51" t="s">
        <v>1610</v>
      </c>
      <c r="D746" s="51" t="s">
        <v>1518</v>
      </c>
      <c r="E746" s="51" t="s">
        <v>1467</v>
      </c>
    </row>
    <row r="747" spans="1:5" ht="15" x14ac:dyDescent="0.2">
      <c r="A747" s="50" t="str">
        <f t="shared" si="11"/>
        <v>ControlLimitHighTemperatureABC</v>
      </c>
      <c r="B747" s="51" t="s">
        <v>2407</v>
      </c>
      <c r="C747" s="51" t="s">
        <v>1610</v>
      </c>
      <c r="D747" s="51" t="s">
        <v>1549</v>
      </c>
      <c r="E747" s="51" t="s">
        <v>1425</v>
      </c>
    </row>
    <row r="748" spans="1:5" ht="15" x14ac:dyDescent="0.2">
      <c r="A748" s="50" t="str">
        <f t="shared" si="11"/>
        <v>ControlLimitHighTemperatureA</v>
      </c>
      <c r="B748" s="51" t="s">
        <v>2408</v>
      </c>
      <c r="C748" s="51" t="s">
        <v>1610</v>
      </c>
      <c r="D748" s="51" t="s">
        <v>1549</v>
      </c>
      <c r="E748" s="51" t="s">
        <v>1440</v>
      </c>
    </row>
    <row r="749" spans="1:5" ht="15" x14ac:dyDescent="0.2">
      <c r="A749" s="50" t="str">
        <f t="shared" si="11"/>
        <v>ControlLimitHighTemperatureB</v>
      </c>
      <c r="B749" s="51" t="s">
        <v>2409</v>
      </c>
      <c r="C749" s="51" t="s">
        <v>1610</v>
      </c>
      <c r="D749" s="51" t="s">
        <v>1549</v>
      </c>
      <c r="E749" s="51" t="s">
        <v>1456</v>
      </c>
    </row>
    <row r="750" spans="1:5" ht="15" x14ac:dyDescent="0.2">
      <c r="A750" s="50" t="str">
        <f t="shared" si="11"/>
        <v>ControlLimitHighTemperatureC</v>
      </c>
      <c r="B750" s="51" t="s">
        <v>2410</v>
      </c>
      <c r="C750" s="51" t="s">
        <v>1610</v>
      </c>
      <c r="D750" s="51" t="s">
        <v>1549</v>
      </c>
      <c r="E750" s="51" t="s">
        <v>1467</v>
      </c>
    </row>
    <row r="751" spans="1:5" ht="15" x14ac:dyDescent="0.2">
      <c r="A751" s="50" t="str">
        <f t="shared" si="11"/>
        <v>ControlLimitLowVoltageABC</v>
      </c>
      <c r="B751" s="51" t="s">
        <v>2411</v>
      </c>
      <c r="C751" s="51" t="s">
        <v>1617</v>
      </c>
      <c r="D751" s="51" t="s">
        <v>1469</v>
      </c>
      <c r="E751" s="51" t="s">
        <v>1425</v>
      </c>
    </row>
    <row r="752" spans="1:5" ht="15" x14ac:dyDescent="0.2">
      <c r="A752" s="50" t="str">
        <f t="shared" si="11"/>
        <v>ControlLimitLowVoltageA</v>
      </c>
      <c r="B752" s="51" t="s">
        <v>2412</v>
      </c>
      <c r="C752" s="51" t="s">
        <v>1617</v>
      </c>
      <c r="D752" s="51" t="s">
        <v>1469</v>
      </c>
      <c r="E752" s="51" t="s">
        <v>1440</v>
      </c>
    </row>
    <row r="753" spans="1:5" ht="15" x14ac:dyDescent="0.2">
      <c r="A753" s="50" t="str">
        <f t="shared" si="11"/>
        <v>ControlLimitLowVoltageB</v>
      </c>
      <c r="B753" s="51" t="s">
        <v>2413</v>
      </c>
      <c r="C753" s="51" t="s">
        <v>1617</v>
      </c>
      <c r="D753" s="51" t="s">
        <v>1469</v>
      </c>
      <c r="E753" s="51" t="s">
        <v>1456</v>
      </c>
    </row>
    <row r="754" spans="1:5" ht="15" x14ac:dyDescent="0.2">
      <c r="A754" s="50" t="str">
        <f t="shared" si="11"/>
        <v>ControlLimitLowVoltageC</v>
      </c>
      <c r="B754" s="51" t="s">
        <v>2414</v>
      </c>
      <c r="C754" s="51" t="s">
        <v>1617</v>
      </c>
      <c r="D754" s="51" t="s">
        <v>1469</v>
      </c>
      <c r="E754" s="51" t="s">
        <v>1467</v>
      </c>
    </row>
    <row r="755" spans="1:5" ht="15" x14ac:dyDescent="0.2">
      <c r="A755" s="50" t="str">
        <f t="shared" si="11"/>
        <v>ControlLimitLowRelativeVoltageABC</v>
      </c>
      <c r="B755" s="51" t="s">
        <v>2415</v>
      </c>
      <c r="C755" s="51" t="s">
        <v>1617</v>
      </c>
      <c r="D755" s="51" t="s">
        <v>1491</v>
      </c>
      <c r="E755" s="51" t="s">
        <v>1425</v>
      </c>
    </row>
    <row r="756" spans="1:5" ht="15" x14ac:dyDescent="0.2">
      <c r="A756" s="50" t="str">
        <f t="shared" si="11"/>
        <v>ControlLimitLowRelativeVoltageA</v>
      </c>
      <c r="B756" s="51" t="s">
        <v>2416</v>
      </c>
      <c r="C756" s="51" t="s">
        <v>1617</v>
      </c>
      <c r="D756" s="51" t="s">
        <v>1491</v>
      </c>
      <c r="E756" s="51" t="s">
        <v>1440</v>
      </c>
    </row>
    <row r="757" spans="1:5" ht="15" x14ac:dyDescent="0.2">
      <c r="A757" s="50" t="str">
        <f t="shared" si="11"/>
        <v>ControlLimitLowRelativeVoltageB</v>
      </c>
      <c r="B757" s="51" t="s">
        <v>2417</v>
      </c>
      <c r="C757" s="51" t="s">
        <v>1617</v>
      </c>
      <c r="D757" s="51" t="s">
        <v>1491</v>
      </c>
      <c r="E757" s="51" t="s">
        <v>1456</v>
      </c>
    </row>
    <row r="758" spans="1:5" ht="15" x14ac:dyDescent="0.2">
      <c r="A758" s="50" t="str">
        <f t="shared" si="11"/>
        <v>ControlLimitLowRelativeVoltageC</v>
      </c>
      <c r="B758" s="51" t="s">
        <v>2418</v>
      </c>
      <c r="C758" s="51" t="s">
        <v>1617</v>
      </c>
      <c r="D758" s="51" t="s">
        <v>1491</v>
      </c>
      <c r="E758" s="51" t="s">
        <v>1467</v>
      </c>
    </row>
    <row r="759" spans="1:5" ht="15" x14ac:dyDescent="0.2">
      <c r="A759" s="50" t="str">
        <f t="shared" si="11"/>
        <v>ControlLimitLowCurrentABC</v>
      </c>
      <c r="B759" s="51" t="s">
        <v>2419</v>
      </c>
      <c r="C759" s="51" t="s">
        <v>1617</v>
      </c>
      <c r="D759" s="51" t="s">
        <v>1498</v>
      </c>
      <c r="E759" s="51" t="s">
        <v>1425</v>
      </c>
    </row>
    <row r="760" spans="1:5" ht="15" x14ac:dyDescent="0.2">
      <c r="A760" s="50" t="str">
        <f t="shared" si="11"/>
        <v>ControlLimitLowCurrentA</v>
      </c>
      <c r="B760" s="51" t="s">
        <v>2420</v>
      </c>
      <c r="C760" s="51" t="s">
        <v>1617</v>
      </c>
      <c r="D760" s="51" t="s">
        <v>1498</v>
      </c>
      <c r="E760" s="51" t="s">
        <v>1440</v>
      </c>
    </row>
    <row r="761" spans="1:5" ht="15" x14ac:dyDescent="0.2">
      <c r="A761" s="50" t="str">
        <f t="shared" si="11"/>
        <v>ControlLimitLowCurrentB</v>
      </c>
      <c r="B761" s="51" t="s">
        <v>2421</v>
      </c>
      <c r="C761" s="51" t="s">
        <v>1617</v>
      </c>
      <c r="D761" s="51" t="s">
        <v>1498</v>
      </c>
      <c r="E761" s="51" t="s">
        <v>1456</v>
      </c>
    </row>
    <row r="762" spans="1:5" ht="15" x14ac:dyDescent="0.2">
      <c r="A762" s="50" t="str">
        <f t="shared" si="11"/>
        <v>ControlLimitLowCurrentC</v>
      </c>
      <c r="B762" s="51" t="s">
        <v>2422</v>
      </c>
      <c r="C762" s="51" t="s">
        <v>1617</v>
      </c>
      <c r="D762" s="51" t="s">
        <v>1498</v>
      </c>
      <c r="E762" s="51" t="s">
        <v>1467</v>
      </c>
    </row>
    <row r="763" spans="1:5" ht="15" x14ac:dyDescent="0.2">
      <c r="A763" s="50" t="str">
        <f t="shared" si="11"/>
        <v>ControlLimitLowActivePowerABC</v>
      </c>
      <c r="B763" s="51" t="s">
        <v>2423</v>
      </c>
      <c r="C763" s="51" t="s">
        <v>1617</v>
      </c>
      <c r="D763" s="51" t="s">
        <v>1504</v>
      </c>
      <c r="E763" s="51" t="s">
        <v>1425</v>
      </c>
    </row>
    <row r="764" spans="1:5" ht="15" x14ac:dyDescent="0.2">
      <c r="A764" s="50" t="str">
        <f t="shared" si="11"/>
        <v>ControlLimitLowActivePowerA</v>
      </c>
      <c r="B764" s="51" t="s">
        <v>2424</v>
      </c>
      <c r="C764" s="51" t="s">
        <v>1617</v>
      </c>
      <c r="D764" s="51" t="s">
        <v>1504</v>
      </c>
      <c r="E764" s="51" t="s">
        <v>1440</v>
      </c>
    </row>
    <row r="765" spans="1:5" ht="15" x14ac:dyDescent="0.2">
      <c r="A765" s="50" t="str">
        <f t="shared" si="11"/>
        <v>ControlLimitLowActivePowerB</v>
      </c>
      <c r="B765" s="51" t="s">
        <v>2425</v>
      </c>
      <c r="C765" s="51" t="s">
        <v>1617</v>
      </c>
      <c r="D765" s="51" t="s">
        <v>1504</v>
      </c>
      <c r="E765" s="51" t="s">
        <v>1456</v>
      </c>
    </row>
    <row r="766" spans="1:5" ht="15" x14ac:dyDescent="0.2">
      <c r="A766" s="50" t="str">
        <f t="shared" si="11"/>
        <v>ControlLimitLowActivePowerC</v>
      </c>
      <c r="B766" s="51" t="s">
        <v>2426</v>
      </c>
      <c r="C766" s="51" t="s">
        <v>1617</v>
      </c>
      <c r="D766" s="51" t="s">
        <v>1504</v>
      </c>
      <c r="E766" s="51" t="s">
        <v>1467</v>
      </c>
    </row>
    <row r="767" spans="1:5" ht="15" x14ac:dyDescent="0.2">
      <c r="A767" s="50" t="str">
        <f t="shared" si="11"/>
        <v>ControlLimitLowReactivePowerABC</v>
      </c>
      <c r="B767" s="51" t="s">
        <v>2427</v>
      </c>
      <c r="C767" s="51" t="s">
        <v>1617</v>
      </c>
      <c r="D767" s="51" t="s">
        <v>1563</v>
      </c>
      <c r="E767" s="51" t="s">
        <v>1425</v>
      </c>
    </row>
    <row r="768" spans="1:5" ht="15" x14ac:dyDescent="0.2">
      <c r="A768" s="50" t="str">
        <f t="shared" si="11"/>
        <v>ControlLimitLowReactivePowerA</v>
      </c>
      <c r="B768" s="51" t="s">
        <v>2428</v>
      </c>
      <c r="C768" s="51" t="s">
        <v>1617</v>
      </c>
      <c r="D768" s="51" t="s">
        <v>1563</v>
      </c>
      <c r="E768" s="51" t="s">
        <v>1440</v>
      </c>
    </row>
    <row r="769" spans="1:5" ht="15" x14ac:dyDescent="0.2">
      <c r="A769" s="50" t="str">
        <f t="shared" si="11"/>
        <v>ControlLimitLowReactivePowerB</v>
      </c>
      <c r="B769" s="51" t="s">
        <v>2429</v>
      </c>
      <c r="C769" s="51" t="s">
        <v>1617</v>
      </c>
      <c r="D769" s="51" t="s">
        <v>1563</v>
      </c>
      <c r="E769" s="51" t="s">
        <v>1456</v>
      </c>
    </row>
    <row r="770" spans="1:5" ht="15" x14ac:dyDescent="0.2">
      <c r="A770" s="50" t="str">
        <f t="shared" si="11"/>
        <v>ControlLimitLowReactivePowerC</v>
      </c>
      <c r="B770" s="51" t="s">
        <v>2430</v>
      </c>
      <c r="C770" s="51" t="s">
        <v>1617</v>
      </c>
      <c r="D770" s="51" t="s">
        <v>1563</v>
      </c>
      <c r="E770" s="51" t="s">
        <v>1467</v>
      </c>
    </row>
    <row r="771" spans="1:5" ht="15" x14ac:dyDescent="0.2">
      <c r="A771" s="50" t="str">
        <f t="shared" si="11"/>
        <v>ControlLimitLowCosPhiABC</v>
      </c>
      <c r="B771" s="51" t="s">
        <v>2431</v>
      </c>
      <c r="C771" s="51" t="s">
        <v>1617</v>
      </c>
      <c r="D771" s="51" t="s">
        <v>1518</v>
      </c>
      <c r="E771" s="51" t="s">
        <v>1425</v>
      </c>
    </row>
    <row r="772" spans="1:5" ht="15" x14ac:dyDescent="0.2">
      <c r="A772" s="50" t="str">
        <f t="shared" si="11"/>
        <v>ControlLimitLowCosPhiA</v>
      </c>
      <c r="B772" s="51" t="s">
        <v>2432</v>
      </c>
      <c r="C772" s="51" t="s">
        <v>1617</v>
      </c>
      <c r="D772" s="51" t="s">
        <v>1518</v>
      </c>
      <c r="E772" s="51" t="s">
        <v>1440</v>
      </c>
    </row>
    <row r="773" spans="1:5" ht="15" x14ac:dyDescent="0.2">
      <c r="A773" s="50" t="str">
        <f t="shared" si="11"/>
        <v>ControlLimitLowCosPhiB</v>
      </c>
      <c r="B773" s="51" t="s">
        <v>2433</v>
      </c>
      <c r="C773" s="51" t="s">
        <v>1617</v>
      </c>
      <c r="D773" s="51" t="s">
        <v>1518</v>
      </c>
      <c r="E773" s="51" t="s">
        <v>1456</v>
      </c>
    </row>
    <row r="774" spans="1:5" ht="15" x14ac:dyDescent="0.2">
      <c r="A774" s="50" t="str">
        <f t="shared" si="11"/>
        <v>ControlLimitLowCosPhiC</v>
      </c>
      <c r="B774" s="51" t="s">
        <v>2434</v>
      </c>
      <c r="C774" s="51" t="s">
        <v>1617</v>
      </c>
      <c r="D774" s="51" t="s">
        <v>1518</v>
      </c>
      <c r="E774" s="51" t="s">
        <v>1467</v>
      </c>
    </row>
    <row r="775" spans="1:5" ht="15" x14ac:dyDescent="0.2">
      <c r="A775" s="50" t="str">
        <f t="shared" si="11"/>
        <v>ControlLimitLowTemperatureABC</v>
      </c>
      <c r="B775" s="51" t="s">
        <v>2435</v>
      </c>
      <c r="C775" s="51" t="s">
        <v>1617</v>
      </c>
      <c r="D775" s="51" t="s">
        <v>1549</v>
      </c>
      <c r="E775" s="51" t="s">
        <v>1425</v>
      </c>
    </row>
    <row r="776" spans="1:5" ht="15" x14ac:dyDescent="0.2">
      <c r="A776" s="50" t="str">
        <f t="shared" si="11"/>
        <v>ControlLimitLowTemperatureA</v>
      </c>
      <c r="B776" s="51" t="s">
        <v>2436</v>
      </c>
      <c r="C776" s="51" t="s">
        <v>1617</v>
      </c>
      <c r="D776" s="51" t="s">
        <v>1549</v>
      </c>
      <c r="E776" s="51" t="s">
        <v>1440</v>
      </c>
    </row>
    <row r="777" spans="1:5" ht="15" x14ac:dyDescent="0.2">
      <c r="A777" s="50" t="str">
        <f t="shared" ref="A777:A840" si="12">CONCATENATE(C777,D777,E777)</f>
        <v>ControlLimitLowTemperatureB</v>
      </c>
      <c r="B777" s="51" t="s">
        <v>2437</v>
      </c>
      <c r="C777" s="51" t="s">
        <v>1617</v>
      </c>
      <c r="D777" s="51" t="s">
        <v>1549</v>
      </c>
      <c r="E777" s="51" t="s">
        <v>1456</v>
      </c>
    </row>
    <row r="778" spans="1:5" ht="15" x14ac:dyDescent="0.2">
      <c r="A778" s="50" t="str">
        <f t="shared" si="12"/>
        <v>ControlLimitLowTemperatureC</v>
      </c>
      <c r="B778" s="51" t="s">
        <v>2438</v>
      </c>
      <c r="C778" s="51" t="s">
        <v>1617</v>
      </c>
      <c r="D778" s="51" t="s">
        <v>1549</v>
      </c>
      <c r="E778" s="51" t="s">
        <v>1467</v>
      </c>
    </row>
    <row r="779" spans="1:5" ht="15" x14ac:dyDescent="0.2">
      <c r="A779" s="50" t="str">
        <f t="shared" si="12"/>
        <v>ControlSetValueVoltageABC</v>
      </c>
      <c r="B779" s="51" t="s">
        <v>2439</v>
      </c>
      <c r="C779" s="51" t="s">
        <v>1623</v>
      </c>
      <c r="D779" s="51" t="s">
        <v>1469</v>
      </c>
      <c r="E779" s="51" t="s">
        <v>1425</v>
      </c>
    </row>
    <row r="780" spans="1:5" ht="15" x14ac:dyDescent="0.2">
      <c r="A780" s="50" t="str">
        <f t="shared" si="12"/>
        <v>ControlSetValueVoltageA</v>
      </c>
      <c r="B780" s="51" t="s">
        <v>2440</v>
      </c>
      <c r="C780" s="51" t="s">
        <v>1623</v>
      </c>
      <c r="D780" s="51" t="s">
        <v>1469</v>
      </c>
      <c r="E780" s="51" t="s">
        <v>1440</v>
      </c>
    </row>
    <row r="781" spans="1:5" ht="15" x14ac:dyDescent="0.2">
      <c r="A781" s="50" t="str">
        <f t="shared" si="12"/>
        <v>ControlSetValueVoltageB</v>
      </c>
      <c r="B781" s="51" t="s">
        <v>2441</v>
      </c>
      <c r="C781" s="51" t="s">
        <v>1623</v>
      </c>
      <c r="D781" s="51" t="s">
        <v>1469</v>
      </c>
      <c r="E781" s="51" t="s">
        <v>1456</v>
      </c>
    </row>
    <row r="782" spans="1:5" ht="15" x14ac:dyDescent="0.2">
      <c r="A782" s="50" t="str">
        <f t="shared" si="12"/>
        <v>ControlSetValueVoltageC</v>
      </c>
      <c r="B782" s="51" t="s">
        <v>2442</v>
      </c>
      <c r="C782" s="51" t="s">
        <v>1623</v>
      </c>
      <c r="D782" s="51" t="s">
        <v>1469</v>
      </c>
      <c r="E782" s="51" t="s">
        <v>1467</v>
      </c>
    </row>
    <row r="783" spans="1:5" ht="15" x14ac:dyDescent="0.2">
      <c r="A783" s="50" t="str">
        <f t="shared" si="12"/>
        <v>ControlSetValueRelativeVoltageABC</v>
      </c>
      <c r="B783" s="51" t="s">
        <v>2443</v>
      </c>
      <c r="C783" s="51" t="s">
        <v>1623</v>
      </c>
      <c r="D783" s="51" t="s">
        <v>1491</v>
      </c>
      <c r="E783" s="51" t="s">
        <v>1425</v>
      </c>
    </row>
    <row r="784" spans="1:5" ht="15" x14ac:dyDescent="0.2">
      <c r="A784" s="50" t="str">
        <f t="shared" si="12"/>
        <v>ControlSetValueRelativeVoltageA</v>
      </c>
      <c r="B784" s="51" t="s">
        <v>2444</v>
      </c>
      <c r="C784" s="51" t="s">
        <v>1623</v>
      </c>
      <c r="D784" s="51" t="s">
        <v>1491</v>
      </c>
      <c r="E784" s="51" t="s">
        <v>1440</v>
      </c>
    </row>
    <row r="785" spans="1:5" ht="15" x14ac:dyDescent="0.2">
      <c r="A785" s="50" t="str">
        <f t="shared" si="12"/>
        <v>ControlSetValueRelativeVoltageB</v>
      </c>
      <c r="B785" s="51" t="s">
        <v>2445</v>
      </c>
      <c r="C785" s="51" t="s">
        <v>1623</v>
      </c>
      <c r="D785" s="51" t="s">
        <v>1491</v>
      </c>
      <c r="E785" s="51" t="s">
        <v>1456</v>
      </c>
    </row>
    <row r="786" spans="1:5" ht="15" x14ac:dyDescent="0.2">
      <c r="A786" s="50" t="str">
        <f t="shared" si="12"/>
        <v>ControlSetValueRelativeVoltageC</v>
      </c>
      <c r="B786" s="51" t="s">
        <v>2446</v>
      </c>
      <c r="C786" s="51" t="s">
        <v>1623</v>
      </c>
      <c r="D786" s="51" t="s">
        <v>1491</v>
      </c>
      <c r="E786" s="51" t="s">
        <v>1467</v>
      </c>
    </row>
    <row r="787" spans="1:5" ht="15" x14ac:dyDescent="0.2">
      <c r="A787" s="50" t="str">
        <f t="shared" si="12"/>
        <v>ControlSetValueCurrentABC</v>
      </c>
      <c r="B787" s="51" t="s">
        <v>2447</v>
      </c>
      <c r="C787" s="51" t="s">
        <v>1623</v>
      </c>
      <c r="D787" s="51" t="s">
        <v>1498</v>
      </c>
      <c r="E787" s="51" t="s">
        <v>1425</v>
      </c>
    </row>
    <row r="788" spans="1:5" ht="15" x14ac:dyDescent="0.2">
      <c r="A788" s="50" t="str">
        <f t="shared" si="12"/>
        <v>ControlSetValueCurrentA</v>
      </c>
      <c r="B788" s="51" t="s">
        <v>2448</v>
      </c>
      <c r="C788" s="51" t="s">
        <v>1623</v>
      </c>
      <c r="D788" s="51" t="s">
        <v>1498</v>
      </c>
      <c r="E788" s="51" t="s">
        <v>1440</v>
      </c>
    </row>
    <row r="789" spans="1:5" ht="15" x14ac:dyDescent="0.2">
      <c r="A789" s="50" t="str">
        <f t="shared" si="12"/>
        <v>ControlSetValueCurrentB</v>
      </c>
      <c r="B789" s="51" t="s">
        <v>2449</v>
      </c>
      <c r="C789" s="51" t="s">
        <v>1623</v>
      </c>
      <c r="D789" s="51" t="s">
        <v>1498</v>
      </c>
      <c r="E789" s="51" t="s">
        <v>1456</v>
      </c>
    </row>
    <row r="790" spans="1:5" ht="15" x14ac:dyDescent="0.2">
      <c r="A790" s="50" t="str">
        <f t="shared" si="12"/>
        <v>ControlSetValueCurrentC</v>
      </c>
      <c r="B790" s="51" t="s">
        <v>2450</v>
      </c>
      <c r="C790" s="51" t="s">
        <v>1623</v>
      </c>
      <c r="D790" s="51" t="s">
        <v>1498</v>
      </c>
      <c r="E790" s="51" t="s">
        <v>1467</v>
      </c>
    </row>
    <row r="791" spans="1:5" ht="15" x14ac:dyDescent="0.2">
      <c r="A791" s="50" t="str">
        <f t="shared" si="12"/>
        <v>ControlSetValueActivePowerABC</v>
      </c>
      <c r="B791" s="51" t="s">
        <v>2451</v>
      </c>
      <c r="C791" s="51" t="s">
        <v>1623</v>
      </c>
      <c r="D791" s="51" t="s">
        <v>1504</v>
      </c>
      <c r="E791" s="51" t="s">
        <v>1425</v>
      </c>
    </row>
    <row r="792" spans="1:5" ht="15" x14ac:dyDescent="0.2">
      <c r="A792" s="50" t="str">
        <f t="shared" si="12"/>
        <v>ControlSetValueActivePowerA</v>
      </c>
      <c r="B792" s="51" t="s">
        <v>2452</v>
      </c>
      <c r="C792" s="51" t="s">
        <v>1623</v>
      </c>
      <c r="D792" s="51" t="s">
        <v>1504</v>
      </c>
      <c r="E792" s="51" t="s">
        <v>1440</v>
      </c>
    </row>
    <row r="793" spans="1:5" ht="15" x14ac:dyDescent="0.2">
      <c r="A793" s="50" t="str">
        <f t="shared" si="12"/>
        <v>ControlSetValueActivePowerB</v>
      </c>
      <c r="B793" s="51" t="s">
        <v>2453</v>
      </c>
      <c r="C793" s="51" t="s">
        <v>1623</v>
      </c>
      <c r="D793" s="51" t="s">
        <v>1504</v>
      </c>
      <c r="E793" s="51" t="s">
        <v>1456</v>
      </c>
    </row>
    <row r="794" spans="1:5" ht="15" x14ac:dyDescent="0.2">
      <c r="A794" s="50" t="str">
        <f t="shared" si="12"/>
        <v>ControlSetValueActivePowerC</v>
      </c>
      <c r="B794" s="51" t="s">
        <v>2454</v>
      </c>
      <c r="C794" s="51" t="s">
        <v>1623</v>
      </c>
      <c r="D794" s="51" t="s">
        <v>1504</v>
      </c>
      <c r="E794" s="51" t="s">
        <v>1467</v>
      </c>
    </row>
    <row r="795" spans="1:5" ht="15" x14ac:dyDescent="0.2">
      <c r="A795" s="50" t="str">
        <f t="shared" si="12"/>
        <v>ControlSetValueReactivePowerABC</v>
      </c>
      <c r="B795" s="51" t="s">
        <v>2455</v>
      </c>
      <c r="C795" s="51" t="s">
        <v>1623</v>
      </c>
      <c r="D795" s="51" t="s">
        <v>1563</v>
      </c>
      <c r="E795" s="51" t="s">
        <v>1425</v>
      </c>
    </row>
    <row r="796" spans="1:5" ht="15" x14ac:dyDescent="0.2">
      <c r="A796" s="50" t="str">
        <f t="shared" si="12"/>
        <v>ControlSetValueReactivePowerA</v>
      </c>
      <c r="B796" s="51" t="s">
        <v>2456</v>
      </c>
      <c r="C796" s="51" t="s">
        <v>1623</v>
      </c>
      <c r="D796" s="51" t="s">
        <v>1563</v>
      </c>
      <c r="E796" s="51" t="s">
        <v>1440</v>
      </c>
    </row>
    <row r="797" spans="1:5" ht="15" x14ac:dyDescent="0.2">
      <c r="A797" s="50" t="str">
        <f t="shared" si="12"/>
        <v>ControlSetValueReactivePowerB</v>
      </c>
      <c r="B797" s="51" t="s">
        <v>2457</v>
      </c>
      <c r="C797" s="51" t="s">
        <v>1623</v>
      </c>
      <c r="D797" s="51" t="s">
        <v>1563</v>
      </c>
      <c r="E797" s="51" t="s">
        <v>1456</v>
      </c>
    </row>
    <row r="798" spans="1:5" ht="15" x14ac:dyDescent="0.2">
      <c r="A798" s="50" t="str">
        <f t="shared" si="12"/>
        <v>ControlSetValueReactivePowerC</v>
      </c>
      <c r="B798" s="51" t="s">
        <v>2458</v>
      </c>
      <c r="C798" s="51" t="s">
        <v>1623</v>
      </c>
      <c r="D798" s="51" t="s">
        <v>1563</v>
      </c>
      <c r="E798" s="51" t="s">
        <v>1467</v>
      </c>
    </row>
    <row r="799" spans="1:5" ht="15" x14ac:dyDescent="0.2">
      <c r="A799" s="50" t="str">
        <f t="shared" si="12"/>
        <v>ControlSetValueCosPhiABC</v>
      </c>
      <c r="B799" s="51" t="s">
        <v>2459</v>
      </c>
      <c r="C799" s="51" t="s">
        <v>1623</v>
      </c>
      <c r="D799" s="51" t="s">
        <v>1518</v>
      </c>
      <c r="E799" s="51" t="s">
        <v>1425</v>
      </c>
    </row>
    <row r="800" spans="1:5" ht="15" x14ac:dyDescent="0.2">
      <c r="A800" s="50" t="str">
        <f t="shared" si="12"/>
        <v>ControlSetValueCosPhiA</v>
      </c>
      <c r="B800" s="51" t="s">
        <v>2460</v>
      </c>
      <c r="C800" s="51" t="s">
        <v>1623</v>
      </c>
      <c r="D800" s="51" t="s">
        <v>1518</v>
      </c>
      <c r="E800" s="51" t="s">
        <v>1440</v>
      </c>
    </row>
    <row r="801" spans="1:5" ht="15" x14ac:dyDescent="0.2">
      <c r="A801" s="50" t="str">
        <f t="shared" si="12"/>
        <v>ControlSetValueCosPhiB</v>
      </c>
      <c r="B801" s="51" t="s">
        <v>2461</v>
      </c>
      <c r="C801" s="51" t="s">
        <v>1623</v>
      </c>
      <c r="D801" s="51" t="s">
        <v>1518</v>
      </c>
      <c r="E801" s="51" t="s">
        <v>1456</v>
      </c>
    </row>
    <row r="802" spans="1:5" ht="15" x14ac:dyDescent="0.2">
      <c r="A802" s="50" t="str">
        <f t="shared" si="12"/>
        <v>ControlSetValueCosPhiC</v>
      </c>
      <c r="B802" s="51" t="s">
        <v>2462</v>
      </c>
      <c r="C802" s="51" t="s">
        <v>1623</v>
      </c>
      <c r="D802" s="51" t="s">
        <v>1518</v>
      </c>
      <c r="E802" s="51" t="s">
        <v>1467</v>
      </c>
    </row>
    <row r="803" spans="1:5" ht="15" x14ac:dyDescent="0.2">
      <c r="A803" s="50" t="str">
        <f t="shared" si="12"/>
        <v>ControlSetValueImpedanceABC</v>
      </c>
      <c r="B803" s="51" t="s">
        <v>2463</v>
      </c>
      <c r="C803" s="51" t="s">
        <v>1623</v>
      </c>
      <c r="D803" s="51" t="s">
        <v>1625</v>
      </c>
      <c r="E803" s="51" t="s">
        <v>1425</v>
      </c>
    </row>
    <row r="804" spans="1:5" ht="15" x14ac:dyDescent="0.2">
      <c r="A804" s="50" t="str">
        <f t="shared" si="12"/>
        <v>ControlSetValueImpedanceA</v>
      </c>
      <c r="B804" s="51" t="s">
        <v>2464</v>
      </c>
      <c r="C804" s="51" t="s">
        <v>1623</v>
      </c>
      <c r="D804" s="51" t="s">
        <v>1625</v>
      </c>
      <c r="E804" s="51" t="s">
        <v>1440</v>
      </c>
    </row>
    <row r="805" spans="1:5" ht="15" x14ac:dyDescent="0.2">
      <c r="A805" s="50" t="str">
        <f t="shared" si="12"/>
        <v>ControlSetValueImpedanceB</v>
      </c>
      <c r="B805" s="51" t="s">
        <v>2465</v>
      </c>
      <c r="C805" s="51" t="s">
        <v>1623</v>
      </c>
      <c r="D805" s="51" t="s">
        <v>1625</v>
      </c>
      <c r="E805" s="51" t="s">
        <v>1456</v>
      </c>
    </row>
    <row r="806" spans="1:5" ht="15" x14ac:dyDescent="0.2">
      <c r="A806" s="50" t="str">
        <f t="shared" si="12"/>
        <v>ControlSetValueImpedanceC</v>
      </c>
      <c r="B806" s="51" t="s">
        <v>2466</v>
      </c>
      <c r="C806" s="51" t="s">
        <v>1623</v>
      </c>
      <c r="D806" s="51" t="s">
        <v>1625</v>
      </c>
      <c r="E806" s="51" t="s">
        <v>1467</v>
      </c>
    </row>
    <row r="807" spans="1:5" ht="15" x14ac:dyDescent="0.2">
      <c r="A807" s="50" t="str">
        <f t="shared" si="12"/>
        <v>ControlSetValuePercentABC</v>
      </c>
      <c r="B807" s="51" t="s">
        <v>2467</v>
      </c>
      <c r="C807" s="51" t="s">
        <v>1623</v>
      </c>
      <c r="D807" s="51" t="s">
        <v>1652</v>
      </c>
      <c r="E807" s="51" t="s">
        <v>1425</v>
      </c>
    </row>
    <row r="808" spans="1:5" ht="15" x14ac:dyDescent="0.2">
      <c r="A808" s="50" t="str">
        <f t="shared" si="12"/>
        <v>ControlBandwidthVoltageABC</v>
      </c>
      <c r="B808" s="51" t="s">
        <v>2468</v>
      </c>
      <c r="C808" s="51" t="s">
        <v>1629</v>
      </c>
      <c r="D808" s="51" t="s">
        <v>1469</v>
      </c>
      <c r="E808" s="51" t="s">
        <v>1425</v>
      </c>
    </row>
    <row r="809" spans="1:5" ht="15" x14ac:dyDescent="0.2">
      <c r="A809" s="50" t="str">
        <f t="shared" si="12"/>
        <v>ControlBandwidthVoltageA</v>
      </c>
      <c r="B809" s="51" t="s">
        <v>2469</v>
      </c>
      <c r="C809" s="51" t="s">
        <v>1629</v>
      </c>
      <c r="D809" s="51" t="s">
        <v>1469</v>
      </c>
      <c r="E809" s="51" t="s">
        <v>1440</v>
      </c>
    </row>
    <row r="810" spans="1:5" ht="15" x14ac:dyDescent="0.2">
      <c r="A810" s="50" t="str">
        <f t="shared" si="12"/>
        <v>ControlBandwidthVoltageB</v>
      </c>
      <c r="B810" s="51" t="s">
        <v>2470</v>
      </c>
      <c r="C810" s="51" t="s">
        <v>1629</v>
      </c>
      <c r="D810" s="51" t="s">
        <v>1469</v>
      </c>
      <c r="E810" s="51" t="s">
        <v>1456</v>
      </c>
    </row>
    <row r="811" spans="1:5" ht="15" x14ac:dyDescent="0.2">
      <c r="A811" s="50" t="str">
        <f t="shared" si="12"/>
        <v>ControlBandwidthVoltageC</v>
      </c>
      <c r="B811" s="51" t="s">
        <v>2471</v>
      </c>
      <c r="C811" s="51" t="s">
        <v>1629</v>
      </c>
      <c r="D811" s="51" t="s">
        <v>1469</v>
      </c>
      <c r="E811" s="51" t="s">
        <v>1467</v>
      </c>
    </row>
    <row r="812" spans="1:5" ht="30" x14ac:dyDescent="0.2">
      <c r="A812" s="50" t="str">
        <f t="shared" si="12"/>
        <v>ControlBandwidthRelativeVoltageABC</v>
      </c>
      <c r="B812" s="51" t="s">
        <v>2472</v>
      </c>
      <c r="C812" s="51" t="s">
        <v>1629</v>
      </c>
      <c r="D812" s="51" t="s">
        <v>1491</v>
      </c>
      <c r="E812" s="51" t="s">
        <v>1425</v>
      </c>
    </row>
    <row r="813" spans="1:5" ht="15" x14ac:dyDescent="0.2">
      <c r="A813" s="50" t="str">
        <f t="shared" si="12"/>
        <v>ControlBandwidthRelativeVoltageA</v>
      </c>
      <c r="B813" s="51" t="s">
        <v>2473</v>
      </c>
      <c r="C813" s="51" t="s">
        <v>1629</v>
      </c>
      <c r="D813" s="51" t="s">
        <v>1491</v>
      </c>
      <c r="E813" s="51" t="s">
        <v>1440</v>
      </c>
    </row>
    <row r="814" spans="1:5" ht="15" x14ac:dyDescent="0.2">
      <c r="A814" s="50" t="str">
        <f t="shared" si="12"/>
        <v>ControlBandwidthRelativeVoltageB</v>
      </c>
      <c r="B814" s="51" t="s">
        <v>2474</v>
      </c>
      <c r="C814" s="51" t="s">
        <v>1629</v>
      </c>
      <c r="D814" s="51" t="s">
        <v>1491</v>
      </c>
      <c r="E814" s="51" t="s">
        <v>1456</v>
      </c>
    </row>
    <row r="815" spans="1:5" ht="15" x14ac:dyDescent="0.2">
      <c r="A815" s="50" t="str">
        <f t="shared" si="12"/>
        <v>ControlBandwidthRelativeVoltageC</v>
      </c>
      <c r="B815" s="51" t="s">
        <v>2475</v>
      </c>
      <c r="C815" s="51" t="s">
        <v>1629</v>
      </c>
      <c r="D815" s="51" t="s">
        <v>1491</v>
      </c>
      <c r="E815" s="51" t="s">
        <v>1467</v>
      </c>
    </row>
    <row r="816" spans="1:5" ht="15" x14ac:dyDescent="0.2">
      <c r="A816" s="50" t="str">
        <f t="shared" si="12"/>
        <v>ControlBandwidthCurrentABC</v>
      </c>
      <c r="B816" s="51" t="s">
        <v>2476</v>
      </c>
      <c r="C816" s="51" t="s">
        <v>1629</v>
      </c>
      <c r="D816" s="51" t="s">
        <v>1498</v>
      </c>
      <c r="E816" s="51" t="s">
        <v>1425</v>
      </c>
    </row>
    <row r="817" spans="1:5" ht="15" x14ac:dyDescent="0.2">
      <c r="A817" s="50" t="str">
        <f t="shared" si="12"/>
        <v>ControlBandwidthCurrentA</v>
      </c>
      <c r="B817" s="51" t="s">
        <v>2477</v>
      </c>
      <c r="C817" s="51" t="s">
        <v>1629</v>
      </c>
      <c r="D817" s="51" t="s">
        <v>1498</v>
      </c>
      <c r="E817" s="51" t="s">
        <v>1440</v>
      </c>
    </row>
    <row r="818" spans="1:5" ht="15" x14ac:dyDescent="0.2">
      <c r="A818" s="50" t="str">
        <f t="shared" si="12"/>
        <v>ControlBandwidthCurrentB</v>
      </c>
      <c r="B818" s="51" t="s">
        <v>2478</v>
      </c>
      <c r="C818" s="51" t="s">
        <v>1629</v>
      </c>
      <c r="D818" s="51" t="s">
        <v>1498</v>
      </c>
      <c r="E818" s="51" t="s">
        <v>1456</v>
      </c>
    </row>
    <row r="819" spans="1:5" ht="15" x14ac:dyDescent="0.2">
      <c r="A819" s="50" t="str">
        <f t="shared" si="12"/>
        <v>ControlBandwidthCurrentC</v>
      </c>
      <c r="B819" s="51" t="s">
        <v>2479</v>
      </c>
      <c r="C819" s="51" t="s">
        <v>1629</v>
      </c>
      <c r="D819" s="51" t="s">
        <v>1498</v>
      </c>
      <c r="E819" s="51" t="s">
        <v>1467</v>
      </c>
    </row>
    <row r="820" spans="1:5" ht="15" x14ac:dyDescent="0.2">
      <c r="A820" s="50" t="str">
        <f t="shared" si="12"/>
        <v>ControlBandwidthActivePowerABC</v>
      </c>
      <c r="B820" s="51" t="s">
        <v>2480</v>
      </c>
      <c r="C820" s="51" t="s">
        <v>1629</v>
      </c>
      <c r="D820" s="51" t="s">
        <v>1504</v>
      </c>
      <c r="E820" s="51" t="s">
        <v>1425</v>
      </c>
    </row>
    <row r="821" spans="1:5" ht="15" x14ac:dyDescent="0.2">
      <c r="A821" s="50" t="str">
        <f t="shared" si="12"/>
        <v>ControlBandwidthActivePowerA</v>
      </c>
      <c r="B821" s="51" t="s">
        <v>2481</v>
      </c>
      <c r="C821" s="51" t="s">
        <v>1629</v>
      </c>
      <c r="D821" s="51" t="s">
        <v>1504</v>
      </c>
      <c r="E821" s="51" t="s">
        <v>1440</v>
      </c>
    </row>
    <row r="822" spans="1:5" ht="15" x14ac:dyDescent="0.2">
      <c r="A822" s="50" t="str">
        <f t="shared" si="12"/>
        <v>ControlBandwidthActivePowerB</v>
      </c>
      <c r="B822" s="51" t="s">
        <v>2482</v>
      </c>
      <c r="C822" s="51" t="s">
        <v>1629</v>
      </c>
      <c r="D822" s="51" t="s">
        <v>1504</v>
      </c>
      <c r="E822" s="51" t="s">
        <v>1456</v>
      </c>
    </row>
    <row r="823" spans="1:5" ht="15" x14ac:dyDescent="0.2">
      <c r="A823" s="50" t="str">
        <f t="shared" si="12"/>
        <v>ControlBandwidthActivePowerC</v>
      </c>
      <c r="B823" s="51" t="s">
        <v>2483</v>
      </c>
      <c r="C823" s="51" t="s">
        <v>1629</v>
      </c>
      <c r="D823" s="51" t="s">
        <v>1504</v>
      </c>
      <c r="E823" s="51" t="s">
        <v>1467</v>
      </c>
    </row>
    <row r="824" spans="1:5" ht="15" x14ac:dyDescent="0.2">
      <c r="A824" s="50" t="str">
        <f t="shared" si="12"/>
        <v>ControlBandwidthReactivePowerABC</v>
      </c>
      <c r="B824" s="51" t="s">
        <v>2484</v>
      </c>
      <c r="C824" s="51" t="s">
        <v>1629</v>
      </c>
      <c r="D824" s="51" t="s">
        <v>1563</v>
      </c>
      <c r="E824" s="51" t="s">
        <v>1425</v>
      </c>
    </row>
    <row r="825" spans="1:5" ht="15" x14ac:dyDescent="0.2">
      <c r="A825" s="50" t="str">
        <f t="shared" si="12"/>
        <v>ControlBandwidthReactivePowerA</v>
      </c>
      <c r="B825" s="51" t="s">
        <v>2485</v>
      </c>
      <c r="C825" s="51" t="s">
        <v>1629</v>
      </c>
      <c r="D825" s="51" t="s">
        <v>1563</v>
      </c>
      <c r="E825" s="51" t="s">
        <v>1440</v>
      </c>
    </row>
    <row r="826" spans="1:5" ht="15" x14ac:dyDescent="0.2">
      <c r="A826" s="50" t="str">
        <f t="shared" si="12"/>
        <v>ControlBandwidthReactivePowerB</v>
      </c>
      <c r="B826" s="51" t="s">
        <v>2486</v>
      </c>
      <c r="C826" s="51" t="s">
        <v>1629</v>
      </c>
      <c r="D826" s="51" t="s">
        <v>1563</v>
      </c>
      <c r="E826" s="51" t="s">
        <v>1456</v>
      </c>
    </row>
    <row r="827" spans="1:5" ht="15" x14ac:dyDescent="0.2">
      <c r="A827" s="50" t="str">
        <f t="shared" si="12"/>
        <v>ControlBandwidthReactivePowerC</v>
      </c>
      <c r="B827" s="51" t="s">
        <v>2487</v>
      </c>
      <c r="C827" s="51" t="s">
        <v>1629</v>
      </c>
      <c r="D827" s="51" t="s">
        <v>1563</v>
      </c>
      <c r="E827" s="51" t="s">
        <v>1467</v>
      </c>
    </row>
    <row r="828" spans="1:5" ht="15" x14ac:dyDescent="0.2">
      <c r="A828" s="50" t="str">
        <f t="shared" si="12"/>
        <v>ControlBandwidthCosPhiABC</v>
      </c>
      <c r="B828" s="51" t="s">
        <v>2488</v>
      </c>
      <c r="C828" s="51" t="s">
        <v>1629</v>
      </c>
      <c r="D828" s="51" t="s">
        <v>1518</v>
      </c>
      <c r="E828" s="51" t="s">
        <v>1425</v>
      </c>
    </row>
    <row r="829" spans="1:5" ht="15" x14ac:dyDescent="0.2">
      <c r="A829" s="50" t="str">
        <f t="shared" si="12"/>
        <v>ControlBandwidthCosPhiA</v>
      </c>
      <c r="B829" s="51" t="s">
        <v>2489</v>
      </c>
      <c r="C829" s="51" t="s">
        <v>1629</v>
      </c>
      <c r="D829" s="51" t="s">
        <v>1518</v>
      </c>
      <c r="E829" s="51" t="s">
        <v>1440</v>
      </c>
    </row>
    <row r="830" spans="1:5" ht="15" x14ac:dyDescent="0.2">
      <c r="A830" s="50" t="str">
        <f t="shared" si="12"/>
        <v>ControlBandwidthCosPhiB</v>
      </c>
      <c r="B830" s="51" t="s">
        <v>2490</v>
      </c>
      <c r="C830" s="51" t="s">
        <v>1629</v>
      </c>
      <c r="D830" s="51" t="s">
        <v>1518</v>
      </c>
      <c r="E830" s="51" t="s">
        <v>1456</v>
      </c>
    </row>
    <row r="831" spans="1:5" ht="15" x14ac:dyDescent="0.2">
      <c r="A831" s="50" t="str">
        <f t="shared" si="12"/>
        <v>ControlBandwidthCosPhiC</v>
      </c>
      <c r="B831" s="51" t="s">
        <v>2491</v>
      </c>
      <c r="C831" s="51" t="s">
        <v>1629</v>
      </c>
      <c r="D831" s="51" t="s">
        <v>1518</v>
      </c>
      <c r="E831" s="51" t="s">
        <v>1467</v>
      </c>
    </row>
    <row r="832" spans="1:5" ht="15" x14ac:dyDescent="0.2">
      <c r="A832" s="50" t="str">
        <f t="shared" si="12"/>
        <v>ControlSubDelayTimeABC</v>
      </c>
      <c r="B832" s="51" t="s">
        <v>2492</v>
      </c>
      <c r="C832" s="51" t="s">
        <v>1636</v>
      </c>
      <c r="D832" s="51" t="s">
        <v>1570</v>
      </c>
      <c r="E832" s="51" t="s">
        <v>1425</v>
      </c>
    </row>
    <row r="833" spans="1:5" ht="15" x14ac:dyDescent="0.2">
      <c r="A833" s="50" t="str">
        <f t="shared" si="12"/>
        <v>ControlSubDelayTimeA</v>
      </c>
      <c r="B833" s="51" t="s">
        <v>2493</v>
      </c>
      <c r="C833" s="51" t="s">
        <v>1636</v>
      </c>
      <c r="D833" s="51" t="s">
        <v>1570</v>
      </c>
      <c r="E833" s="51" t="s">
        <v>1440</v>
      </c>
    </row>
    <row r="834" spans="1:5" ht="15" x14ac:dyDescent="0.2">
      <c r="A834" s="50" t="str">
        <f t="shared" si="12"/>
        <v>ControlSubDelayTimeB</v>
      </c>
      <c r="B834" s="51" t="s">
        <v>2494</v>
      </c>
      <c r="C834" s="51" t="s">
        <v>1636</v>
      </c>
      <c r="D834" s="51" t="s">
        <v>1570</v>
      </c>
      <c r="E834" s="51" t="s">
        <v>1456</v>
      </c>
    </row>
    <row r="835" spans="1:5" ht="15" x14ac:dyDescent="0.2">
      <c r="A835" s="50" t="str">
        <f t="shared" si="12"/>
        <v>ControlSubDelayTimeC</v>
      </c>
      <c r="B835" s="51" t="s">
        <v>2495</v>
      </c>
      <c r="C835" s="51" t="s">
        <v>1636</v>
      </c>
      <c r="D835" s="51" t="s">
        <v>1570</v>
      </c>
      <c r="E835" s="51" t="s">
        <v>1467</v>
      </c>
    </row>
    <row r="836" spans="1:5" ht="15" x14ac:dyDescent="0.2">
      <c r="A836" s="50" t="str">
        <f t="shared" si="12"/>
        <v>ControlSlopeRealUnitlessABC</v>
      </c>
      <c r="B836" s="51" t="s">
        <v>2496</v>
      </c>
      <c r="C836" s="51" t="s">
        <v>1643</v>
      </c>
      <c r="D836" s="51" t="s">
        <v>1556</v>
      </c>
      <c r="E836" s="51" t="s">
        <v>1425</v>
      </c>
    </row>
    <row r="837" spans="1:5" ht="15" x14ac:dyDescent="0.2">
      <c r="A837" s="50" t="str">
        <f t="shared" si="12"/>
        <v>ControlSlopeRealUnitlessA</v>
      </c>
      <c r="B837" s="51" t="s">
        <v>2497</v>
      </c>
      <c r="C837" s="51" t="s">
        <v>1643</v>
      </c>
      <c r="D837" s="51" t="s">
        <v>1556</v>
      </c>
      <c r="E837" s="51" t="s">
        <v>1440</v>
      </c>
    </row>
    <row r="838" spans="1:5" ht="15" x14ac:dyDescent="0.2">
      <c r="A838" s="50" t="str">
        <f t="shared" si="12"/>
        <v>ControlSlopeRealUnitlessB</v>
      </c>
      <c r="B838" s="51" t="s">
        <v>2498</v>
      </c>
      <c r="C838" s="51" t="s">
        <v>1643</v>
      </c>
      <c r="D838" s="51" t="s">
        <v>1556</v>
      </c>
      <c r="E838" s="51" t="s">
        <v>1456</v>
      </c>
    </row>
    <row r="839" spans="1:5" ht="15" x14ac:dyDescent="0.2">
      <c r="A839" s="50" t="str">
        <f t="shared" si="12"/>
        <v>ControlSlopeRealUnitlessC</v>
      </c>
      <c r="B839" s="51" t="s">
        <v>2499</v>
      </c>
      <c r="C839" s="51" t="s">
        <v>1643</v>
      </c>
      <c r="D839" s="51" t="s">
        <v>1556</v>
      </c>
      <c r="E839" s="51" t="s">
        <v>1467</v>
      </c>
    </row>
    <row r="840" spans="1:5" ht="15" x14ac:dyDescent="0.2">
      <c r="A840" s="50" t="str">
        <f t="shared" si="12"/>
        <v>ControlSlopeRealImpedanceABC</v>
      </c>
      <c r="B840" s="51" t="s">
        <v>2500</v>
      </c>
      <c r="C840" s="51" t="s">
        <v>1643</v>
      </c>
      <c r="D840" s="51" t="s">
        <v>1625</v>
      </c>
      <c r="E840" s="51" t="s">
        <v>1425</v>
      </c>
    </row>
    <row r="841" spans="1:5" ht="15" x14ac:dyDescent="0.2">
      <c r="A841" s="50" t="str">
        <f t="shared" ref="A841:A906" si="13">CONCATENATE(C841,D841,E841)</f>
        <v>ControlSlopeRealImpedanceA</v>
      </c>
      <c r="B841" s="51" t="s">
        <v>2501</v>
      </c>
      <c r="C841" s="51" t="s">
        <v>1643</v>
      </c>
      <c r="D841" s="51" t="s">
        <v>1625</v>
      </c>
      <c r="E841" s="51" t="s">
        <v>1440</v>
      </c>
    </row>
    <row r="842" spans="1:5" ht="15" x14ac:dyDescent="0.2">
      <c r="A842" s="50" t="str">
        <f t="shared" si="13"/>
        <v>ControlSlopeRealImpedanceB</v>
      </c>
      <c r="B842" s="51" t="s">
        <v>2502</v>
      </c>
      <c r="C842" s="51" t="s">
        <v>1643</v>
      </c>
      <c r="D842" s="51" t="s">
        <v>1625</v>
      </c>
      <c r="E842" s="51" t="s">
        <v>1456</v>
      </c>
    </row>
    <row r="843" spans="1:5" ht="15" x14ac:dyDescent="0.2">
      <c r="A843" s="50" t="str">
        <f t="shared" si="13"/>
        <v>ControlSlopeRealImpedanceC</v>
      </c>
      <c r="B843" s="51" t="s">
        <v>2503</v>
      </c>
      <c r="C843" s="51" t="s">
        <v>1643</v>
      </c>
      <c r="D843" s="51" t="s">
        <v>1625</v>
      </c>
      <c r="E843" s="51" t="s">
        <v>1467</v>
      </c>
    </row>
    <row r="844" spans="1:5" ht="15" x14ac:dyDescent="0.2">
      <c r="A844" s="50" t="str">
        <f t="shared" si="13"/>
        <v>ControlSlopeRealPercentABC</v>
      </c>
      <c r="B844" s="51" t="s">
        <v>2504</v>
      </c>
      <c r="C844" s="51" t="s">
        <v>1643</v>
      </c>
      <c r="D844" s="51" t="s">
        <v>1652</v>
      </c>
      <c r="E844" s="51" t="s">
        <v>1425</v>
      </c>
    </row>
    <row r="845" spans="1:5" ht="15" x14ac:dyDescent="0.2">
      <c r="A845" s="50" t="str">
        <f t="shared" si="13"/>
        <v>ControlSlopeRealPercentA</v>
      </c>
      <c r="B845" s="51" t="s">
        <v>2505</v>
      </c>
      <c r="C845" s="51" t="s">
        <v>1643</v>
      </c>
      <c r="D845" s="51" t="s">
        <v>1652</v>
      </c>
      <c r="E845" s="51" t="s">
        <v>1440</v>
      </c>
    </row>
    <row r="846" spans="1:5" ht="15" x14ac:dyDescent="0.2">
      <c r="A846" s="50" t="str">
        <f t="shared" si="13"/>
        <v>ControlSlopeRealPercentB</v>
      </c>
      <c r="B846" s="51" t="s">
        <v>2506</v>
      </c>
      <c r="C846" s="51" t="s">
        <v>1643</v>
      </c>
      <c r="D846" s="51" t="s">
        <v>1652</v>
      </c>
      <c r="E846" s="51" t="s">
        <v>1456</v>
      </c>
    </row>
    <row r="847" spans="1:5" ht="15" x14ac:dyDescent="0.2">
      <c r="A847" s="50" t="str">
        <f t="shared" si="13"/>
        <v>ControlSlopeRealPercentC</v>
      </c>
      <c r="B847" s="51" t="s">
        <v>2507</v>
      </c>
      <c r="C847" s="51" t="s">
        <v>1643</v>
      </c>
      <c r="D847" s="51" t="s">
        <v>1652</v>
      </c>
      <c r="E847" s="51" t="s">
        <v>1467</v>
      </c>
    </row>
    <row r="848" spans="1:5" ht="15" x14ac:dyDescent="0.2">
      <c r="A848" s="50" t="str">
        <f t="shared" si="13"/>
        <v>ControlSlopeRealRelativeVoltageABC</v>
      </c>
      <c r="B848" s="51" t="s">
        <v>2508</v>
      </c>
      <c r="C848" s="51" t="s">
        <v>1643</v>
      </c>
      <c r="D848" s="51" t="s">
        <v>1491</v>
      </c>
      <c r="E848" s="51" t="s">
        <v>1425</v>
      </c>
    </row>
    <row r="849" spans="1:5" ht="15" x14ac:dyDescent="0.2">
      <c r="A849" s="50" t="str">
        <f t="shared" si="13"/>
        <v>ControlSlopeRealRelativeVoltageA</v>
      </c>
      <c r="B849" s="51" t="s">
        <v>2509</v>
      </c>
      <c r="C849" s="51" t="s">
        <v>1643</v>
      </c>
      <c r="D849" s="51" t="s">
        <v>1491</v>
      </c>
      <c r="E849" s="51" t="s">
        <v>1440</v>
      </c>
    </row>
    <row r="850" spans="1:5" ht="15" x14ac:dyDescent="0.2">
      <c r="A850" s="50" t="str">
        <f t="shared" si="13"/>
        <v>ControlSlopeRealRelativeVoltageB</v>
      </c>
      <c r="B850" s="51" t="s">
        <v>2510</v>
      </c>
      <c r="C850" s="51" t="s">
        <v>1643</v>
      </c>
      <c r="D850" s="51" t="s">
        <v>1491</v>
      </c>
      <c r="E850" s="51" t="s">
        <v>1456</v>
      </c>
    </row>
    <row r="851" spans="1:5" ht="15" x14ac:dyDescent="0.2">
      <c r="A851" s="50" t="str">
        <f t="shared" si="13"/>
        <v>ControlSlopeRealRelativeVoltageC</v>
      </c>
      <c r="B851" s="51" t="s">
        <v>2511</v>
      </c>
      <c r="C851" s="51" t="s">
        <v>1643</v>
      </c>
      <c r="D851" s="51" t="s">
        <v>1491</v>
      </c>
      <c r="E851" s="51" t="s">
        <v>1467</v>
      </c>
    </row>
    <row r="852" spans="1:5" ht="15" x14ac:dyDescent="0.2">
      <c r="A852" s="50" t="str">
        <f t="shared" si="13"/>
        <v>ControlSlopeImagUnitlessABC</v>
      </c>
      <c r="B852" s="51" t="s">
        <v>2512</v>
      </c>
      <c r="C852" s="51" t="s">
        <v>1650</v>
      </c>
      <c r="D852" s="51" t="s">
        <v>1556</v>
      </c>
      <c r="E852" s="51" t="s">
        <v>1425</v>
      </c>
    </row>
    <row r="853" spans="1:5" ht="15" x14ac:dyDescent="0.2">
      <c r="A853" s="50" t="str">
        <f t="shared" si="13"/>
        <v>ControlSlopeImagUnitlessA</v>
      </c>
      <c r="B853" s="51" t="s">
        <v>2513</v>
      </c>
      <c r="C853" s="51" t="s">
        <v>1650</v>
      </c>
      <c r="D853" s="51" t="s">
        <v>1556</v>
      </c>
      <c r="E853" s="51" t="s">
        <v>1440</v>
      </c>
    </row>
    <row r="854" spans="1:5" ht="15" x14ac:dyDescent="0.2">
      <c r="A854" s="50" t="str">
        <f t="shared" si="13"/>
        <v>ControlSlopeImagUnitlessB</v>
      </c>
      <c r="B854" s="51" t="s">
        <v>2514</v>
      </c>
      <c r="C854" s="51" t="s">
        <v>1650</v>
      </c>
      <c r="D854" s="51" t="s">
        <v>1556</v>
      </c>
      <c r="E854" s="51" t="s">
        <v>1456</v>
      </c>
    </row>
    <row r="855" spans="1:5" ht="15" x14ac:dyDescent="0.2">
      <c r="A855" s="50" t="str">
        <f t="shared" si="13"/>
        <v>ControlSlopeImagUnitlessC</v>
      </c>
      <c r="B855" s="51" t="s">
        <v>2515</v>
      </c>
      <c r="C855" s="51" t="s">
        <v>1650</v>
      </c>
      <c r="D855" s="51" t="s">
        <v>1556</v>
      </c>
      <c r="E855" s="51" t="s">
        <v>1467</v>
      </c>
    </row>
    <row r="856" spans="1:5" ht="15" x14ac:dyDescent="0.2">
      <c r="A856" s="50" t="str">
        <f t="shared" si="13"/>
        <v>ControlSlopeImagImpedanceABC</v>
      </c>
      <c r="B856" s="51" t="s">
        <v>2516</v>
      </c>
      <c r="C856" s="51" t="s">
        <v>1650</v>
      </c>
      <c r="D856" s="51" t="s">
        <v>1625</v>
      </c>
      <c r="E856" s="51" t="s">
        <v>1425</v>
      </c>
    </row>
    <row r="857" spans="1:5" ht="15" x14ac:dyDescent="0.2">
      <c r="A857" s="50" t="str">
        <f t="shared" si="13"/>
        <v>ControlSlopeImagImpedanceA</v>
      </c>
      <c r="B857" s="51" t="s">
        <v>2517</v>
      </c>
      <c r="C857" s="51" t="s">
        <v>1650</v>
      </c>
      <c r="D857" s="51" t="s">
        <v>1625</v>
      </c>
      <c r="E857" s="51" t="s">
        <v>1440</v>
      </c>
    </row>
    <row r="858" spans="1:5" ht="15" x14ac:dyDescent="0.2">
      <c r="A858" s="50" t="str">
        <f t="shared" si="13"/>
        <v>ControlSlopeImagImpedanceB</v>
      </c>
      <c r="B858" s="51" t="s">
        <v>2518</v>
      </c>
      <c r="C858" s="51" t="s">
        <v>1650</v>
      </c>
      <c r="D858" s="51" t="s">
        <v>1625</v>
      </c>
      <c r="E858" s="51" t="s">
        <v>1456</v>
      </c>
    </row>
    <row r="859" spans="1:5" ht="15" x14ac:dyDescent="0.2">
      <c r="A859" s="50" t="str">
        <f t="shared" si="13"/>
        <v>ControlSlopeImagImpedanceC</v>
      </c>
      <c r="B859" s="51" t="s">
        <v>2519</v>
      </c>
      <c r="C859" s="51" t="s">
        <v>1650</v>
      </c>
      <c r="D859" s="51" t="s">
        <v>1625</v>
      </c>
      <c r="E859" s="51" t="s">
        <v>1467</v>
      </c>
    </row>
    <row r="860" spans="1:5" ht="30" x14ac:dyDescent="0.2">
      <c r="A860" s="50" t="str">
        <f t="shared" si="13"/>
        <v>ControlSlopeImagRelativeVoltageABC</v>
      </c>
      <c r="B860" s="51" t="s">
        <v>2520</v>
      </c>
      <c r="C860" s="51" t="s">
        <v>1650</v>
      </c>
      <c r="D860" s="51" t="s">
        <v>1491</v>
      </c>
      <c r="E860" s="51" t="s">
        <v>1425</v>
      </c>
    </row>
    <row r="861" spans="1:5" ht="15" x14ac:dyDescent="0.2">
      <c r="A861" s="50" t="str">
        <f t="shared" si="13"/>
        <v>ControlSlopeImagRelativeVoltageA</v>
      </c>
      <c r="B861" s="51" t="s">
        <v>2521</v>
      </c>
      <c r="C861" s="51" t="s">
        <v>1650</v>
      </c>
      <c r="D861" s="51" t="s">
        <v>1491</v>
      </c>
      <c r="E861" s="51" t="s">
        <v>1440</v>
      </c>
    </row>
    <row r="862" spans="1:5" ht="15" x14ac:dyDescent="0.2">
      <c r="A862" s="50" t="str">
        <f t="shared" si="13"/>
        <v>ControlSlopeImagRelativeVoltageB</v>
      </c>
      <c r="B862" s="51" t="s">
        <v>2522</v>
      </c>
      <c r="C862" s="51" t="s">
        <v>1650</v>
      </c>
      <c r="D862" s="51" t="s">
        <v>1491</v>
      </c>
      <c r="E862" s="51" t="s">
        <v>1456</v>
      </c>
    </row>
    <row r="863" spans="1:5" ht="15" x14ac:dyDescent="0.2">
      <c r="A863" s="50" t="str">
        <f t="shared" si="13"/>
        <v>ControlSlopeImagRelativeVoltageC</v>
      </c>
      <c r="B863" s="51" t="s">
        <v>2523</v>
      </c>
      <c r="C863" s="51" t="s">
        <v>1650</v>
      </c>
      <c r="D863" s="51" t="s">
        <v>1491</v>
      </c>
      <c r="E863" s="51" t="s">
        <v>1467</v>
      </c>
    </row>
    <row r="864" spans="1:5" ht="15" x14ac:dyDescent="0.2">
      <c r="A864" s="50" t="str">
        <f t="shared" si="13"/>
        <v>RelayTripStatusABC</v>
      </c>
      <c r="B864" s="51" t="s">
        <v>2524</v>
      </c>
      <c r="C864" s="51" t="s">
        <v>39</v>
      </c>
      <c r="D864" s="51" t="s">
        <v>1301</v>
      </c>
      <c r="E864" s="51" t="s">
        <v>1425</v>
      </c>
    </row>
    <row r="865" spans="1:5" ht="15" x14ac:dyDescent="0.2">
      <c r="A865" s="50" t="str">
        <f t="shared" si="13"/>
        <v>RelayTripStatusA</v>
      </c>
      <c r="B865" s="51" t="s">
        <v>2525</v>
      </c>
      <c r="C865" s="51" t="s">
        <v>39</v>
      </c>
      <c r="D865" s="51" t="s">
        <v>1301</v>
      </c>
      <c r="E865" s="51" t="s">
        <v>1440</v>
      </c>
    </row>
    <row r="866" spans="1:5" ht="15" x14ac:dyDescent="0.2">
      <c r="A866" s="50" t="str">
        <f t="shared" si="13"/>
        <v>RelayTripStatusB</v>
      </c>
      <c r="B866" s="51" t="s">
        <v>2526</v>
      </c>
      <c r="C866" s="51" t="s">
        <v>39</v>
      </c>
      <c r="D866" s="51" t="s">
        <v>1301</v>
      </c>
      <c r="E866" s="51" t="s">
        <v>1456</v>
      </c>
    </row>
    <row r="867" spans="1:5" ht="15" x14ac:dyDescent="0.2">
      <c r="A867" s="50" t="str">
        <f t="shared" si="13"/>
        <v>RelayTripStatusC</v>
      </c>
      <c r="B867" s="51" t="s">
        <v>2527</v>
      </c>
      <c r="C867" s="51" t="s">
        <v>39</v>
      </c>
      <c r="D867" s="51" t="s">
        <v>1301</v>
      </c>
      <c r="E867" s="51" t="s">
        <v>1467</v>
      </c>
    </row>
    <row r="868" spans="1:5" ht="15" x14ac:dyDescent="0.2">
      <c r="A868" s="50" t="str">
        <f t="shared" si="13"/>
        <v>RelayTripStatusN</v>
      </c>
      <c r="B868" s="51" t="s">
        <v>2528</v>
      </c>
      <c r="C868" s="51" t="s">
        <v>39</v>
      </c>
      <c r="D868" s="51" t="s">
        <v>1301</v>
      </c>
      <c r="E868" s="51" t="s">
        <v>984</v>
      </c>
    </row>
    <row r="869" spans="1:5" ht="15" x14ac:dyDescent="0.2">
      <c r="A869" s="50" t="str">
        <f t="shared" si="13"/>
        <v>ReclosingEnabledStatusABC</v>
      </c>
      <c r="B869" s="51" t="s">
        <v>2529</v>
      </c>
      <c r="C869" s="51" t="s">
        <v>353</v>
      </c>
      <c r="D869" s="51" t="s">
        <v>1301</v>
      </c>
      <c r="E869" s="51" t="s">
        <v>1425</v>
      </c>
    </row>
    <row r="870" spans="1:5" ht="15" x14ac:dyDescent="0.2">
      <c r="A870" s="50" t="str">
        <f t="shared" si="13"/>
        <v>ReclosingEnabledStatusA</v>
      </c>
      <c r="B870" s="51" t="s">
        <v>2530</v>
      </c>
      <c r="C870" s="51" t="s">
        <v>353</v>
      </c>
      <c r="D870" s="51" t="s">
        <v>1301</v>
      </c>
      <c r="E870" s="51" t="s">
        <v>1440</v>
      </c>
    </row>
    <row r="871" spans="1:5" ht="15" x14ac:dyDescent="0.2">
      <c r="A871" s="50" t="str">
        <f t="shared" si="13"/>
        <v>ReclosingEnabledStatusB</v>
      </c>
      <c r="B871" s="51" t="s">
        <v>2531</v>
      </c>
      <c r="C871" s="51" t="s">
        <v>353</v>
      </c>
      <c r="D871" s="51" t="s">
        <v>1301</v>
      </c>
      <c r="E871" s="51" t="s">
        <v>1456</v>
      </c>
    </row>
    <row r="872" spans="1:5" ht="15" x14ac:dyDescent="0.2">
      <c r="A872" s="50" t="str">
        <f t="shared" si="13"/>
        <v>ReclosingEnabledStatusC</v>
      </c>
      <c r="B872" s="51" t="s">
        <v>2532</v>
      </c>
      <c r="C872" s="51" t="s">
        <v>353</v>
      </c>
      <c r="D872" s="51" t="s">
        <v>1301</v>
      </c>
      <c r="E872" s="51" t="s">
        <v>1467</v>
      </c>
    </row>
    <row r="873" spans="1:5" ht="15" x14ac:dyDescent="0.2">
      <c r="A873" s="50" t="str">
        <f t="shared" si="13"/>
        <v>RecloserLockoutStatusABC</v>
      </c>
      <c r="B873" s="51" t="s">
        <v>2533</v>
      </c>
      <c r="C873" s="51" t="s">
        <v>358</v>
      </c>
      <c r="D873" s="51" t="s">
        <v>1301</v>
      </c>
      <c r="E873" s="51" t="s">
        <v>1425</v>
      </c>
    </row>
    <row r="874" spans="1:5" ht="15" x14ac:dyDescent="0.2">
      <c r="A874" s="50" t="str">
        <f t="shared" si="13"/>
        <v>RecloserLockoutStatusA</v>
      </c>
      <c r="B874" s="51" t="s">
        <v>2534</v>
      </c>
      <c r="C874" s="51" t="s">
        <v>358</v>
      </c>
      <c r="D874" s="51" t="s">
        <v>1301</v>
      </c>
      <c r="E874" s="51" t="s">
        <v>1440</v>
      </c>
    </row>
    <row r="875" spans="1:5" ht="15" x14ac:dyDescent="0.2">
      <c r="A875" s="50" t="str">
        <f t="shared" si="13"/>
        <v>RecloserLockoutStatusB</v>
      </c>
      <c r="B875" s="51" t="s">
        <v>2535</v>
      </c>
      <c r="C875" s="51" t="s">
        <v>358</v>
      </c>
      <c r="D875" s="51" t="s">
        <v>1301</v>
      </c>
      <c r="E875" s="51" t="s">
        <v>1456</v>
      </c>
    </row>
    <row r="876" spans="1:5" ht="15" x14ac:dyDescent="0.2">
      <c r="A876" s="50" t="str">
        <f t="shared" si="13"/>
        <v>RecloserLockoutStatusC</v>
      </c>
      <c r="B876" s="51" t="s">
        <v>2536</v>
      </c>
      <c r="C876" s="51" t="s">
        <v>358</v>
      </c>
      <c r="D876" s="51" t="s">
        <v>1301</v>
      </c>
      <c r="E876" s="51" t="s">
        <v>1467</v>
      </c>
    </row>
    <row r="877" spans="1:5" ht="15" x14ac:dyDescent="0.2">
      <c r="A877" s="50" t="str">
        <f t="shared" si="13"/>
        <v>RecloseDelayTimeABC</v>
      </c>
      <c r="B877" s="51" t="s">
        <v>2537</v>
      </c>
      <c r="C877" s="51" t="s">
        <v>1667</v>
      </c>
      <c r="D877" s="51" t="s">
        <v>1570</v>
      </c>
      <c r="E877" s="51" t="s">
        <v>1425</v>
      </c>
    </row>
    <row r="878" spans="1:5" ht="15" x14ac:dyDescent="0.2">
      <c r="A878" s="50" t="str">
        <f t="shared" si="13"/>
        <v>RecloseDelayTimeA</v>
      </c>
      <c r="B878" s="51" t="s">
        <v>2538</v>
      </c>
      <c r="C878" s="51" t="s">
        <v>1667</v>
      </c>
      <c r="D878" s="51" t="s">
        <v>1570</v>
      </c>
      <c r="E878" s="51" t="s">
        <v>1440</v>
      </c>
    </row>
    <row r="879" spans="1:5" ht="15" x14ac:dyDescent="0.2">
      <c r="A879" s="50" t="str">
        <f t="shared" si="13"/>
        <v>RecloseDelayTimeB</v>
      </c>
      <c r="B879" s="51" t="s">
        <v>2539</v>
      </c>
      <c r="C879" s="51" t="s">
        <v>1667</v>
      </c>
      <c r="D879" s="51" t="s">
        <v>1570</v>
      </c>
      <c r="E879" s="51" t="s">
        <v>1456</v>
      </c>
    </row>
    <row r="880" spans="1:5" ht="15" x14ac:dyDescent="0.2">
      <c r="A880" s="50" t="str">
        <f t="shared" si="13"/>
        <v>RecloseDelayTimeC</v>
      </c>
      <c r="B880" s="51" t="s">
        <v>2540</v>
      </c>
      <c r="C880" s="51" t="s">
        <v>1667</v>
      </c>
      <c r="D880" s="51" t="s">
        <v>1570</v>
      </c>
      <c r="E880" s="51" t="s">
        <v>1467</v>
      </c>
    </row>
    <row r="881" spans="1:5" ht="15" x14ac:dyDescent="0.2">
      <c r="A881" s="50" t="str">
        <f t="shared" si="13"/>
        <v>UnderFrequencyAlarmStatusABC</v>
      </c>
      <c r="B881" s="51" t="s">
        <v>2541</v>
      </c>
      <c r="C881" s="51" t="s">
        <v>1369</v>
      </c>
      <c r="D881" s="51" t="s">
        <v>1301</v>
      </c>
      <c r="E881" s="51" t="s">
        <v>1425</v>
      </c>
    </row>
    <row r="882" spans="1:5" ht="15" x14ac:dyDescent="0.2">
      <c r="A882" s="50" t="str">
        <f t="shared" si="13"/>
        <v>FanStatusStatusABC</v>
      </c>
      <c r="B882" s="51" t="s">
        <v>2542</v>
      </c>
      <c r="C882" s="51" t="s">
        <v>1353</v>
      </c>
      <c r="D882" s="51" t="s">
        <v>1301</v>
      </c>
      <c r="E882" s="51" t="s">
        <v>1425</v>
      </c>
    </row>
    <row r="883" spans="1:5" ht="15" x14ac:dyDescent="0.2">
      <c r="A883" s="50" t="str">
        <f t="shared" si="13"/>
        <v>FanStatusStatusA</v>
      </c>
      <c r="B883" s="51" t="s">
        <v>2543</v>
      </c>
      <c r="C883" s="51" t="s">
        <v>1353</v>
      </c>
      <c r="D883" s="51" t="s">
        <v>1301</v>
      </c>
      <c r="E883" s="51" t="s">
        <v>1440</v>
      </c>
    </row>
    <row r="884" spans="1:5" ht="15" x14ac:dyDescent="0.2">
      <c r="A884" s="50" t="str">
        <f t="shared" si="13"/>
        <v>FanStatusStatusB</v>
      </c>
      <c r="B884" s="51" t="s">
        <v>2544</v>
      </c>
      <c r="C884" s="51" t="s">
        <v>1353</v>
      </c>
      <c r="D884" s="51" t="s">
        <v>1301</v>
      </c>
      <c r="E884" s="51" t="s">
        <v>1456</v>
      </c>
    </row>
    <row r="885" spans="1:5" ht="15" x14ac:dyDescent="0.2">
      <c r="A885" s="50" t="str">
        <f t="shared" si="13"/>
        <v>FanStatusStatusC</v>
      </c>
      <c r="B885" s="51" t="s">
        <v>2545</v>
      </c>
      <c r="C885" s="51" t="s">
        <v>1353</v>
      </c>
      <c r="D885" s="51" t="s">
        <v>1301</v>
      </c>
      <c r="E885" s="51" t="s">
        <v>1467</v>
      </c>
    </row>
    <row r="886" spans="1:5" ht="15" x14ac:dyDescent="0.2">
      <c r="A886" s="50" t="str">
        <f t="shared" si="13"/>
        <v>OilPumpStatusStatusABC</v>
      </c>
      <c r="B886" s="51" t="s">
        <v>2546</v>
      </c>
      <c r="C886" s="51" t="s">
        <v>1355</v>
      </c>
      <c r="D886" s="51" t="s">
        <v>1301</v>
      </c>
      <c r="E886" s="51" t="s">
        <v>1425</v>
      </c>
    </row>
    <row r="887" spans="1:5" ht="15" x14ac:dyDescent="0.2">
      <c r="A887" s="50" t="str">
        <f t="shared" si="13"/>
        <v>OilPumpStatusStatusA</v>
      </c>
      <c r="B887" s="51" t="s">
        <v>2547</v>
      </c>
      <c r="C887" s="51" t="s">
        <v>1355</v>
      </c>
      <c r="D887" s="51" t="s">
        <v>1301</v>
      </c>
      <c r="E887" s="51" t="s">
        <v>1440</v>
      </c>
    </row>
    <row r="888" spans="1:5" ht="15" x14ac:dyDescent="0.2">
      <c r="A888" s="50" t="str">
        <f t="shared" si="13"/>
        <v>OilPumpStatusStatusB</v>
      </c>
      <c r="B888" s="51" t="s">
        <v>2548</v>
      </c>
      <c r="C888" s="51" t="s">
        <v>1355</v>
      </c>
      <c r="D888" s="51" t="s">
        <v>1301</v>
      </c>
      <c r="E888" s="51" t="s">
        <v>1456</v>
      </c>
    </row>
    <row r="889" spans="1:5" ht="15" x14ac:dyDescent="0.2">
      <c r="A889" s="50" t="str">
        <f t="shared" si="13"/>
        <v>OilPumpStatusStatusC</v>
      </c>
      <c r="B889" s="51" t="s">
        <v>2549</v>
      </c>
      <c r="C889" s="51" t="s">
        <v>1355</v>
      </c>
      <c r="D889" s="51" t="s">
        <v>1301</v>
      </c>
      <c r="E889" s="51" t="s">
        <v>1467</v>
      </c>
    </row>
    <row r="890" spans="1:5" ht="15" x14ac:dyDescent="0.2">
      <c r="A890" s="50" t="str">
        <f t="shared" si="13"/>
        <v>MeasuredValueOilTemperatureABC</v>
      </c>
      <c r="B890" s="51" t="s">
        <v>2550</v>
      </c>
      <c r="C890" s="51" t="s">
        <v>1532</v>
      </c>
      <c r="D890" s="51" t="s">
        <v>1680</v>
      </c>
      <c r="E890" s="51" t="s">
        <v>1425</v>
      </c>
    </row>
    <row r="891" spans="1:5" ht="30" x14ac:dyDescent="0.2">
      <c r="A891" s="50" t="str">
        <f t="shared" si="13"/>
        <v>MeasuredValueHotSpotTemperatureABC</v>
      </c>
      <c r="B891" s="51" t="s">
        <v>2551</v>
      </c>
      <c r="C891" s="51" t="s">
        <v>1532</v>
      </c>
      <c r="D891" s="51" t="s">
        <v>1684</v>
      </c>
      <c r="E891" s="51" t="s">
        <v>1425</v>
      </c>
    </row>
    <row r="892" spans="1:5" ht="30" x14ac:dyDescent="0.2">
      <c r="A892" s="50" t="str">
        <f t="shared" si="13"/>
        <v>MeasuredValueOilTemperatureABCPrimary</v>
      </c>
      <c r="B892" s="51" t="s">
        <v>2552</v>
      </c>
      <c r="C892" s="51" t="s">
        <v>1532</v>
      </c>
      <c r="D892" s="51" t="s">
        <v>1680</v>
      </c>
      <c r="E892" s="51" t="s">
        <v>1499</v>
      </c>
    </row>
    <row r="893" spans="1:5" ht="30" x14ac:dyDescent="0.2">
      <c r="A893" s="50" t="str">
        <f t="shared" si="13"/>
        <v>MeasuredValueHotSpotTemperatureABCPrimary</v>
      </c>
      <c r="B893" s="51" t="s">
        <v>2553</v>
      </c>
      <c r="C893" s="51" t="s">
        <v>1532</v>
      </c>
      <c r="D893" s="51" t="s">
        <v>1684</v>
      </c>
      <c r="E893" s="51" t="s">
        <v>1499</v>
      </c>
    </row>
    <row r="894" spans="1:5" ht="30" x14ac:dyDescent="0.2">
      <c r="A894" s="50" t="str">
        <f t="shared" si="13"/>
        <v>MeasuredValueOilTemperatureABCSecondary</v>
      </c>
      <c r="B894" s="51" t="s">
        <v>2554</v>
      </c>
      <c r="C894" s="51" t="s">
        <v>1532</v>
      </c>
      <c r="D894" s="51" t="s">
        <v>1680</v>
      </c>
      <c r="E894" s="51" t="s">
        <v>1551</v>
      </c>
    </row>
    <row r="895" spans="1:5" ht="30" x14ac:dyDescent="0.2">
      <c r="A895" s="50" t="str">
        <f t="shared" si="13"/>
        <v>MeasuredValueHotSpotTemperatureABCSecondary</v>
      </c>
      <c r="B895" s="51" t="s">
        <v>2555</v>
      </c>
      <c r="C895" s="51" t="s">
        <v>1532</v>
      </c>
      <c r="D895" s="51" t="s">
        <v>1684</v>
      </c>
      <c r="E895" s="51" t="s">
        <v>1551</v>
      </c>
    </row>
    <row r="896" spans="1:5" ht="15" x14ac:dyDescent="0.2">
      <c r="A896" s="50" t="str">
        <f t="shared" si="13"/>
        <v>MeasuredValueCurrentABCTertiary</v>
      </c>
      <c r="B896" s="51" t="s">
        <v>2556</v>
      </c>
      <c r="C896" s="51" t="s">
        <v>1532</v>
      </c>
      <c r="D896" s="51" t="s">
        <v>1498</v>
      </c>
      <c r="E896" s="51" t="s">
        <v>1600</v>
      </c>
    </row>
    <row r="897" spans="1:5" ht="15" x14ac:dyDescent="0.2">
      <c r="A897" s="50" t="str">
        <f t="shared" si="13"/>
        <v>MeasuredValueCurrentATertiary</v>
      </c>
      <c r="B897" s="51" t="s">
        <v>2557</v>
      </c>
      <c r="C897" s="51" t="s">
        <v>1532</v>
      </c>
      <c r="D897" s="51" t="s">
        <v>1498</v>
      </c>
      <c r="E897" s="51" t="s">
        <v>1607</v>
      </c>
    </row>
    <row r="898" spans="1:5" ht="15" x14ac:dyDescent="0.2">
      <c r="A898" s="50" t="str">
        <f t="shared" si="13"/>
        <v>MeasuredValueCurrentBTertiary</v>
      </c>
      <c r="B898" s="51" t="s">
        <v>2558</v>
      </c>
      <c r="C898" s="51" t="s">
        <v>1532</v>
      </c>
      <c r="D898" s="51" t="s">
        <v>1498</v>
      </c>
      <c r="E898" s="51" t="s">
        <v>1614</v>
      </c>
    </row>
    <row r="899" spans="1:5" ht="15" x14ac:dyDescent="0.2">
      <c r="A899" s="50" t="str">
        <f t="shared" si="13"/>
        <v>MeasuredValueCurrentCTertiary</v>
      </c>
      <c r="B899" s="51" t="s">
        <v>2559</v>
      </c>
      <c r="C899" s="51" t="s">
        <v>1532</v>
      </c>
      <c r="D899" s="51" t="s">
        <v>1498</v>
      </c>
      <c r="E899" s="51" t="s">
        <v>1620</v>
      </c>
    </row>
    <row r="900" spans="1:5" ht="15" x14ac:dyDescent="0.2">
      <c r="A900" s="50" t="str">
        <f t="shared" si="13"/>
        <v>MeasuredValueCurrentNTertiary</v>
      </c>
      <c r="B900" s="51" t="s">
        <v>2560</v>
      </c>
      <c r="C900" s="51" t="s">
        <v>1532</v>
      </c>
      <c r="D900" s="51" t="s">
        <v>1498</v>
      </c>
      <c r="E900" s="51" t="s">
        <v>2561</v>
      </c>
    </row>
    <row r="901" spans="1:5" ht="30" x14ac:dyDescent="0.2">
      <c r="A901" s="50" t="str">
        <f t="shared" si="13"/>
        <v>MeasuredValueActivePowerABCTertiary</v>
      </c>
      <c r="B901" s="51" t="s">
        <v>2562</v>
      </c>
      <c r="C901" s="51" t="s">
        <v>1532</v>
      </c>
      <c r="D901" s="51" t="s">
        <v>1504</v>
      </c>
      <c r="E901" s="51" t="s">
        <v>1600</v>
      </c>
    </row>
    <row r="902" spans="1:5" ht="15" x14ac:dyDescent="0.2">
      <c r="A902" s="50" t="str">
        <f t="shared" si="13"/>
        <v>MeasuredValueActivePowerATertiary</v>
      </c>
      <c r="B902" s="51" t="s">
        <v>2563</v>
      </c>
      <c r="C902" s="51" t="s">
        <v>1532</v>
      </c>
      <c r="D902" s="51" t="s">
        <v>1504</v>
      </c>
      <c r="E902" s="51" t="s">
        <v>1607</v>
      </c>
    </row>
    <row r="903" spans="1:5" ht="15" x14ac:dyDescent="0.2">
      <c r="A903" s="50" t="str">
        <f t="shared" si="13"/>
        <v>MeasuredValueActivePowerBTertiary</v>
      </c>
      <c r="B903" s="51" t="s">
        <v>2564</v>
      </c>
      <c r="C903" s="51" t="s">
        <v>1532</v>
      </c>
      <c r="D903" s="51" t="s">
        <v>1504</v>
      </c>
      <c r="E903" s="51" t="s">
        <v>1614</v>
      </c>
    </row>
    <row r="904" spans="1:5" ht="15" x14ac:dyDescent="0.2">
      <c r="A904" s="50" t="str">
        <f t="shared" si="13"/>
        <v>MeasuredValueActivePowerCTertiary</v>
      </c>
      <c r="B904" s="51" t="s">
        <v>2565</v>
      </c>
      <c r="C904" s="51" t="s">
        <v>1532</v>
      </c>
      <c r="D904" s="51" t="s">
        <v>1504</v>
      </c>
      <c r="E904" s="51" t="s">
        <v>1620</v>
      </c>
    </row>
    <row r="905" spans="1:5" ht="30" x14ac:dyDescent="0.2">
      <c r="A905" s="50" t="str">
        <f t="shared" si="13"/>
        <v>MeasuredValueReactivePowerABCTertiary</v>
      </c>
      <c r="B905" s="51" t="s">
        <v>2566</v>
      </c>
      <c r="C905" s="51" t="s">
        <v>1532</v>
      </c>
      <c r="D905" s="51" t="s">
        <v>1563</v>
      </c>
      <c r="E905" s="51" t="s">
        <v>1600</v>
      </c>
    </row>
    <row r="906" spans="1:5" ht="30" x14ac:dyDescent="0.2">
      <c r="A906" s="50" t="str">
        <f t="shared" si="13"/>
        <v>MeasuredValueReactivePowerATertiary</v>
      </c>
      <c r="B906" s="51" t="s">
        <v>2567</v>
      </c>
      <c r="C906" s="51" t="s">
        <v>1532</v>
      </c>
      <c r="D906" s="51" t="s">
        <v>1563</v>
      </c>
      <c r="E906" s="51" t="s">
        <v>1607</v>
      </c>
    </row>
    <row r="907" spans="1:5" ht="30" x14ac:dyDescent="0.2">
      <c r="A907" s="50" t="str">
        <f t="shared" ref="A907:A971" si="14">CONCATENATE(C907,D907,E907)</f>
        <v>MeasuredValueReactivePowerBTertiary</v>
      </c>
      <c r="B907" s="51" t="s">
        <v>2568</v>
      </c>
      <c r="C907" s="51" t="s">
        <v>1532</v>
      </c>
      <c r="D907" s="51" t="s">
        <v>1563</v>
      </c>
      <c r="E907" s="51" t="s">
        <v>1614</v>
      </c>
    </row>
    <row r="908" spans="1:5" ht="30" x14ac:dyDescent="0.2">
      <c r="A908" s="50" t="str">
        <f t="shared" si="14"/>
        <v>MeasuredValueReactivePowerCTertiary</v>
      </c>
      <c r="B908" s="51" t="s">
        <v>2569</v>
      </c>
      <c r="C908" s="51" t="s">
        <v>1532</v>
      </c>
      <c r="D908" s="51" t="s">
        <v>1563</v>
      </c>
      <c r="E908" s="51" t="s">
        <v>1620</v>
      </c>
    </row>
    <row r="909" spans="1:5" ht="30" x14ac:dyDescent="0.2">
      <c r="A909" s="50" t="str">
        <f t="shared" si="14"/>
        <v>MeasuredValueApparentPowerABCTertiary</v>
      </c>
      <c r="B909" s="51" t="s">
        <v>2570</v>
      </c>
      <c r="C909" s="51" t="s">
        <v>1532</v>
      </c>
      <c r="D909" s="51" t="s">
        <v>1511</v>
      </c>
      <c r="E909" s="51" t="s">
        <v>1600</v>
      </c>
    </row>
    <row r="910" spans="1:5" ht="15" x14ac:dyDescent="0.2">
      <c r="A910" s="50" t="str">
        <f t="shared" si="14"/>
        <v>MeasuredValueCosPhiABCTertiary</v>
      </c>
      <c r="B910" s="51" t="s">
        <v>2571</v>
      </c>
      <c r="C910" s="51" t="s">
        <v>1532</v>
      </c>
      <c r="D910" s="51" t="s">
        <v>1518</v>
      </c>
      <c r="E910" s="51" t="s">
        <v>1600</v>
      </c>
    </row>
    <row r="911" spans="1:5" ht="15" x14ac:dyDescent="0.2">
      <c r="A911" s="50" t="str">
        <f t="shared" si="14"/>
        <v>MeasuredValueCosPhiATertiary</v>
      </c>
      <c r="B911" s="51" t="s">
        <v>2572</v>
      </c>
      <c r="C911" s="51" t="s">
        <v>1532</v>
      </c>
      <c r="D911" s="51" t="s">
        <v>1518</v>
      </c>
      <c r="E911" s="51" t="s">
        <v>1607</v>
      </c>
    </row>
    <row r="912" spans="1:5" ht="15" x14ac:dyDescent="0.2">
      <c r="A912" s="50" t="str">
        <f t="shared" si="14"/>
        <v>MeasuredValueCosPhiBTertiary</v>
      </c>
      <c r="B912" s="51" t="s">
        <v>2573</v>
      </c>
      <c r="C912" s="51" t="s">
        <v>1532</v>
      </c>
      <c r="D912" s="51" t="s">
        <v>1518</v>
      </c>
      <c r="E912" s="51" t="s">
        <v>1614</v>
      </c>
    </row>
    <row r="913" spans="1:5" ht="15" x14ac:dyDescent="0.2">
      <c r="A913" s="50" t="str">
        <f t="shared" si="14"/>
        <v>MeasuredValueCosPhiCTertiary</v>
      </c>
      <c r="B913" s="51" t="s">
        <v>2574</v>
      </c>
      <c r="C913" s="51" t="s">
        <v>1532</v>
      </c>
      <c r="D913" s="51" t="s">
        <v>1518</v>
      </c>
      <c r="E913" s="51" t="s">
        <v>1620</v>
      </c>
    </row>
    <row r="914" spans="1:5" ht="30" x14ac:dyDescent="0.2">
      <c r="A914" s="50" t="str">
        <f t="shared" si="14"/>
        <v>MeasuredValueActiveEnergyABCTertiary</v>
      </c>
      <c r="B914" s="51" t="s">
        <v>2575</v>
      </c>
      <c r="C914" s="51" t="s">
        <v>1532</v>
      </c>
      <c r="D914" s="51" t="s">
        <v>1526</v>
      </c>
      <c r="E914" s="51" t="s">
        <v>1600</v>
      </c>
    </row>
    <row r="915" spans="1:5" ht="30" x14ac:dyDescent="0.2">
      <c r="A915" s="50" t="str">
        <f t="shared" si="14"/>
        <v>MeasuredValueActiveEnergyATertiary</v>
      </c>
      <c r="B915" s="51" t="s">
        <v>2576</v>
      </c>
      <c r="C915" s="51" t="s">
        <v>1532</v>
      </c>
      <c r="D915" s="51" t="s">
        <v>1526</v>
      </c>
      <c r="E915" s="51" t="s">
        <v>1607</v>
      </c>
    </row>
    <row r="916" spans="1:5" ht="30" x14ac:dyDescent="0.2">
      <c r="A916" s="50" t="str">
        <f t="shared" si="14"/>
        <v>MeasuredValueActiveEnergyBTertiary</v>
      </c>
      <c r="B916" s="51" t="s">
        <v>2577</v>
      </c>
      <c r="C916" s="51" t="s">
        <v>1532</v>
      </c>
      <c r="D916" s="51" t="s">
        <v>1526</v>
      </c>
      <c r="E916" s="51" t="s">
        <v>1614</v>
      </c>
    </row>
    <row r="917" spans="1:5" ht="30" x14ac:dyDescent="0.2">
      <c r="A917" s="50" t="str">
        <f t="shared" si="14"/>
        <v>MeasuredValueActiveEnergyCTertiary</v>
      </c>
      <c r="B917" s="51" t="s">
        <v>2578</v>
      </c>
      <c r="C917" s="51" t="s">
        <v>1532</v>
      </c>
      <c r="D917" s="51" t="s">
        <v>1526</v>
      </c>
      <c r="E917" s="51" t="s">
        <v>1620</v>
      </c>
    </row>
    <row r="918" spans="1:5" ht="30" x14ac:dyDescent="0.2">
      <c r="A918" s="50" t="str">
        <f t="shared" si="14"/>
        <v>MeasuredValueReactiveEnergyABCTertiary</v>
      </c>
      <c r="B918" s="51" t="s">
        <v>2579</v>
      </c>
      <c r="C918" s="51" t="s">
        <v>1532</v>
      </c>
      <c r="D918" s="51" t="s">
        <v>1534</v>
      </c>
      <c r="E918" s="51" t="s">
        <v>1600</v>
      </c>
    </row>
    <row r="919" spans="1:5" ht="30" x14ac:dyDescent="0.2">
      <c r="A919" s="50" t="str">
        <f t="shared" si="14"/>
        <v>MeasuredValueReactiveEnergyATertiary</v>
      </c>
      <c r="B919" s="51" t="s">
        <v>2580</v>
      </c>
      <c r="C919" s="51" t="s">
        <v>1532</v>
      </c>
      <c r="D919" s="51" t="s">
        <v>1534</v>
      </c>
      <c r="E919" s="51" t="s">
        <v>1607</v>
      </c>
    </row>
    <row r="920" spans="1:5" ht="30" x14ac:dyDescent="0.2">
      <c r="A920" s="50" t="str">
        <f t="shared" si="14"/>
        <v>MeasuredValueReactiveEnergyBTertiary</v>
      </c>
      <c r="B920" s="51" t="s">
        <v>2581</v>
      </c>
      <c r="C920" s="51" t="s">
        <v>1532</v>
      </c>
      <c r="D920" s="51" t="s">
        <v>1534</v>
      </c>
      <c r="E920" s="51" t="s">
        <v>1614</v>
      </c>
    </row>
    <row r="921" spans="1:5" ht="30" x14ac:dyDescent="0.2">
      <c r="A921" s="50" t="str">
        <f t="shared" si="14"/>
        <v>MeasuredValueReactiveEnergyCTertiary</v>
      </c>
      <c r="B921" s="51" t="s">
        <v>2582</v>
      </c>
      <c r="C921" s="51" t="s">
        <v>1532</v>
      </c>
      <c r="D921" s="51" t="s">
        <v>1534</v>
      </c>
      <c r="E921" s="51" t="s">
        <v>1620</v>
      </c>
    </row>
    <row r="922" spans="1:5" ht="30" x14ac:dyDescent="0.2">
      <c r="A922" s="50" t="str">
        <f t="shared" si="14"/>
        <v>MeasuredValueOilTemperatureABCTertiary</v>
      </c>
      <c r="B922" s="51" t="s">
        <v>2583</v>
      </c>
      <c r="C922" s="51" t="s">
        <v>1532</v>
      </c>
      <c r="D922" s="51" t="s">
        <v>1680</v>
      </c>
      <c r="E922" s="51" t="s">
        <v>1600</v>
      </c>
    </row>
    <row r="923" spans="1:5" ht="30" x14ac:dyDescent="0.2">
      <c r="A923" s="50" t="str">
        <f t="shared" si="14"/>
        <v>MeasuredValueHotSpotTemperatureABCTertiary</v>
      </c>
      <c r="B923" s="51" t="s">
        <v>2584</v>
      </c>
      <c r="C923" s="51" t="s">
        <v>1532</v>
      </c>
      <c r="D923" s="51" t="s">
        <v>1684</v>
      </c>
      <c r="E923" s="51" t="s">
        <v>1600</v>
      </c>
    </row>
    <row r="924" spans="1:5" ht="30" x14ac:dyDescent="0.2">
      <c r="A924" s="50" t="str">
        <f t="shared" si="14"/>
        <v>MeasuredValueTemperatureABCTertiary</v>
      </c>
      <c r="B924" s="51" t="s">
        <v>2585</v>
      </c>
      <c r="C924" s="51" t="s">
        <v>1532</v>
      </c>
      <c r="D924" s="51" t="s">
        <v>1549</v>
      </c>
      <c r="E924" s="51" t="s">
        <v>1600</v>
      </c>
    </row>
    <row r="925" spans="1:5" ht="30" x14ac:dyDescent="0.2">
      <c r="A925" s="50" t="str">
        <f t="shared" si="14"/>
        <v>MeasuredValueTemperatureATertiary</v>
      </c>
      <c r="B925" s="51" t="s">
        <v>2586</v>
      </c>
      <c r="C925" s="51" t="s">
        <v>1532</v>
      </c>
      <c r="D925" s="51" t="s">
        <v>1549</v>
      </c>
      <c r="E925" s="51" t="s">
        <v>1607</v>
      </c>
    </row>
    <row r="926" spans="1:5" ht="30" x14ac:dyDescent="0.2">
      <c r="A926" s="50" t="str">
        <f t="shared" si="14"/>
        <v>MeasuredValueTemperatureBTertiary</v>
      </c>
      <c r="B926" s="51" t="s">
        <v>2587</v>
      </c>
      <c r="C926" s="51" t="s">
        <v>1532</v>
      </c>
      <c r="D926" s="51" t="s">
        <v>1549</v>
      </c>
      <c r="E926" s="51" t="s">
        <v>1614</v>
      </c>
    </row>
    <row r="927" spans="1:5" ht="30" x14ac:dyDescent="0.2">
      <c r="A927" s="50" t="str">
        <f t="shared" si="14"/>
        <v>MeasuredValueTemperatureCTertiary</v>
      </c>
      <c r="B927" s="51" t="s">
        <v>2588</v>
      </c>
      <c r="C927" s="51" t="s">
        <v>1532</v>
      </c>
      <c r="D927" s="51" t="s">
        <v>1549</v>
      </c>
      <c r="E927" s="51" t="s">
        <v>1620</v>
      </c>
    </row>
    <row r="928" spans="1:5" ht="30" x14ac:dyDescent="0.2">
      <c r="A928" s="50" t="str">
        <f t="shared" si="14"/>
        <v>AnalogSignalType.CustomUnitlessABCTertiary</v>
      </c>
      <c r="B928" s="51" t="s">
        <v>2589</v>
      </c>
      <c r="C928" s="51" t="s">
        <v>1548</v>
      </c>
      <c r="D928" s="51" t="s">
        <v>1556</v>
      </c>
      <c r="E928" s="51" t="s">
        <v>1600</v>
      </c>
    </row>
    <row r="929" spans="1:5" ht="30" x14ac:dyDescent="0.2">
      <c r="A929" s="50" t="str">
        <f t="shared" si="14"/>
        <v>AnalogSignalType.CustomUnitlessATertiary</v>
      </c>
      <c r="B929" s="51" t="s">
        <v>2590</v>
      </c>
      <c r="C929" s="51" t="s">
        <v>1548</v>
      </c>
      <c r="D929" s="51" t="s">
        <v>1556</v>
      </c>
      <c r="E929" s="51" t="s">
        <v>1607</v>
      </c>
    </row>
    <row r="930" spans="1:5" ht="30" x14ac:dyDescent="0.2">
      <c r="A930" s="50" t="str">
        <f t="shared" si="14"/>
        <v>AnalogSignalType.CustomUnitlessBTertiary</v>
      </c>
      <c r="B930" s="51" t="s">
        <v>2591</v>
      </c>
      <c r="C930" s="51" t="s">
        <v>1548</v>
      </c>
      <c r="D930" s="51" t="s">
        <v>1556</v>
      </c>
      <c r="E930" s="51" t="s">
        <v>1614</v>
      </c>
    </row>
    <row r="931" spans="1:5" ht="30" x14ac:dyDescent="0.2">
      <c r="A931" s="50" t="str">
        <f t="shared" si="14"/>
        <v>AnalogSignalType.CustomUnitlessCTertiary</v>
      </c>
      <c r="B931" s="51" t="s">
        <v>2592</v>
      </c>
      <c r="C931" s="51" t="s">
        <v>1548</v>
      </c>
      <c r="D931" s="51" t="s">
        <v>1556</v>
      </c>
      <c r="E931" s="51" t="s">
        <v>1620</v>
      </c>
    </row>
    <row r="932" spans="1:5" ht="30" x14ac:dyDescent="0.2">
      <c r="A932" s="50" t="str">
        <f t="shared" si="14"/>
        <v>AnalogSignalType.CustomVoltageABCTertiary</v>
      </c>
      <c r="B932" s="51" t="s">
        <v>2593</v>
      </c>
      <c r="C932" s="51" t="s">
        <v>1548</v>
      </c>
      <c r="D932" s="51" t="s">
        <v>1469</v>
      </c>
      <c r="E932" s="51" t="s">
        <v>1600</v>
      </c>
    </row>
    <row r="933" spans="1:5" ht="30" x14ac:dyDescent="0.2">
      <c r="A933" s="50" t="str">
        <f t="shared" si="14"/>
        <v>AnalogSignalType.CustomVoltageATertiary</v>
      </c>
      <c r="B933" s="51" t="s">
        <v>2594</v>
      </c>
      <c r="C933" s="51" t="s">
        <v>1548</v>
      </c>
      <c r="D933" s="51" t="s">
        <v>1469</v>
      </c>
      <c r="E933" s="51" t="s">
        <v>1607</v>
      </c>
    </row>
    <row r="934" spans="1:5" ht="30" x14ac:dyDescent="0.2">
      <c r="A934" s="50" t="str">
        <f t="shared" si="14"/>
        <v>AnalogSignalType.CustomVoltageBTertiary</v>
      </c>
      <c r="B934" s="51" t="s">
        <v>2595</v>
      </c>
      <c r="C934" s="51" t="s">
        <v>1548</v>
      </c>
      <c r="D934" s="51" t="s">
        <v>1469</v>
      </c>
      <c r="E934" s="51" t="s">
        <v>1614</v>
      </c>
    </row>
    <row r="935" spans="1:5" ht="30" x14ac:dyDescent="0.2">
      <c r="A935" s="50" t="str">
        <f t="shared" si="14"/>
        <v>AnalogSignalType.CustomVoltageCTertiary</v>
      </c>
      <c r="B935" s="51" t="s">
        <v>2596</v>
      </c>
      <c r="C935" s="51" t="s">
        <v>1548</v>
      </c>
      <c r="D935" s="51" t="s">
        <v>1469</v>
      </c>
      <c r="E935" s="51" t="s">
        <v>1620</v>
      </c>
    </row>
    <row r="936" spans="1:5" ht="30" x14ac:dyDescent="0.2">
      <c r="A936" s="50" t="str">
        <f t="shared" si="14"/>
        <v>AnalogSignalType.CustomCurrentABCTertiary</v>
      </c>
      <c r="B936" s="51" t="s">
        <v>2597</v>
      </c>
      <c r="C936" s="51" t="s">
        <v>1548</v>
      </c>
      <c r="D936" s="51" t="s">
        <v>1498</v>
      </c>
      <c r="E936" s="51" t="s">
        <v>1600</v>
      </c>
    </row>
    <row r="937" spans="1:5" ht="30" x14ac:dyDescent="0.2">
      <c r="A937" s="50" t="str">
        <f t="shared" si="14"/>
        <v>AnalogSignalType.CustomCurrentATertiary</v>
      </c>
      <c r="B937" s="51" t="s">
        <v>2598</v>
      </c>
      <c r="C937" s="51" t="s">
        <v>1548</v>
      </c>
      <c r="D937" s="51" t="s">
        <v>1498</v>
      </c>
      <c r="E937" s="51" t="s">
        <v>1607</v>
      </c>
    </row>
    <row r="938" spans="1:5" ht="30" x14ac:dyDescent="0.2">
      <c r="A938" s="50" t="str">
        <f t="shared" si="14"/>
        <v>AnalogSignalType.CustomCurrentBTertiary</v>
      </c>
      <c r="B938" s="51" t="s">
        <v>2599</v>
      </c>
      <c r="C938" s="51" t="s">
        <v>1548</v>
      </c>
      <c r="D938" s="51" t="s">
        <v>1498</v>
      </c>
      <c r="E938" s="51" t="s">
        <v>1614</v>
      </c>
    </row>
    <row r="939" spans="1:5" ht="30" x14ac:dyDescent="0.2">
      <c r="A939" s="50" t="str">
        <f t="shared" si="14"/>
        <v>AnalogSignalType.CustomCurrentCTertiary</v>
      </c>
      <c r="B939" s="51" t="s">
        <v>2600</v>
      </c>
      <c r="C939" s="51" t="s">
        <v>1548</v>
      </c>
      <c r="D939" s="51" t="s">
        <v>1498</v>
      </c>
      <c r="E939" s="51" t="s">
        <v>1620</v>
      </c>
    </row>
    <row r="940" spans="1:5" ht="30" x14ac:dyDescent="0.2">
      <c r="A940" s="50" t="str">
        <f t="shared" si="14"/>
        <v>AnalogSignalType.CustomCurrentNTertiary</v>
      </c>
      <c r="B940" s="51" t="s">
        <v>2601</v>
      </c>
      <c r="C940" s="51" t="s">
        <v>1548</v>
      </c>
      <c r="D940" s="51" t="s">
        <v>1498</v>
      </c>
      <c r="E940" s="51" t="s">
        <v>2561</v>
      </c>
    </row>
    <row r="941" spans="1:5" ht="30" x14ac:dyDescent="0.2">
      <c r="A941" s="50" t="str">
        <f t="shared" si="14"/>
        <v>AnalogSignalType.CustomActivePowerABCTertiary</v>
      </c>
      <c r="B941" s="51" t="s">
        <v>2602</v>
      </c>
      <c r="C941" s="51" t="s">
        <v>1548</v>
      </c>
      <c r="D941" s="51" t="s">
        <v>1504</v>
      </c>
      <c r="E941" s="51" t="s">
        <v>1600</v>
      </c>
    </row>
    <row r="942" spans="1:5" ht="30" x14ac:dyDescent="0.2">
      <c r="A942" s="50" t="str">
        <f t="shared" si="14"/>
        <v>AnalogSignalType.CustomActivePowerATertiary</v>
      </c>
      <c r="B942" s="51" t="s">
        <v>2603</v>
      </c>
      <c r="C942" s="51" t="s">
        <v>1548</v>
      </c>
      <c r="D942" s="51" t="s">
        <v>1504</v>
      </c>
      <c r="E942" s="51" t="s">
        <v>1607</v>
      </c>
    </row>
    <row r="943" spans="1:5" ht="30" x14ac:dyDescent="0.2">
      <c r="A943" s="50" t="str">
        <f t="shared" si="14"/>
        <v>AnalogSignalType.CustomActivePowerBTertiary</v>
      </c>
      <c r="B943" s="51" t="s">
        <v>2604</v>
      </c>
      <c r="C943" s="51" t="s">
        <v>1548</v>
      </c>
      <c r="D943" s="51" t="s">
        <v>1504</v>
      </c>
      <c r="E943" s="51" t="s">
        <v>1614</v>
      </c>
    </row>
    <row r="944" spans="1:5" ht="30" x14ac:dyDescent="0.2">
      <c r="A944" s="50" t="str">
        <f t="shared" si="14"/>
        <v>AnalogSignalType.CustomActivePowerCTertiary</v>
      </c>
      <c r="B944" s="51" t="s">
        <v>2605</v>
      </c>
      <c r="C944" s="51" t="s">
        <v>1548</v>
      </c>
      <c r="D944" s="51" t="s">
        <v>1504</v>
      </c>
      <c r="E944" s="51" t="s">
        <v>1620</v>
      </c>
    </row>
    <row r="945" spans="1:5" ht="30" x14ac:dyDescent="0.2">
      <c r="A945" s="50" t="str">
        <f t="shared" si="14"/>
        <v>AnalogSignalType.CustomReactivePowerABCTertiary</v>
      </c>
      <c r="B945" s="51" t="s">
        <v>2606</v>
      </c>
      <c r="C945" s="51" t="s">
        <v>1548</v>
      </c>
      <c r="D945" s="51" t="s">
        <v>1563</v>
      </c>
      <c r="E945" s="51" t="s">
        <v>1600</v>
      </c>
    </row>
    <row r="946" spans="1:5" ht="30" x14ac:dyDescent="0.2">
      <c r="A946" s="50" t="str">
        <f t="shared" si="14"/>
        <v>AnalogSignalType.CustomReactivePowerATertiary</v>
      </c>
      <c r="B946" s="51" t="s">
        <v>2607</v>
      </c>
      <c r="C946" s="51" t="s">
        <v>1548</v>
      </c>
      <c r="D946" s="51" t="s">
        <v>1563</v>
      </c>
      <c r="E946" s="51" t="s">
        <v>1607</v>
      </c>
    </row>
    <row r="947" spans="1:5" ht="30" x14ac:dyDescent="0.2">
      <c r="A947" s="50" t="str">
        <f t="shared" si="14"/>
        <v>AnalogSignalType.CustomReactivePowerBTertiary</v>
      </c>
      <c r="B947" s="51" t="s">
        <v>2608</v>
      </c>
      <c r="C947" s="51" t="s">
        <v>1548</v>
      </c>
      <c r="D947" s="51" t="s">
        <v>1563</v>
      </c>
      <c r="E947" s="51" t="s">
        <v>1614</v>
      </c>
    </row>
    <row r="948" spans="1:5" ht="30" x14ac:dyDescent="0.2">
      <c r="A948" s="50" t="str">
        <f t="shared" si="14"/>
        <v>AnalogSignalType.CustomReactivePowerCTertiary</v>
      </c>
      <c r="B948" s="51" t="s">
        <v>2609</v>
      </c>
      <c r="C948" s="51" t="s">
        <v>1548</v>
      </c>
      <c r="D948" s="51" t="s">
        <v>1563</v>
      </c>
      <c r="E948" s="51" t="s">
        <v>1620</v>
      </c>
    </row>
    <row r="949" spans="1:5" ht="30" x14ac:dyDescent="0.2">
      <c r="A949" s="50" t="str">
        <f t="shared" si="14"/>
        <v>AnalogSignalType.CustomFrequencyABCTertiary</v>
      </c>
      <c r="B949" s="51" t="s">
        <v>2610</v>
      </c>
      <c r="C949" s="51" t="s">
        <v>1548</v>
      </c>
      <c r="D949" s="51" t="s">
        <v>1485</v>
      </c>
      <c r="E949" s="51" t="s">
        <v>1600</v>
      </c>
    </row>
    <row r="950" spans="1:5" ht="30" x14ac:dyDescent="0.2">
      <c r="A950" s="50" t="str">
        <f t="shared" si="14"/>
        <v>AnalogSignalType.CustomFrequencyATertiary</v>
      </c>
      <c r="B950" s="51" t="s">
        <v>2611</v>
      </c>
      <c r="C950" s="51" t="s">
        <v>1548</v>
      </c>
      <c r="D950" s="51" t="s">
        <v>1485</v>
      </c>
      <c r="E950" s="51" t="s">
        <v>1607</v>
      </c>
    </row>
    <row r="951" spans="1:5" ht="30" x14ac:dyDescent="0.2">
      <c r="A951" s="50" t="str">
        <f t="shared" si="14"/>
        <v>AnalogSignalType.CustomFrequencyBTertiary</v>
      </c>
      <c r="B951" s="51" t="s">
        <v>2612</v>
      </c>
      <c r="C951" s="51" t="s">
        <v>1548</v>
      </c>
      <c r="D951" s="51" t="s">
        <v>1485</v>
      </c>
      <c r="E951" s="51" t="s">
        <v>1614</v>
      </c>
    </row>
    <row r="952" spans="1:5" ht="30" x14ac:dyDescent="0.2">
      <c r="A952" s="50" t="str">
        <f t="shared" si="14"/>
        <v>AnalogSignalType.CustomFrequencyCTertiary</v>
      </c>
      <c r="B952" s="51" t="s">
        <v>2613</v>
      </c>
      <c r="C952" s="51" t="s">
        <v>1548</v>
      </c>
      <c r="D952" s="51" t="s">
        <v>1485</v>
      </c>
      <c r="E952" s="51" t="s">
        <v>1620</v>
      </c>
    </row>
    <row r="953" spans="1:5" ht="30" x14ac:dyDescent="0.2">
      <c r="A953" s="50" t="str">
        <f t="shared" si="14"/>
        <v>AnalogSignalType.CustomTemperatureABCTertiary</v>
      </c>
      <c r="B953" s="51" t="s">
        <v>2614</v>
      </c>
      <c r="C953" s="51" t="s">
        <v>1548</v>
      </c>
      <c r="D953" s="51" t="s">
        <v>1549</v>
      </c>
      <c r="E953" s="51" t="s">
        <v>1600</v>
      </c>
    </row>
    <row r="954" spans="1:5" ht="30" x14ac:dyDescent="0.2">
      <c r="A954" s="50" t="str">
        <f t="shared" si="14"/>
        <v>AnalogSignalType.CustomTemperatureATertiary</v>
      </c>
      <c r="B954" s="51" t="s">
        <v>2615</v>
      </c>
      <c r="C954" s="51" t="s">
        <v>1548</v>
      </c>
      <c r="D954" s="51" t="s">
        <v>1549</v>
      </c>
      <c r="E954" s="51" t="s">
        <v>1607</v>
      </c>
    </row>
    <row r="955" spans="1:5" ht="30" x14ac:dyDescent="0.2">
      <c r="A955" s="50" t="str">
        <f t="shared" si="14"/>
        <v>AnalogSignalType.CustomTemperatureBTertiary</v>
      </c>
      <c r="B955" s="51" t="s">
        <v>2616</v>
      </c>
      <c r="C955" s="51" t="s">
        <v>1548</v>
      </c>
      <c r="D955" s="51" t="s">
        <v>1549</v>
      </c>
      <c r="E955" s="51" t="s">
        <v>1614</v>
      </c>
    </row>
    <row r="956" spans="1:5" ht="30" x14ac:dyDescent="0.2">
      <c r="A956" s="50" t="str">
        <f t="shared" si="14"/>
        <v>AnalogSignalType.CustomTemperatureCTertiary</v>
      </c>
      <c r="B956" s="51" t="s">
        <v>2617</v>
      </c>
      <c r="C956" s="51" t="s">
        <v>1548</v>
      </c>
      <c r="D956" s="51" t="s">
        <v>1549</v>
      </c>
      <c r="E956" s="51" t="s">
        <v>1620</v>
      </c>
    </row>
    <row r="957" spans="1:5" ht="30" x14ac:dyDescent="0.2">
      <c r="A957" s="50" t="str">
        <f t="shared" si="14"/>
        <v>AnalogSignalType.CustomActiveEnergyABCTertiary</v>
      </c>
      <c r="B957" s="51" t="s">
        <v>2618</v>
      </c>
      <c r="C957" s="51" t="s">
        <v>1548</v>
      </c>
      <c r="D957" s="51" t="s">
        <v>1526</v>
      </c>
      <c r="E957" s="51" t="s">
        <v>1600</v>
      </c>
    </row>
    <row r="958" spans="1:5" ht="30" x14ac:dyDescent="0.2">
      <c r="A958" s="50" t="str">
        <f t="shared" si="14"/>
        <v>AnalogSignalType.CustomActiveEnergyATertiary</v>
      </c>
      <c r="B958" s="51" t="s">
        <v>2619</v>
      </c>
      <c r="C958" s="51" t="s">
        <v>1548</v>
      </c>
      <c r="D958" s="51" t="s">
        <v>1526</v>
      </c>
      <c r="E958" s="51" t="s">
        <v>1607</v>
      </c>
    </row>
    <row r="959" spans="1:5" ht="30" x14ac:dyDescent="0.2">
      <c r="A959" s="50" t="str">
        <f t="shared" si="14"/>
        <v>AnalogSignalType.CustomActiveEnergyBTertiary</v>
      </c>
      <c r="B959" s="51" t="s">
        <v>2620</v>
      </c>
      <c r="C959" s="51" t="s">
        <v>1548</v>
      </c>
      <c r="D959" s="51" t="s">
        <v>1526</v>
      </c>
      <c r="E959" s="51" t="s">
        <v>1614</v>
      </c>
    </row>
    <row r="960" spans="1:5" ht="30" x14ac:dyDescent="0.2">
      <c r="A960" s="50" t="str">
        <f t="shared" si="14"/>
        <v>AnalogSignalType.CustomActiveEnergyCTertiary</v>
      </c>
      <c r="B960" s="51" t="s">
        <v>2621</v>
      </c>
      <c r="C960" s="51" t="s">
        <v>1548</v>
      </c>
      <c r="D960" s="51" t="s">
        <v>1526</v>
      </c>
      <c r="E960" s="51" t="s">
        <v>1620</v>
      </c>
    </row>
    <row r="961" spans="1:5" ht="30" x14ac:dyDescent="0.2">
      <c r="A961" s="50" t="str">
        <f t="shared" si="14"/>
        <v>AnalogSignalType.CustomReactiveEnergyABCTertiary</v>
      </c>
      <c r="B961" s="51" t="s">
        <v>2622</v>
      </c>
      <c r="C961" s="51" t="s">
        <v>1548</v>
      </c>
      <c r="D961" s="51" t="s">
        <v>1534</v>
      </c>
      <c r="E961" s="51" t="s">
        <v>1600</v>
      </c>
    </row>
    <row r="962" spans="1:5" ht="30" x14ac:dyDescent="0.2">
      <c r="A962" s="50" t="str">
        <f t="shared" si="14"/>
        <v>AnalogSignalType.CustomReactiveEnergyATertiary</v>
      </c>
      <c r="B962" s="51" t="s">
        <v>2623</v>
      </c>
      <c r="C962" s="51" t="s">
        <v>1548</v>
      </c>
      <c r="D962" s="51" t="s">
        <v>1534</v>
      </c>
      <c r="E962" s="51" t="s">
        <v>1607</v>
      </c>
    </row>
    <row r="963" spans="1:5" ht="30" x14ac:dyDescent="0.2">
      <c r="A963" s="50" t="str">
        <f t="shared" si="14"/>
        <v>AnalogSignalType.CustomReactiveEnergyBTertiary</v>
      </c>
      <c r="B963" s="51" t="s">
        <v>2624</v>
      </c>
      <c r="C963" s="51" t="s">
        <v>1548</v>
      </c>
      <c r="D963" s="51" t="s">
        <v>1534</v>
      </c>
      <c r="E963" s="51" t="s">
        <v>1614</v>
      </c>
    </row>
    <row r="964" spans="1:5" ht="30" x14ac:dyDescent="0.2">
      <c r="A964" s="50" t="str">
        <f t="shared" si="14"/>
        <v>AnalogSignalType.CustomReactiveEnergyCTertiary</v>
      </c>
      <c r="B964" s="51" t="s">
        <v>2625</v>
      </c>
      <c r="C964" s="51" t="s">
        <v>1548</v>
      </c>
      <c r="D964" s="51" t="s">
        <v>1534</v>
      </c>
      <c r="E964" s="51" t="s">
        <v>1620</v>
      </c>
    </row>
    <row r="965" spans="1:5" ht="30" x14ac:dyDescent="0.2">
      <c r="A965" s="50" t="str">
        <f t="shared" si="14"/>
        <v>AnalogSignalType.CustomApparentPowerABCTertiary</v>
      </c>
      <c r="B965" s="51" t="s">
        <v>2626</v>
      </c>
      <c r="C965" s="51" t="s">
        <v>1548</v>
      </c>
      <c r="D965" s="51" t="s">
        <v>1511</v>
      </c>
      <c r="E965" s="51" t="s">
        <v>1600</v>
      </c>
    </row>
    <row r="966" spans="1:5" ht="30" x14ac:dyDescent="0.2">
      <c r="A966" s="50" t="str">
        <f t="shared" si="14"/>
        <v>AnalogSignalType.CustomApparentPowerATertiary</v>
      </c>
      <c r="B966" s="51" t="s">
        <v>2627</v>
      </c>
      <c r="C966" s="51" t="s">
        <v>1548</v>
      </c>
      <c r="D966" s="51" t="s">
        <v>1511</v>
      </c>
      <c r="E966" s="51" t="s">
        <v>1607</v>
      </c>
    </row>
    <row r="967" spans="1:5" ht="30" x14ac:dyDescent="0.2">
      <c r="A967" s="50" t="str">
        <f t="shared" si="14"/>
        <v>AnalogSignalType.CustomApparentPowerBTertiary</v>
      </c>
      <c r="B967" s="51" t="s">
        <v>2628</v>
      </c>
      <c r="C967" s="51" t="s">
        <v>1548</v>
      </c>
      <c r="D967" s="51" t="s">
        <v>1511</v>
      </c>
      <c r="E967" s="51" t="s">
        <v>1614</v>
      </c>
    </row>
    <row r="968" spans="1:5" ht="30" x14ac:dyDescent="0.2">
      <c r="A968" s="50" t="str">
        <f t="shared" si="14"/>
        <v>AnalogSignalType.CustomApparentPowerCTertiary</v>
      </c>
      <c r="B968" s="51" t="s">
        <v>2629</v>
      </c>
      <c r="C968" s="51" t="s">
        <v>1548</v>
      </c>
      <c r="D968" s="51" t="s">
        <v>1511</v>
      </c>
      <c r="E968" s="51" t="s">
        <v>1620</v>
      </c>
    </row>
    <row r="969" spans="1:5" ht="30" x14ac:dyDescent="0.2">
      <c r="A969" s="50" t="str">
        <f t="shared" si="14"/>
        <v>AnalogSignalType.CustomVoltageAngleABCTertiary</v>
      </c>
      <c r="B969" s="51" t="s">
        <v>2630</v>
      </c>
      <c r="C969" s="51" t="s">
        <v>1548</v>
      </c>
      <c r="D969" s="51" t="s">
        <v>1477</v>
      </c>
      <c r="E969" s="51" t="s">
        <v>1600</v>
      </c>
    </row>
    <row r="970" spans="1:5" ht="30" x14ac:dyDescent="0.2">
      <c r="A970" s="50" t="str">
        <f t="shared" si="14"/>
        <v>AnalogSignalType.CustomVoltageAngleATertiary</v>
      </c>
      <c r="B970" s="51" t="s">
        <v>2631</v>
      </c>
      <c r="C970" s="51" t="s">
        <v>1548</v>
      </c>
      <c r="D970" s="51" t="s">
        <v>1477</v>
      </c>
      <c r="E970" s="51" t="s">
        <v>1607</v>
      </c>
    </row>
    <row r="971" spans="1:5" ht="30" x14ac:dyDescent="0.2">
      <c r="A971" s="50" t="str">
        <f t="shared" si="14"/>
        <v>AnalogSignalType.CustomVoltageAngleBTertiary</v>
      </c>
      <c r="B971" s="51" t="s">
        <v>2632</v>
      </c>
      <c r="C971" s="51" t="s">
        <v>1548</v>
      </c>
      <c r="D971" s="51" t="s">
        <v>1477</v>
      </c>
      <c r="E971" s="51" t="s">
        <v>1614</v>
      </c>
    </row>
    <row r="972" spans="1:5" ht="30" x14ac:dyDescent="0.2">
      <c r="A972" s="50" t="str">
        <f t="shared" ref="A972:A1035" si="15">CONCATENATE(C972,D972,E972)</f>
        <v>AnalogSignalType.CustomVoltageAngleCTertiary</v>
      </c>
      <c r="B972" s="51" t="s">
        <v>2633</v>
      </c>
      <c r="C972" s="51" t="s">
        <v>1548</v>
      </c>
      <c r="D972" s="51" t="s">
        <v>1477</v>
      </c>
      <c r="E972" s="51" t="s">
        <v>1620</v>
      </c>
    </row>
    <row r="973" spans="1:5" ht="30" x14ac:dyDescent="0.2">
      <c r="A973" s="50" t="str">
        <f t="shared" si="15"/>
        <v>AnalogSignalType.CustomTimeABCTertiary</v>
      </c>
      <c r="B973" s="51" t="s">
        <v>2634</v>
      </c>
      <c r="C973" s="51" t="s">
        <v>1548</v>
      </c>
      <c r="D973" s="51" t="s">
        <v>1570</v>
      </c>
      <c r="E973" s="51" t="s">
        <v>1600</v>
      </c>
    </row>
    <row r="974" spans="1:5" ht="30" x14ac:dyDescent="0.2">
      <c r="A974" s="50" t="str">
        <f t="shared" si="15"/>
        <v>AnalogSignalType.CustomTimeATertiary</v>
      </c>
      <c r="B974" s="51" t="s">
        <v>2635</v>
      </c>
      <c r="C974" s="51" t="s">
        <v>1548</v>
      </c>
      <c r="D974" s="51" t="s">
        <v>1570</v>
      </c>
      <c r="E974" s="51" t="s">
        <v>1607</v>
      </c>
    </row>
    <row r="975" spans="1:5" ht="30" x14ac:dyDescent="0.2">
      <c r="A975" s="50" t="str">
        <f t="shared" si="15"/>
        <v>AnalogSignalType.CustomTimeBTertiary</v>
      </c>
      <c r="B975" s="51" t="s">
        <v>2636</v>
      </c>
      <c r="C975" s="51" t="s">
        <v>1548</v>
      </c>
      <c r="D975" s="51" t="s">
        <v>1570</v>
      </c>
      <c r="E975" s="51" t="s">
        <v>1614</v>
      </c>
    </row>
    <row r="976" spans="1:5" ht="30" x14ac:dyDescent="0.2">
      <c r="A976" s="50" t="str">
        <f t="shared" si="15"/>
        <v>AnalogSignalType.CustomTimeCTertiary</v>
      </c>
      <c r="B976" s="51" t="s">
        <v>2637</v>
      </c>
      <c r="C976" s="51" t="s">
        <v>1548</v>
      </c>
      <c r="D976" s="51" t="s">
        <v>1570</v>
      </c>
      <c r="E976" s="51" t="s">
        <v>1620</v>
      </c>
    </row>
    <row r="977" spans="1:5" ht="30" x14ac:dyDescent="0.2">
      <c r="A977" s="50" t="str">
        <f t="shared" si="15"/>
        <v>AnalogSignalType.CustomHumidityABCTertiary</v>
      </c>
      <c r="B977" s="51" t="s">
        <v>2638</v>
      </c>
      <c r="C977" s="51" t="s">
        <v>1548</v>
      </c>
      <c r="D977" s="51" t="s">
        <v>1578</v>
      </c>
      <c r="E977" s="51" t="s">
        <v>1600</v>
      </c>
    </row>
    <row r="978" spans="1:5" ht="30" x14ac:dyDescent="0.2">
      <c r="A978" s="50" t="str">
        <f t="shared" si="15"/>
        <v>AnalogSignalType.CustomHumidityATertiary</v>
      </c>
      <c r="B978" s="51" t="s">
        <v>2639</v>
      </c>
      <c r="C978" s="51" t="s">
        <v>1548</v>
      </c>
      <c r="D978" s="51" t="s">
        <v>1578</v>
      </c>
      <c r="E978" s="51" t="s">
        <v>1607</v>
      </c>
    </row>
    <row r="979" spans="1:5" ht="30" x14ac:dyDescent="0.2">
      <c r="A979" s="50" t="str">
        <f t="shared" si="15"/>
        <v>AnalogSignalType.CustomHumidityBTertiary</v>
      </c>
      <c r="B979" s="51" t="s">
        <v>2640</v>
      </c>
      <c r="C979" s="51" t="s">
        <v>1548</v>
      </c>
      <c r="D979" s="51" t="s">
        <v>1578</v>
      </c>
      <c r="E979" s="51" t="s">
        <v>1614</v>
      </c>
    </row>
    <row r="980" spans="1:5" ht="30" x14ac:dyDescent="0.2">
      <c r="A980" s="50" t="str">
        <f t="shared" si="15"/>
        <v>AnalogSignalType.CustomHumidityCTertiary</v>
      </c>
      <c r="B980" s="51" t="s">
        <v>2641</v>
      </c>
      <c r="C980" s="51" t="s">
        <v>1548</v>
      </c>
      <c r="D980" s="51" t="s">
        <v>1578</v>
      </c>
      <c r="E980" s="51" t="s">
        <v>1620</v>
      </c>
    </row>
    <row r="981" spans="1:5" ht="30" x14ac:dyDescent="0.2">
      <c r="A981" s="50" t="str">
        <f t="shared" si="15"/>
        <v>AnalogSignalType.CustomWindSpeedABCTertiary</v>
      </c>
      <c r="B981" s="51" t="s">
        <v>2642</v>
      </c>
      <c r="C981" s="51" t="s">
        <v>1548</v>
      </c>
      <c r="D981" s="51" t="s">
        <v>1585</v>
      </c>
      <c r="E981" s="51" t="s">
        <v>1600</v>
      </c>
    </row>
    <row r="982" spans="1:5" ht="30" x14ac:dyDescent="0.2">
      <c r="A982" s="50" t="str">
        <f t="shared" si="15"/>
        <v>AnalogSignalType.CustomWindSpeedATertiary</v>
      </c>
      <c r="B982" s="51" t="s">
        <v>2643</v>
      </c>
      <c r="C982" s="51" t="s">
        <v>1548</v>
      </c>
      <c r="D982" s="51" t="s">
        <v>1585</v>
      </c>
      <c r="E982" s="51" t="s">
        <v>1607</v>
      </c>
    </row>
    <row r="983" spans="1:5" ht="30" x14ac:dyDescent="0.2">
      <c r="A983" s="50" t="str">
        <f t="shared" si="15"/>
        <v>AnalogSignalType.CustomWindSpeedBTertiary</v>
      </c>
      <c r="B983" s="51" t="s">
        <v>2644</v>
      </c>
      <c r="C983" s="51" t="s">
        <v>1548</v>
      </c>
      <c r="D983" s="51" t="s">
        <v>1585</v>
      </c>
      <c r="E983" s="51" t="s">
        <v>1614</v>
      </c>
    </row>
    <row r="984" spans="1:5" ht="30" x14ac:dyDescent="0.2">
      <c r="A984" s="50" t="str">
        <f t="shared" si="15"/>
        <v>AnalogSignalType.CustomWindSpeedCTertiary</v>
      </c>
      <c r="B984" s="51" t="s">
        <v>2645</v>
      </c>
      <c r="C984" s="51" t="s">
        <v>1548</v>
      </c>
      <c r="D984" s="51" t="s">
        <v>1585</v>
      </c>
      <c r="E984" s="51" t="s">
        <v>1620</v>
      </c>
    </row>
    <row r="985" spans="1:5" ht="30" x14ac:dyDescent="0.2">
      <c r="A985" s="50" t="str">
        <f t="shared" si="15"/>
        <v>AnalogSignalType.CustomFeelsLikeABCTertiary</v>
      </c>
      <c r="B985" s="51" t="s">
        <v>2646</v>
      </c>
      <c r="C985" s="51" t="s">
        <v>1548</v>
      </c>
      <c r="D985" s="51" t="s">
        <v>1592</v>
      </c>
      <c r="E985" s="51" t="s">
        <v>1600</v>
      </c>
    </row>
    <row r="986" spans="1:5" ht="30" x14ac:dyDescent="0.2">
      <c r="A986" s="50" t="str">
        <f t="shared" si="15"/>
        <v>AnalogSignalType.CustomFeelsLikeATertiary</v>
      </c>
      <c r="B986" s="51" t="s">
        <v>2647</v>
      </c>
      <c r="C986" s="51" t="s">
        <v>1548</v>
      </c>
      <c r="D986" s="51" t="s">
        <v>1592</v>
      </c>
      <c r="E986" s="51" t="s">
        <v>1607</v>
      </c>
    </row>
    <row r="987" spans="1:5" ht="30" x14ac:dyDescent="0.2">
      <c r="A987" s="50" t="str">
        <f t="shared" si="15"/>
        <v>AnalogSignalType.CustomFeelsLikeBTertiary</v>
      </c>
      <c r="B987" s="51" t="s">
        <v>2648</v>
      </c>
      <c r="C987" s="51" t="s">
        <v>1548</v>
      </c>
      <c r="D987" s="51" t="s">
        <v>1592</v>
      </c>
      <c r="E987" s="51" t="s">
        <v>1614</v>
      </c>
    </row>
    <row r="988" spans="1:5" ht="30" x14ac:dyDescent="0.2">
      <c r="A988" s="50" t="str">
        <f t="shared" si="15"/>
        <v>AnalogSignalType.CustomFeelsLikeCTertiary</v>
      </c>
      <c r="B988" s="51" t="s">
        <v>2649</v>
      </c>
      <c r="C988" s="51" t="s">
        <v>1548</v>
      </c>
      <c r="D988" s="51" t="s">
        <v>1592</v>
      </c>
      <c r="E988" s="51" t="s">
        <v>1620</v>
      </c>
    </row>
    <row r="989" spans="1:5" ht="30" x14ac:dyDescent="0.2">
      <c r="A989" s="50" t="str">
        <f t="shared" si="15"/>
        <v>AnalogSignalType.CustomSunshineMinutesABCTertiary</v>
      </c>
      <c r="B989" s="51" t="s">
        <v>2650</v>
      </c>
      <c r="C989" s="51" t="s">
        <v>1548</v>
      </c>
      <c r="D989" s="51" t="s">
        <v>1598</v>
      </c>
      <c r="E989" s="51" t="s">
        <v>1600</v>
      </c>
    </row>
    <row r="990" spans="1:5" ht="30" x14ac:dyDescent="0.2">
      <c r="A990" s="50" t="str">
        <f t="shared" si="15"/>
        <v>AnalogSignalType.CustomSunshineMinutesATertiary</v>
      </c>
      <c r="B990" s="51" t="s">
        <v>2651</v>
      </c>
      <c r="C990" s="51" t="s">
        <v>1548</v>
      </c>
      <c r="D990" s="51" t="s">
        <v>1598</v>
      </c>
      <c r="E990" s="51" t="s">
        <v>1607</v>
      </c>
    </row>
    <row r="991" spans="1:5" ht="30" x14ac:dyDescent="0.2">
      <c r="A991" s="50" t="str">
        <f t="shared" si="15"/>
        <v>AnalogSignalType.CustomSunshineMinutesBTertiary</v>
      </c>
      <c r="B991" s="51" t="s">
        <v>2652</v>
      </c>
      <c r="C991" s="51" t="s">
        <v>1548</v>
      </c>
      <c r="D991" s="51" t="s">
        <v>1598</v>
      </c>
      <c r="E991" s="51" t="s">
        <v>1614</v>
      </c>
    </row>
    <row r="992" spans="1:5" ht="30" x14ac:dyDescent="0.2">
      <c r="A992" s="50" t="str">
        <f t="shared" si="15"/>
        <v>AnalogSignalType.CustomSunshineMinutesCTertiary</v>
      </c>
      <c r="B992" s="51" t="s">
        <v>2653</v>
      </c>
      <c r="C992" s="51" t="s">
        <v>1548</v>
      </c>
      <c r="D992" s="51" t="s">
        <v>1598</v>
      </c>
      <c r="E992" s="51" t="s">
        <v>1620</v>
      </c>
    </row>
    <row r="993" spans="1:5" ht="30" x14ac:dyDescent="0.2">
      <c r="A993" s="50" t="str">
        <f t="shared" si="15"/>
        <v>AnalogSignalType.CustomSkyCoverABCTertiary</v>
      </c>
      <c r="B993" s="51" t="s">
        <v>2654</v>
      </c>
      <c r="C993" s="51" t="s">
        <v>1548</v>
      </c>
      <c r="D993" s="51" t="s">
        <v>1605</v>
      </c>
      <c r="E993" s="51" t="s">
        <v>1600</v>
      </c>
    </row>
    <row r="994" spans="1:5" ht="30" x14ac:dyDescent="0.2">
      <c r="A994" s="50" t="str">
        <f t="shared" si="15"/>
        <v>AnalogSignalType.CustomSkyCoverATertiary</v>
      </c>
      <c r="B994" s="51" t="s">
        <v>2655</v>
      </c>
      <c r="C994" s="51" t="s">
        <v>1548</v>
      </c>
      <c r="D994" s="51" t="s">
        <v>1605</v>
      </c>
      <c r="E994" s="51" t="s">
        <v>1607</v>
      </c>
    </row>
    <row r="995" spans="1:5" ht="30" x14ac:dyDescent="0.2">
      <c r="A995" s="50" t="str">
        <f t="shared" si="15"/>
        <v>AnalogSignalType.CustomSkyCoverBTertiary</v>
      </c>
      <c r="B995" s="51" t="s">
        <v>2656</v>
      </c>
      <c r="C995" s="51" t="s">
        <v>1548</v>
      </c>
      <c r="D995" s="51" t="s">
        <v>1605</v>
      </c>
      <c r="E995" s="51" t="s">
        <v>1614</v>
      </c>
    </row>
    <row r="996" spans="1:5" ht="30" x14ac:dyDescent="0.2">
      <c r="A996" s="50" t="str">
        <f t="shared" si="15"/>
        <v>AnalogSignalType.CustomSkyCoverCTertiary</v>
      </c>
      <c r="B996" s="51" t="s">
        <v>2657</v>
      </c>
      <c r="C996" s="51" t="s">
        <v>1548</v>
      </c>
      <c r="D996" s="51" t="s">
        <v>1605</v>
      </c>
      <c r="E996" s="51" t="s">
        <v>1620</v>
      </c>
    </row>
    <row r="997" spans="1:5" ht="30" x14ac:dyDescent="0.2">
      <c r="A997" s="50" t="str">
        <f t="shared" si="15"/>
        <v>AnalogSignalType.CustomLengthABCTertiary</v>
      </c>
      <c r="B997" s="51" t="s">
        <v>2658</v>
      </c>
      <c r="C997" s="51" t="s">
        <v>1548</v>
      </c>
      <c r="D997" s="51" t="s">
        <v>1612</v>
      </c>
      <c r="E997" s="51" t="s">
        <v>1600</v>
      </c>
    </row>
    <row r="998" spans="1:5" ht="30" x14ac:dyDescent="0.2">
      <c r="A998" s="50" t="str">
        <f t="shared" si="15"/>
        <v>AnalogSignalType.CustomLengthATertiary</v>
      </c>
      <c r="B998" s="51" t="s">
        <v>2659</v>
      </c>
      <c r="C998" s="51" t="s">
        <v>1548</v>
      </c>
      <c r="D998" s="51" t="s">
        <v>1612</v>
      </c>
      <c r="E998" s="51" t="s">
        <v>1607</v>
      </c>
    </row>
    <row r="999" spans="1:5" ht="30" x14ac:dyDescent="0.2">
      <c r="A999" s="50" t="str">
        <f t="shared" si="15"/>
        <v>AnalogSignalType.CustomLengthBTertiary</v>
      </c>
      <c r="B999" s="51" t="s">
        <v>2660</v>
      </c>
      <c r="C999" s="51" t="s">
        <v>1548</v>
      </c>
      <c r="D999" s="51" t="s">
        <v>1612</v>
      </c>
      <c r="E999" s="51" t="s">
        <v>1614</v>
      </c>
    </row>
    <row r="1000" spans="1:5" ht="30" x14ac:dyDescent="0.2">
      <c r="A1000" s="50" t="str">
        <f t="shared" si="15"/>
        <v>AnalogSignalType.CustomLengthCTertiary</v>
      </c>
      <c r="B1000" s="51" t="s">
        <v>2661</v>
      </c>
      <c r="C1000" s="51" t="s">
        <v>1548</v>
      </c>
      <c r="D1000" s="51" t="s">
        <v>1612</v>
      </c>
      <c r="E1000" s="51" t="s">
        <v>1620</v>
      </c>
    </row>
    <row r="1001" spans="1:5" ht="30" x14ac:dyDescent="0.2">
      <c r="A1001" s="50" t="str">
        <f t="shared" si="15"/>
        <v>AnalogSignalType.CustomCrossSectionABCTertiary</v>
      </c>
      <c r="B1001" s="51" t="s">
        <v>2662</v>
      </c>
      <c r="C1001" s="51" t="s">
        <v>1548</v>
      </c>
      <c r="D1001" s="51" t="s">
        <v>1619</v>
      </c>
      <c r="E1001" s="51" t="s">
        <v>1600</v>
      </c>
    </row>
    <row r="1002" spans="1:5" ht="30" x14ac:dyDescent="0.2">
      <c r="A1002" s="50" t="str">
        <f t="shared" si="15"/>
        <v>AnalogSignalType.CustomCrossSectionATertiary</v>
      </c>
      <c r="B1002" s="51" t="s">
        <v>2663</v>
      </c>
      <c r="C1002" s="51" t="s">
        <v>1548</v>
      </c>
      <c r="D1002" s="51" t="s">
        <v>1619</v>
      </c>
      <c r="E1002" s="51" t="s">
        <v>1607</v>
      </c>
    </row>
    <row r="1003" spans="1:5" ht="30" x14ac:dyDescent="0.2">
      <c r="A1003" s="50" t="str">
        <f t="shared" si="15"/>
        <v>AnalogSignalType.CustomCrossSectionBTertiary</v>
      </c>
      <c r="B1003" s="51" t="s">
        <v>2664</v>
      </c>
      <c r="C1003" s="51" t="s">
        <v>1548</v>
      </c>
      <c r="D1003" s="51" t="s">
        <v>1619</v>
      </c>
      <c r="E1003" s="51" t="s">
        <v>1614</v>
      </c>
    </row>
    <row r="1004" spans="1:5" ht="30" x14ac:dyDescent="0.2">
      <c r="A1004" s="50" t="str">
        <f t="shared" si="15"/>
        <v>AnalogSignalType.CustomCrossSectionCTertiary</v>
      </c>
      <c r="B1004" s="51" t="s">
        <v>2665</v>
      </c>
      <c r="C1004" s="51" t="s">
        <v>1548</v>
      </c>
      <c r="D1004" s="51" t="s">
        <v>1619</v>
      </c>
      <c r="E1004" s="51" t="s">
        <v>1620</v>
      </c>
    </row>
    <row r="1005" spans="1:5" ht="30" x14ac:dyDescent="0.2">
      <c r="A1005" s="50" t="str">
        <f t="shared" si="15"/>
        <v>AnalogSignalType.CustomImpedanceABCTertiary</v>
      </c>
      <c r="B1005" s="51" t="s">
        <v>2666</v>
      </c>
      <c r="C1005" s="51" t="s">
        <v>1548</v>
      </c>
      <c r="D1005" s="51" t="s">
        <v>1625</v>
      </c>
      <c r="E1005" s="51" t="s">
        <v>1600</v>
      </c>
    </row>
    <row r="1006" spans="1:5" ht="30" x14ac:dyDescent="0.2">
      <c r="A1006" s="50" t="str">
        <f t="shared" si="15"/>
        <v>AnalogSignalType.CustomImpedanceATertiary</v>
      </c>
      <c r="B1006" s="51" t="s">
        <v>2667</v>
      </c>
      <c r="C1006" s="51" t="s">
        <v>1548</v>
      </c>
      <c r="D1006" s="51" t="s">
        <v>1625</v>
      </c>
      <c r="E1006" s="51" t="s">
        <v>1607</v>
      </c>
    </row>
    <row r="1007" spans="1:5" ht="30" x14ac:dyDescent="0.2">
      <c r="A1007" s="50" t="str">
        <f t="shared" si="15"/>
        <v>AnalogSignalType.CustomImpedanceBTertiary</v>
      </c>
      <c r="B1007" s="51" t="s">
        <v>2668</v>
      </c>
      <c r="C1007" s="51" t="s">
        <v>1548</v>
      </c>
      <c r="D1007" s="51" t="s">
        <v>1625</v>
      </c>
      <c r="E1007" s="51" t="s">
        <v>1614</v>
      </c>
    </row>
    <row r="1008" spans="1:5" ht="30" x14ac:dyDescent="0.2">
      <c r="A1008" s="50" t="str">
        <f t="shared" si="15"/>
        <v>AnalogSignalType.CustomImpedanceCTertiary</v>
      </c>
      <c r="B1008" s="51" t="s">
        <v>2669</v>
      </c>
      <c r="C1008" s="51" t="s">
        <v>1548</v>
      </c>
      <c r="D1008" s="51" t="s">
        <v>1625</v>
      </c>
      <c r="E1008" s="51" t="s">
        <v>1620</v>
      </c>
    </row>
    <row r="1009" spans="1:5" ht="30" x14ac:dyDescent="0.2">
      <c r="A1009" s="50" t="str">
        <f t="shared" si="15"/>
        <v>AnalogSignalType.CustomAdmittanceABCTertiary</v>
      </c>
      <c r="B1009" s="51" t="s">
        <v>2670</v>
      </c>
      <c r="C1009" s="51" t="s">
        <v>1548</v>
      </c>
      <c r="D1009" s="51" t="s">
        <v>1631</v>
      </c>
      <c r="E1009" s="51" t="s">
        <v>1600</v>
      </c>
    </row>
    <row r="1010" spans="1:5" ht="30" x14ac:dyDescent="0.2">
      <c r="A1010" s="50" t="str">
        <f t="shared" si="15"/>
        <v>AnalogSignalType.CustomAdmittanceATertiary</v>
      </c>
      <c r="B1010" s="51" t="s">
        <v>2671</v>
      </c>
      <c r="C1010" s="51" t="s">
        <v>1548</v>
      </c>
      <c r="D1010" s="51" t="s">
        <v>1631</v>
      </c>
      <c r="E1010" s="51" t="s">
        <v>1607</v>
      </c>
    </row>
    <row r="1011" spans="1:5" ht="30" x14ac:dyDescent="0.2">
      <c r="A1011" s="50" t="str">
        <f t="shared" si="15"/>
        <v>AnalogSignalType.CustomAdmittanceBTertiary</v>
      </c>
      <c r="B1011" s="51" t="s">
        <v>2672</v>
      </c>
      <c r="C1011" s="51" t="s">
        <v>1548</v>
      </c>
      <c r="D1011" s="51" t="s">
        <v>1631</v>
      </c>
      <c r="E1011" s="51" t="s">
        <v>1614</v>
      </c>
    </row>
    <row r="1012" spans="1:5" ht="30" x14ac:dyDescent="0.2">
      <c r="A1012" s="50" t="str">
        <f t="shared" si="15"/>
        <v>AnalogSignalType.CustomAdmittanceCTertiary</v>
      </c>
      <c r="B1012" s="51" t="s">
        <v>2673</v>
      </c>
      <c r="C1012" s="51" t="s">
        <v>1548</v>
      </c>
      <c r="D1012" s="51" t="s">
        <v>1631</v>
      </c>
      <c r="E1012" s="51" t="s">
        <v>1620</v>
      </c>
    </row>
    <row r="1013" spans="1:5" ht="30" x14ac:dyDescent="0.2">
      <c r="A1013" s="50" t="str">
        <f t="shared" si="15"/>
        <v>AnalogSignalType.CustomImpedancePerLengthABCTertiary</v>
      </c>
      <c r="B1013" s="51" t="s">
        <v>2674</v>
      </c>
      <c r="C1013" s="51" t="s">
        <v>1548</v>
      </c>
      <c r="D1013" s="51" t="s">
        <v>1638</v>
      </c>
      <c r="E1013" s="51" t="s">
        <v>1600</v>
      </c>
    </row>
    <row r="1014" spans="1:5" ht="30" x14ac:dyDescent="0.2">
      <c r="A1014" s="50" t="str">
        <f t="shared" si="15"/>
        <v>AnalogSignalType.CustomImpedancePerLengthATertiary</v>
      </c>
      <c r="B1014" s="51" t="s">
        <v>2675</v>
      </c>
      <c r="C1014" s="51" t="s">
        <v>1548</v>
      </c>
      <c r="D1014" s="51" t="s">
        <v>1638</v>
      </c>
      <c r="E1014" s="51" t="s">
        <v>1607</v>
      </c>
    </row>
    <row r="1015" spans="1:5" ht="30" x14ac:dyDescent="0.2">
      <c r="A1015" s="50" t="str">
        <f t="shared" si="15"/>
        <v>AnalogSignalType.CustomImpedancePerLengthBTertiary</v>
      </c>
      <c r="B1015" s="51" t="s">
        <v>2676</v>
      </c>
      <c r="C1015" s="51" t="s">
        <v>1548</v>
      </c>
      <c r="D1015" s="51" t="s">
        <v>1638</v>
      </c>
      <c r="E1015" s="51" t="s">
        <v>1614</v>
      </c>
    </row>
    <row r="1016" spans="1:5" ht="30" x14ac:dyDescent="0.2">
      <c r="A1016" s="50" t="str">
        <f t="shared" si="15"/>
        <v>AnalogSignalType.CustomImpedancePerLengthCTertiary</v>
      </c>
      <c r="B1016" s="51" t="s">
        <v>2677</v>
      </c>
      <c r="C1016" s="51" t="s">
        <v>1548</v>
      </c>
      <c r="D1016" s="51" t="s">
        <v>1638</v>
      </c>
      <c r="E1016" s="51" t="s">
        <v>1620</v>
      </c>
    </row>
    <row r="1017" spans="1:5" ht="30" x14ac:dyDescent="0.2">
      <c r="A1017" s="50" t="str">
        <f t="shared" si="15"/>
        <v>AnalogSignalType.CustomAdmittancePerLengthABCTertiary</v>
      </c>
      <c r="B1017" s="51" t="s">
        <v>2678</v>
      </c>
      <c r="C1017" s="51" t="s">
        <v>1548</v>
      </c>
      <c r="D1017" s="51" t="s">
        <v>1645</v>
      </c>
      <c r="E1017" s="51" t="s">
        <v>1600</v>
      </c>
    </row>
    <row r="1018" spans="1:5" ht="30" x14ac:dyDescent="0.2">
      <c r="A1018" s="50" t="str">
        <f t="shared" si="15"/>
        <v>AnalogSignalType.CustomAdmittancePerLengthATertiary</v>
      </c>
      <c r="B1018" s="51" t="s">
        <v>2679</v>
      </c>
      <c r="C1018" s="51" t="s">
        <v>1548</v>
      </c>
      <c r="D1018" s="51" t="s">
        <v>1645</v>
      </c>
      <c r="E1018" s="51" t="s">
        <v>1607</v>
      </c>
    </row>
    <row r="1019" spans="1:5" ht="30" x14ac:dyDescent="0.2">
      <c r="A1019" s="50" t="str">
        <f t="shared" si="15"/>
        <v>AnalogSignalType.CustomAdmittancePerLengthBTertiary</v>
      </c>
      <c r="B1019" s="51" t="s">
        <v>2680</v>
      </c>
      <c r="C1019" s="51" t="s">
        <v>1548</v>
      </c>
      <c r="D1019" s="51" t="s">
        <v>1645</v>
      </c>
      <c r="E1019" s="51" t="s">
        <v>1614</v>
      </c>
    </row>
    <row r="1020" spans="1:5" ht="30" x14ac:dyDescent="0.2">
      <c r="A1020" s="50" t="str">
        <f t="shared" si="15"/>
        <v>AnalogSignalType.CustomAdmittancePerLengthCTertiary</v>
      </c>
      <c r="B1020" s="51" t="s">
        <v>2681</v>
      </c>
      <c r="C1020" s="51" t="s">
        <v>1548</v>
      </c>
      <c r="D1020" s="51" t="s">
        <v>1645</v>
      </c>
      <c r="E1020" s="51" t="s">
        <v>1620</v>
      </c>
    </row>
    <row r="1021" spans="1:5" ht="30" x14ac:dyDescent="0.2">
      <c r="A1021" s="50" t="str">
        <f t="shared" si="15"/>
        <v>AnalogSignalType.CustomPercentABCTertiary</v>
      </c>
      <c r="B1021" s="51" t="s">
        <v>2682</v>
      </c>
      <c r="C1021" s="51" t="s">
        <v>1548</v>
      </c>
      <c r="D1021" s="51" t="s">
        <v>1652</v>
      </c>
      <c r="E1021" s="51" t="s">
        <v>1600</v>
      </c>
    </row>
    <row r="1022" spans="1:5" ht="30" x14ac:dyDescent="0.2">
      <c r="A1022" s="50" t="str">
        <f t="shared" si="15"/>
        <v>AnalogSignalType.CustomPercentATertiary</v>
      </c>
      <c r="B1022" s="51" t="s">
        <v>2683</v>
      </c>
      <c r="C1022" s="51" t="s">
        <v>1548</v>
      </c>
      <c r="D1022" s="51" t="s">
        <v>1652</v>
      </c>
      <c r="E1022" s="51" t="s">
        <v>1607</v>
      </c>
    </row>
    <row r="1023" spans="1:5" ht="30" x14ac:dyDescent="0.2">
      <c r="A1023" s="50" t="str">
        <f t="shared" si="15"/>
        <v>AnalogSignalType.CustomPercentBTertiary</v>
      </c>
      <c r="B1023" s="51" t="s">
        <v>2684</v>
      </c>
      <c r="C1023" s="51" t="s">
        <v>1548</v>
      </c>
      <c r="D1023" s="51" t="s">
        <v>1652</v>
      </c>
      <c r="E1023" s="51" t="s">
        <v>1614</v>
      </c>
    </row>
    <row r="1024" spans="1:5" ht="30" x14ac:dyDescent="0.2">
      <c r="A1024" s="50" t="str">
        <f t="shared" si="15"/>
        <v>AnalogSignalType.CustomPercentCTertiary</v>
      </c>
      <c r="B1024" s="51" t="s">
        <v>2685</v>
      </c>
      <c r="C1024" s="51" t="s">
        <v>1548</v>
      </c>
      <c r="D1024" s="51" t="s">
        <v>1652</v>
      </c>
      <c r="E1024" s="51" t="s">
        <v>1620</v>
      </c>
    </row>
    <row r="1025" spans="1:5" ht="30" x14ac:dyDescent="0.2">
      <c r="A1025" s="50" t="str">
        <f t="shared" si="15"/>
        <v>AnalogSignalType.CustomMoneyABCTertiary</v>
      </c>
      <c r="B1025" s="51" t="s">
        <v>2686</v>
      </c>
      <c r="C1025" s="51" t="s">
        <v>1548</v>
      </c>
      <c r="D1025" s="51" t="s">
        <v>1656</v>
      </c>
      <c r="E1025" s="51" t="s">
        <v>1600</v>
      </c>
    </row>
    <row r="1026" spans="1:5" ht="30" x14ac:dyDescent="0.2">
      <c r="A1026" s="50" t="str">
        <f t="shared" si="15"/>
        <v>AnalogSignalType.CustomMoneyATertiary</v>
      </c>
      <c r="B1026" s="51" t="s">
        <v>2687</v>
      </c>
      <c r="C1026" s="51" t="s">
        <v>1548</v>
      </c>
      <c r="D1026" s="51" t="s">
        <v>1656</v>
      </c>
      <c r="E1026" s="51" t="s">
        <v>1607</v>
      </c>
    </row>
    <row r="1027" spans="1:5" ht="30" x14ac:dyDescent="0.2">
      <c r="A1027" s="50" t="str">
        <f t="shared" si="15"/>
        <v>AnalogSignalType.CustomMoneyBTertiary</v>
      </c>
      <c r="B1027" s="51" t="s">
        <v>2688</v>
      </c>
      <c r="C1027" s="51" t="s">
        <v>1548</v>
      </c>
      <c r="D1027" s="51" t="s">
        <v>1656</v>
      </c>
      <c r="E1027" s="51" t="s">
        <v>1614</v>
      </c>
    </row>
    <row r="1028" spans="1:5" ht="30" x14ac:dyDescent="0.2">
      <c r="A1028" s="50" t="str">
        <f t="shared" si="15"/>
        <v>AnalogSignalType.CustomMoneyCTertiary</v>
      </c>
      <c r="B1028" s="51" t="s">
        <v>2689</v>
      </c>
      <c r="C1028" s="51" t="s">
        <v>1548</v>
      </c>
      <c r="D1028" s="51" t="s">
        <v>1656</v>
      </c>
      <c r="E1028" s="51" t="s">
        <v>1620</v>
      </c>
    </row>
    <row r="1029" spans="1:5" ht="30" x14ac:dyDescent="0.2">
      <c r="A1029" s="50" t="str">
        <f t="shared" si="15"/>
        <v>AnalogSignalType.CustomRelativeVoltageABCTertiary</v>
      </c>
      <c r="B1029" s="51" t="s">
        <v>2690</v>
      </c>
      <c r="C1029" s="51" t="s">
        <v>1548</v>
      </c>
      <c r="D1029" s="51" t="s">
        <v>1491</v>
      </c>
      <c r="E1029" s="51" t="s">
        <v>1600</v>
      </c>
    </row>
    <row r="1030" spans="1:5" ht="30" x14ac:dyDescent="0.2">
      <c r="A1030" s="50" t="str">
        <f t="shared" si="15"/>
        <v>AnalogSignalType.CustomRelativeVoltageATertiary</v>
      </c>
      <c r="B1030" s="51" t="s">
        <v>2691</v>
      </c>
      <c r="C1030" s="51" t="s">
        <v>1548</v>
      </c>
      <c r="D1030" s="51" t="s">
        <v>1491</v>
      </c>
      <c r="E1030" s="51" t="s">
        <v>1607</v>
      </c>
    </row>
    <row r="1031" spans="1:5" ht="30" x14ac:dyDescent="0.2">
      <c r="A1031" s="50" t="str">
        <f t="shared" si="15"/>
        <v>AnalogSignalType.CustomRelativeVoltageBTertiary</v>
      </c>
      <c r="B1031" s="51" t="s">
        <v>2692</v>
      </c>
      <c r="C1031" s="51" t="s">
        <v>1548</v>
      </c>
      <c r="D1031" s="51" t="s">
        <v>1491</v>
      </c>
      <c r="E1031" s="51" t="s">
        <v>1614</v>
      </c>
    </row>
    <row r="1032" spans="1:5" ht="30" x14ac:dyDescent="0.2">
      <c r="A1032" s="50" t="str">
        <f t="shared" si="15"/>
        <v>AnalogSignalType.CustomRelativeVoltageCTertiary</v>
      </c>
      <c r="B1032" s="51" t="s">
        <v>2693</v>
      </c>
      <c r="C1032" s="51" t="s">
        <v>1548</v>
      </c>
      <c r="D1032" s="51" t="s">
        <v>1491</v>
      </c>
      <c r="E1032" s="51" t="s">
        <v>1620</v>
      </c>
    </row>
    <row r="1033" spans="1:5" ht="30" x14ac:dyDescent="0.2">
      <c r="A1033" s="50" t="str">
        <f t="shared" si="15"/>
        <v>AnalogSignalType.CustomInsolationABCTertiary</v>
      </c>
      <c r="B1033" s="51" t="s">
        <v>2694</v>
      </c>
      <c r="C1033" s="51" t="s">
        <v>1548</v>
      </c>
      <c r="D1033" s="51" t="s">
        <v>1660</v>
      </c>
      <c r="E1033" s="51" t="s">
        <v>1600</v>
      </c>
    </row>
    <row r="1034" spans="1:5" ht="30" x14ac:dyDescent="0.2">
      <c r="A1034" s="50" t="str">
        <f t="shared" si="15"/>
        <v>AnalogSignalType.CustomInsolationATertiary</v>
      </c>
      <c r="B1034" s="51" t="s">
        <v>2695</v>
      </c>
      <c r="C1034" s="51" t="s">
        <v>1548</v>
      </c>
      <c r="D1034" s="51" t="s">
        <v>1660</v>
      </c>
      <c r="E1034" s="51" t="s">
        <v>1607</v>
      </c>
    </row>
    <row r="1035" spans="1:5" ht="30" x14ac:dyDescent="0.2">
      <c r="A1035" s="50" t="str">
        <f t="shared" si="15"/>
        <v>AnalogSignalType.CustomInsolationBTertiary</v>
      </c>
      <c r="B1035" s="51" t="s">
        <v>2696</v>
      </c>
      <c r="C1035" s="51" t="s">
        <v>1548</v>
      </c>
      <c r="D1035" s="51" t="s">
        <v>1660</v>
      </c>
      <c r="E1035" s="51" t="s">
        <v>1614</v>
      </c>
    </row>
    <row r="1036" spans="1:5" ht="30" x14ac:dyDescent="0.2">
      <c r="A1036" s="50" t="str">
        <f t="shared" ref="A1036:A1099" si="16">CONCATENATE(C1036,D1036,E1036)</f>
        <v>AnalogSignalType.CustomInsolationCTertiary</v>
      </c>
      <c r="B1036" s="51" t="s">
        <v>2697</v>
      </c>
      <c r="C1036" s="51" t="s">
        <v>1548</v>
      </c>
      <c r="D1036" s="51" t="s">
        <v>1660</v>
      </c>
      <c r="E1036" s="51" t="s">
        <v>1620</v>
      </c>
    </row>
    <row r="1037" spans="1:5" ht="30" x14ac:dyDescent="0.2">
      <c r="A1037" s="50" t="str">
        <f t="shared" si="16"/>
        <v>AnalogSignalType.CustomCurrentAngleABCTertiary</v>
      </c>
      <c r="B1037" s="51" t="s">
        <v>2698</v>
      </c>
      <c r="C1037" s="51" t="s">
        <v>1548</v>
      </c>
      <c r="D1037" s="51" t="s">
        <v>1542</v>
      </c>
      <c r="E1037" s="51" t="s">
        <v>1600</v>
      </c>
    </row>
    <row r="1038" spans="1:5" ht="30" x14ac:dyDescent="0.2">
      <c r="A1038" s="50" t="str">
        <f t="shared" si="16"/>
        <v>AnalogSignalType.CustomCurrentAngleATertiary</v>
      </c>
      <c r="B1038" s="51" t="s">
        <v>2699</v>
      </c>
      <c r="C1038" s="51" t="s">
        <v>1548</v>
      </c>
      <c r="D1038" s="51" t="s">
        <v>1542</v>
      </c>
      <c r="E1038" s="51" t="s">
        <v>1607</v>
      </c>
    </row>
    <row r="1039" spans="1:5" ht="30" x14ac:dyDescent="0.2">
      <c r="A1039" s="50" t="str">
        <f t="shared" si="16"/>
        <v>AnalogSignalType.CustomCurrentAngleBTertiary</v>
      </c>
      <c r="B1039" s="51" t="s">
        <v>2700</v>
      </c>
      <c r="C1039" s="51" t="s">
        <v>1548</v>
      </c>
      <c r="D1039" s="51" t="s">
        <v>1542</v>
      </c>
      <c r="E1039" s="51" t="s">
        <v>1614</v>
      </c>
    </row>
    <row r="1040" spans="1:5" ht="30" x14ac:dyDescent="0.2">
      <c r="A1040" s="50" t="str">
        <f t="shared" si="16"/>
        <v>AnalogSignalType.CustomCurrentAngleCTertiary</v>
      </c>
      <c r="B1040" s="51" t="s">
        <v>2701</v>
      </c>
      <c r="C1040" s="51" t="s">
        <v>1548</v>
      </c>
      <c r="D1040" s="51" t="s">
        <v>1542</v>
      </c>
      <c r="E1040" s="51" t="s">
        <v>1620</v>
      </c>
    </row>
    <row r="1041" spans="1:5" ht="30" x14ac:dyDescent="0.2">
      <c r="A1041" s="50" t="str">
        <f t="shared" si="16"/>
        <v>AnalogSignalType.CustomRotationSpeedABCTertiary</v>
      </c>
      <c r="B1041" s="51" t="s">
        <v>2702</v>
      </c>
      <c r="C1041" s="51" t="s">
        <v>1548</v>
      </c>
      <c r="D1041" s="51" t="s">
        <v>1664</v>
      </c>
      <c r="E1041" s="51" t="s">
        <v>1600</v>
      </c>
    </row>
    <row r="1042" spans="1:5" ht="30" x14ac:dyDescent="0.2">
      <c r="A1042" s="50" t="str">
        <f t="shared" si="16"/>
        <v>AnalogSignalType.CustomRotationSpeedATertiary</v>
      </c>
      <c r="B1042" s="51" t="s">
        <v>2703</v>
      </c>
      <c r="C1042" s="51" t="s">
        <v>1548</v>
      </c>
      <c r="D1042" s="51" t="s">
        <v>1664</v>
      </c>
      <c r="E1042" s="51" t="s">
        <v>1607</v>
      </c>
    </row>
    <row r="1043" spans="1:5" ht="30" x14ac:dyDescent="0.2">
      <c r="A1043" s="50" t="str">
        <f t="shared" si="16"/>
        <v>AnalogSignalType.CustomRotationSpeedBTertiary</v>
      </c>
      <c r="B1043" s="51" t="s">
        <v>2704</v>
      </c>
      <c r="C1043" s="51" t="s">
        <v>1548</v>
      </c>
      <c r="D1043" s="51" t="s">
        <v>1664</v>
      </c>
      <c r="E1043" s="51" t="s">
        <v>1614</v>
      </c>
    </row>
    <row r="1044" spans="1:5" ht="30" x14ac:dyDescent="0.2">
      <c r="A1044" s="50" t="str">
        <f t="shared" si="16"/>
        <v>AnalogSignalType.CustomRotationSpeedCTertiary</v>
      </c>
      <c r="B1044" s="51" t="s">
        <v>2705</v>
      </c>
      <c r="C1044" s="51" t="s">
        <v>1548</v>
      </c>
      <c r="D1044" s="51" t="s">
        <v>1664</v>
      </c>
      <c r="E1044" s="51" t="s">
        <v>1620</v>
      </c>
    </row>
    <row r="1045" spans="1:5" ht="30" x14ac:dyDescent="0.2">
      <c r="A1045" s="50" t="str">
        <f t="shared" si="16"/>
        <v>AnalogSignalType.CustomMassABCTertiary</v>
      </c>
      <c r="B1045" s="51" t="s">
        <v>2706</v>
      </c>
      <c r="C1045" s="51" t="s">
        <v>1548</v>
      </c>
      <c r="D1045" s="51" t="s">
        <v>1669</v>
      </c>
      <c r="E1045" s="51" t="s">
        <v>1600</v>
      </c>
    </row>
    <row r="1046" spans="1:5" ht="30" x14ac:dyDescent="0.2">
      <c r="A1046" s="50" t="str">
        <f t="shared" si="16"/>
        <v>AnalogSignalType.CustomMassATertiary</v>
      </c>
      <c r="B1046" s="51" t="s">
        <v>2707</v>
      </c>
      <c r="C1046" s="51" t="s">
        <v>1548</v>
      </c>
      <c r="D1046" s="51" t="s">
        <v>1669</v>
      </c>
      <c r="E1046" s="51" t="s">
        <v>1607</v>
      </c>
    </row>
    <row r="1047" spans="1:5" ht="30" x14ac:dyDescent="0.2">
      <c r="A1047" s="50" t="str">
        <f t="shared" si="16"/>
        <v>AnalogSignalType.CustomMassBTertiary</v>
      </c>
      <c r="B1047" s="51" t="s">
        <v>2708</v>
      </c>
      <c r="C1047" s="51" t="s">
        <v>1548</v>
      </c>
      <c r="D1047" s="51" t="s">
        <v>1669</v>
      </c>
      <c r="E1047" s="51" t="s">
        <v>1614</v>
      </c>
    </row>
    <row r="1048" spans="1:5" ht="30" x14ac:dyDescent="0.2">
      <c r="A1048" s="50" t="str">
        <f t="shared" si="16"/>
        <v>AnalogSignalType.CustomMassCTertiary</v>
      </c>
      <c r="B1048" s="51" t="s">
        <v>2709</v>
      </c>
      <c r="C1048" s="51" t="s">
        <v>1548</v>
      </c>
      <c r="D1048" s="51" t="s">
        <v>1669</v>
      </c>
      <c r="E1048" s="51" t="s">
        <v>1620</v>
      </c>
    </row>
    <row r="1049" spans="1:5" ht="30" x14ac:dyDescent="0.2">
      <c r="A1049" s="50" t="str">
        <f t="shared" si="16"/>
        <v>AnalogSignalType.CustomFailureRateABCTertiary</v>
      </c>
      <c r="B1049" s="51" t="s">
        <v>2710</v>
      </c>
      <c r="C1049" s="51" t="s">
        <v>1548</v>
      </c>
      <c r="D1049" s="51" t="s">
        <v>1672</v>
      </c>
      <c r="E1049" s="51" t="s">
        <v>1600</v>
      </c>
    </row>
    <row r="1050" spans="1:5" ht="30" x14ac:dyDescent="0.2">
      <c r="A1050" s="50" t="str">
        <f t="shared" si="16"/>
        <v>AnalogSignalType.CustomFailureRateATertiary</v>
      </c>
      <c r="B1050" s="51" t="s">
        <v>2711</v>
      </c>
      <c r="C1050" s="51" t="s">
        <v>1548</v>
      </c>
      <c r="D1050" s="51" t="s">
        <v>1672</v>
      </c>
      <c r="E1050" s="51" t="s">
        <v>1607</v>
      </c>
    </row>
    <row r="1051" spans="1:5" ht="30" x14ac:dyDescent="0.2">
      <c r="A1051" s="50" t="str">
        <f t="shared" si="16"/>
        <v>AnalogSignalType.CustomFailureRateBTertiary</v>
      </c>
      <c r="B1051" s="51" t="s">
        <v>2712</v>
      </c>
      <c r="C1051" s="51" t="s">
        <v>1548</v>
      </c>
      <c r="D1051" s="51" t="s">
        <v>1672</v>
      </c>
      <c r="E1051" s="51" t="s">
        <v>1614</v>
      </c>
    </row>
    <row r="1052" spans="1:5" ht="30" x14ac:dyDescent="0.2">
      <c r="A1052" s="50" t="str">
        <f t="shared" si="16"/>
        <v>AnalogSignalType.CustomFailureRateCTertiary</v>
      </c>
      <c r="B1052" s="51" t="s">
        <v>2713</v>
      </c>
      <c r="C1052" s="51" t="s">
        <v>1548</v>
      </c>
      <c r="D1052" s="51" t="s">
        <v>1672</v>
      </c>
      <c r="E1052" s="51" t="s">
        <v>1620</v>
      </c>
    </row>
    <row r="1053" spans="1:5" ht="30" x14ac:dyDescent="0.2">
      <c r="A1053" s="50" t="str">
        <f t="shared" si="16"/>
        <v>AnalogSignalType.CustomSoilTemperatureABCTertiary</v>
      </c>
      <c r="B1053" s="51" t="s">
        <v>2714</v>
      </c>
      <c r="C1053" s="51" t="s">
        <v>1548</v>
      </c>
      <c r="D1053" s="51" t="s">
        <v>1676</v>
      </c>
      <c r="E1053" s="51" t="s">
        <v>1600</v>
      </c>
    </row>
    <row r="1054" spans="1:5" ht="30" x14ac:dyDescent="0.2">
      <c r="A1054" s="50" t="str">
        <f t="shared" si="16"/>
        <v>AnalogSignalType.CustomSoilTemperatureATertiary</v>
      </c>
      <c r="B1054" s="51" t="s">
        <v>2715</v>
      </c>
      <c r="C1054" s="51" t="s">
        <v>1548</v>
      </c>
      <c r="D1054" s="51" t="s">
        <v>1676</v>
      </c>
      <c r="E1054" s="51" t="s">
        <v>1607</v>
      </c>
    </row>
    <row r="1055" spans="1:5" ht="30" x14ac:dyDescent="0.2">
      <c r="A1055" s="50" t="str">
        <f t="shared" si="16"/>
        <v>AnalogSignalType.CustomSoilTemperatureBTertiary</v>
      </c>
      <c r="B1055" s="51" t="s">
        <v>2716</v>
      </c>
      <c r="C1055" s="51" t="s">
        <v>1548</v>
      </c>
      <c r="D1055" s="51" t="s">
        <v>1676</v>
      </c>
      <c r="E1055" s="51" t="s">
        <v>1614</v>
      </c>
    </row>
    <row r="1056" spans="1:5" ht="30" x14ac:dyDescent="0.2">
      <c r="A1056" s="50" t="str">
        <f t="shared" si="16"/>
        <v>AnalogSignalType.CustomSoilTemperatureCTertiary</v>
      </c>
      <c r="B1056" s="51" t="s">
        <v>2717</v>
      </c>
      <c r="C1056" s="51" t="s">
        <v>1548</v>
      </c>
      <c r="D1056" s="51" t="s">
        <v>1676</v>
      </c>
      <c r="E1056" s="51" t="s">
        <v>1620</v>
      </c>
    </row>
    <row r="1057" spans="1:5" ht="30" x14ac:dyDescent="0.2">
      <c r="A1057" s="50" t="str">
        <f t="shared" si="16"/>
        <v>AnalogSignalType.CustomOilTemperatureABCTertiary</v>
      </c>
      <c r="B1057" s="51" t="s">
        <v>2718</v>
      </c>
      <c r="C1057" s="51" t="s">
        <v>1548</v>
      </c>
      <c r="D1057" s="51" t="s">
        <v>1680</v>
      </c>
      <c r="E1057" s="51" t="s">
        <v>1600</v>
      </c>
    </row>
    <row r="1058" spans="1:5" ht="30" x14ac:dyDescent="0.2">
      <c r="A1058" s="50" t="str">
        <f t="shared" si="16"/>
        <v>AnalogSignalType.CustomOilTemperatureATertiary</v>
      </c>
      <c r="B1058" s="51" t="s">
        <v>2719</v>
      </c>
      <c r="C1058" s="51" t="s">
        <v>1548</v>
      </c>
      <c r="D1058" s="51" t="s">
        <v>1680</v>
      </c>
      <c r="E1058" s="51" t="s">
        <v>1607</v>
      </c>
    </row>
    <row r="1059" spans="1:5" ht="30" x14ac:dyDescent="0.2">
      <c r="A1059" s="50" t="str">
        <f t="shared" si="16"/>
        <v>AnalogSignalType.CustomOilTemperatureBTertiary</v>
      </c>
      <c r="B1059" s="51" t="s">
        <v>2720</v>
      </c>
      <c r="C1059" s="51" t="s">
        <v>1548</v>
      </c>
      <c r="D1059" s="51" t="s">
        <v>1680</v>
      </c>
      <c r="E1059" s="51" t="s">
        <v>1614</v>
      </c>
    </row>
    <row r="1060" spans="1:5" ht="30" x14ac:dyDescent="0.2">
      <c r="A1060" s="50" t="str">
        <f t="shared" si="16"/>
        <v>AnalogSignalType.CustomOilTemperatureCTertiary</v>
      </c>
      <c r="B1060" s="51" t="s">
        <v>2721</v>
      </c>
      <c r="C1060" s="51" t="s">
        <v>1548</v>
      </c>
      <c r="D1060" s="51" t="s">
        <v>1680</v>
      </c>
      <c r="E1060" s="51" t="s">
        <v>1620</v>
      </c>
    </row>
    <row r="1061" spans="1:5" ht="30" x14ac:dyDescent="0.2">
      <c r="A1061" s="50" t="str">
        <f t="shared" si="16"/>
        <v>AnalogSignalType.CustomHotSpotTemperatureABCTertiary</v>
      </c>
      <c r="B1061" s="51" t="s">
        <v>2722</v>
      </c>
      <c r="C1061" s="51" t="s">
        <v>1548</v>
      </c>
      <c r="D1061" s="51" t="s">
        <v>1684</v>
      </c>
      <c r="E1061" s="51" t="s">
        <v>1600</v>
      </c>
    </row>
    <row r="1062" spans="1:5" ht="30" x14ac:dyDescent="0.2">
      <c r="A1062" s="50" t="str">
        <f t="shared" si="16"/>
        <v>AnalogSignalType.CustomHotSpotTemperatureATertiary</v>
      </c>
      <c r="B1062" s="51" t="s">
        <v>2723</v>
      </c>
      <c r="C1062" s="51" t="s">
        <v>1548</v>
      </c>
      <c r="D1062" s="51" t="s">
        <v>1684</v>
      </c>
      <c r="E1062" s="51" t="s">
        <v>1607</v>
      </c>
    </row>
    <row r="1063" spans="1:5" ht="30" x14ac:dyDescent="0.2">
      <c r="A1063" s="50" t="str">
        <f t="shared" si="16"/>
        <v>AnalogSignalType.CustomHotSpotTemperatureBTertiary</v>
      </c>
      <c r="B1063" s="51" t="s">
        <v>2724</v>
      </c>
      <c r="C1063" s="51" t="s">
        <v>1548</v>
      </c>
      <c r="D1063" s="51" t="s">
        <v>1684</v>
      </c>
      <c r="E1063" s="51" t="s">
        <v>1614</v>
      </c>
    </row>
    <row r="1064" spans="1:5" ht="30" x14ac:dyDescent="0.2">
      <c r="A1064" s="50" t="str">
        <f t="shared" si="16"/>
        <v>AnalogSignalType.CustomHotSpotTemperatureCTertiary</v>
      </c>
      <c r="B1064" s="51" t="s">
        <v>2725</v>
      </c>
      <c r="C1064" s="51" t="s">
        <v>1548</v>
      </c>
      <c r="D1064" s="51" t="s">
        <v>1684</v>
      </c>
      <c r="E1064" s="51" t="s">
        <v>1620</v>
      </c>
    </row>
    <row r="1065" spans="1:5" ht="30" x14ac:dyDescent="0.2">
      <c r="A1065" s="50" t="str">
        <f t="shared" si="16"/>
        <v>AnalogSignalType.CustomAbsoluteDateTimeABCTertiary</v>
      </c>
      <c r="B1065" s="51" t="s">
        <v>2726</v>
      </c>
      <c r="C1065" s="51" t="s">
        <v>1548</v>
      </c>
      <c r="D1065" s="51" t="s">
        <v>1689</v>
      </c>
      <c r="E1065" s="51" t="s">
        <v>1600</v>
      </c>
    </row>
    <row r="1066" spans="1:5" ht="30" x14ac:dyDescent="0.2">
      <c r="A1066" s="50" t="str">
        <f t="shared" si="16"/>
        <v>AnalogSignalType.CustomAbsoluteDateTimeATertiary</v>
      </c>
      <c r="B1066" s="51" t="s">
        <v>2727</v>
      </c>
      <c r="C1066" s="51" t="s">
        <v>1548</v>
      </c>
      <c r="D1066" s="51" t="s">
        <v>1689</v>
      </c>
      <c r="E1066" s="51" t="s">
        <v>1607</v>
      </c>
    </row>
    <row r="1067" spans="1:5" ht="30" x14ac:dyDescent="0.2">
      <c r="A1067" s="50" t="str">
        <f t="shared" si="16"/>
        <v>AnalogSignalType.CustomAbsoluteDateTimeBTertiary</v>
      </c>
      <c r="B1067" s="51" t="s">
        <v>2728</v>
      </c>
      <c r="C1067" s="51" t="s">
        <v>1548</v>
      </c>
      <c r="D1067" s="51" t="s">
        <v>1689</v>
      </c>
      <c r="E1067" s="51" t="s">
        <v>1614</v>
      </c>
    </row>
    <row r="1068" spans="1:5" ht="30" x14ac:dyDescent="0.2">
      <c r="A1068" s="50" t="str">
        <f t="shared" si="16"/>
        <v>AnalogSignalType.CustomAbsoluteDateTimeCTertiary</v>
      </c>
      <c r="B1068" s="51" t="s">
        <v>2729</v>
      </c>
      <c r="C1068" s="51" t="s">
        <v>1548</v>
      </c>
      <c r="D1068" s="51" t="s">
        <v>1689</v>
      </c>
      <c r="E1068" s="51" t="s">
        <v>1620</v>
      </c>
    </row>
    <row r="1069" spans="1:5" ht="30" x14ac:dyDescent="0.2">
      <c r="A1069" s="50" t="str">
        <f t="shared" si="16"/>
        <v>AnalogSignalType.CustomLatLongABCTertiary</v>
      </c>
      <c r="B1069" s="51" t="s">
        <v>2730</v>
      </c>
      <c r="C1069" s="51" t="s">
        <v>1548</v>
      </c>
      <c r="D1069" s="51" t="s">
        <v>1694</v>
      </c>
      <c r="E1069" s="51" t="s">
        <v>1600</v>
      </c>
    </row>
    <row r="1070" spans="1:5" ht="30" x14ac:dyDescent="0.2">
      <c r="A1070" s="50" t="str">
        <f t="shared" si="16"/>
        <v>AnalogSignalType.CustomLatLongATertiary</v>
      </c>
      <c r="B1070" s="51" t="s">
        <v>2731</v>
      </c>
      <c r="C1070" s="51" t="s">
        <v>1548</v>
      </c>
      <c r="D1070" s="51" t="s">
        <v>1694</v>
      </c>
      <c r="E1070" s="51" t="s">
        <v>1607</v>
      </c>
    </row>
    <row r="1071" spans="1:5" ht="30" x14ac:dyDescent="0.2">
      <c r="A1071" s="50" t="str">
        <f t="shared" si="16"/>
        <v>AnalogSignalType.CustomLatLongBTertiary</v>
      </c>
      <c r="B1071" s="51" t="s">
        <v>2732</v>
      </c>
      <c r="C1071" s="51" t="s">
        <v>1548</v>
      </c>
      <c r="D1071" s="51" t="s">
        <v>1694</v>
      </c>
      <c r="E1071" s="51" t="s">
        <v>1614</v>
      </c>
    </row>
    <row r="1072" spans="1:5" ht="30" x14ac:dyDescent="0.2">
      <c r="A1072" s="50" t="str">
        <f t="shared" si="16"/>
        <v>AnalogSignalType.CustomLatLongCTertiary</v>
      </c>
      <c r="B1072" s="51" t="s">
        <v>2733</v>
      </c>
      <c r="C1072" s="51" t="s">
        <v>1548</v>
      </c>
      <c r="D1072" s="51" t="s">
        <v>1694</v>
      </c>
      <c r="E1072" s="51" t="s">
        <v>1620</v>
      </c>
    </row>
    <row r="1073" spans="1:5" ht="15" x14ac:dyDescent="0.2">
      <c r="A1073" s="50" t="str">
        <f t="shared" si="16"/>
        <v>SourceStatusStatusABC</v>
      </c>
      <c r="B1073" s="51" t="s">
        <v>2734</v>
      </c>
      <c r="C1073" s="51" t="s">
        <v>1380</v>
      </c>
      <c r="D1073" s="51" t="s">
        <v>1301</v>
      </c>
      <c r="E1073" s="51" t="s">
        <v>1425</v>
      </c>
    </row>
    <row r="1074" spans="1:5" ht="15" x14ac:dyDescent="0.2">
      <c r="A1074" s="50" t="str">
        <f t="shared" si="16"/>
        <v>SourceStatusStatusA</v>
      </c>
      <c r="B1074" s="51" t="s">
        <v>2735</v>
      </c>
      <c r="C1074" s="51" t="s">
        <v>1380</v>
      </c>
      <c r="D1074" s="51" t="s">
        <v>1301</v>
      </c>
      <c r="E1074" s="51" t="s">
        <v>1440</v>
      </c>
    </row>
    <row r="1075" spans="1:5" ht="15" x14ac:dyDescent="0.2">
      <c r="A1075" s="50" t="str">
        <f t="shared" si="16"/>
        <v>SourceStatusStatusB</v>
      </c>
      <c r="B1075" s="51" t="s">
        <v>2736</v>
      </c>
      <c r="C1075" s="51" t="s">
        <v>1380</v>
      </c>
      <c r="D1075" s="51" t="s">
        <v>1301</v>
      </c>
      <c r="E1075" s="51" t="s">
        <v>1456</v>
      </c>
    </row>
    <row r="1076" spans="1:5" ht="15" x14ac:dyDescent="0.2">
      <c r="A1076" s="50" t="str">
        <f t="shared" si="16"/>
        <v>SourceStatusStatusC</v>
      </c>
      <c r="B1076" s="51" t="s">
        <v>2737</v>
      </c>
      <c r="C1076" s="51" t="s">
        <v>1380</v>
      </c>
      <c r="D1076" s="51" t="s">
        <v>1301</v>
      </c>
      <c r="E1076" s="51" t="s">
        <v>1467</v>
      </c>
    </row>
    <row r="1077" spans="1:5" ht="15" x14ac:dyDescent="0.2">
      <c r="A1077" s="50" t="str">
        <f t="shared" si="16"/>
        <v>FaultCurrentSubCurrentABC</v>
      </c>
      <c r="B1077" s="51" t="s">
        <v>2738</v>
      </c>
      <c r="C1077" s="51" t="s">
        <v>1687</v>
      </c>
      <c r="D1077" s="51" t="s">
        <v>1498</v>
      </c>
      <c r="E1077" s="51" t="s">
        <v>1425</v>
      </c>
    </row>
    <row r="1078" spans="1:5" ht="15" x14ac:dyDescent="0.2">
      <c r="A1078" s="50" t="str">
        <f t="shared" si="16"/>
        <v>FaultAngleSubCurrentAngleABC</v>
      </c>
      <c r="B1078" s="51" t="s">
        <v>2739</v>
      </c>
      <c r="C1078" s="51" t="s">
        <v>1692</v>
      </c>
      <c r="D1078" s="51" t="s">
        <v>1542</v>
      </c>
      <c r="E1078" s="51" t="s">
        <v>1425</v>
      </c>
    </row>
    <row r="1079" spans="1:5" ht="15" x14ac:dyDescent="0.2">
      <c r="A1079" s="50" t="str">
        <f t="shared" si="16"/>
        <v>FaultCurrentTransCurrentABC</v>
      </c>
      <c r="B1079" s="51" t="s">
        <v>2740</v>
      </c>
      <c r="C1079" s="51" t="s">
        <v>1697</v>
      </c>
      <c r="D1079" s="51" t="s">
        <v>1498</v>
      </c>
      <c r="E1079" s="51" t="s">
        <v>1425</v>
      </c>
    </row>
    <row r="1080" spans="1:5" ht="15" x14ac:dyDescent="0.2">
      <c r="A1080" s="50" t="str">
        <f t="shared" si="16"/>
        <v>FaultAngleTransCurrentAngleABC</v>
      </c>
      <c r="B1080" s="51" t="s">
        <v>2741</v>
      </c>
      <c r="C1080" s="51" t="s">
        <v>1699</v>
      </c>
      <c r="D1080" s="51" t="s">
        <v>1542</v>
      </c>
      <c r="E1080" s="51" t="s">
        <v>1425</v>
      </c>
    </row>
    <row r="1081" spans="1:5" ht="15" x14ac:dyDescent="0.2">
      <c r="A1081" s="50" t="str">
        <f t="shared" si="16"/>
        <v>BellwetherMeterCurrentABC</v>
      </c>
      <c r="B1081" s="51" t="s">
        <v>2742</v>
      </c>
      <c r="C1081" s="51" t="s">
        <v>1701</v>
      </c>
      <c r="D1081" s="51" t="s">
        <v>1498</v>
      </c>
      <c r="E1081" s="51" t="s">
        <v>1425</v>
      </c>
    </row>
    <row r="1082" spans="1:5" ht="15" x14ac:dyDescent="0.2">
      <c r="A1082" s="50" t="str">
        <f t="shared" si="16"/>
        <v>BellwetherMeterCurrentA</v>
      </c>
      <c r="B1082" s="51" t="s">
        <v>2743</v>
      </c>
      <c r="C1082" s="51" t="s">
        <v>1701</v>
      </c>
      <c r="D1082" s="51" t="s">
        <v>1498</v>
      </c>
      <c r="E1082" s="51" t="s">
        <v>1440</v>
      </c>
    </row>
    <row r="1083" spans="1:5" ht="15" x14ac:dyDescent="0.2">
      <c r="A1083" s="50" t="str">
        <f t="shared" si="16"/>
        <v>BellwetherMeterCurrentB</v>
      </c>
      <c r="B1083" s="51" t="s">
        <v>2744</v>
      </c>
      <c r="C1083" s="51" t="s">
        <v>1701</v>
      </c>
      <c r="D1083" s="51" t="s">
        <v>1498</v>
      </c>
      <c r="E1083" s="51" t="s">
        <v>1456</v>
      </c>
    </row>
    <row r="1084" spans="1:5" ht="15" x14ac:dyDescent="0.2">
      <c r="A1084" s="50" t="str">
        <f t="shared" si="16"/>
        <v>BellwetherMeterCurrentC</v>
      </c>
      <c r="B1084" s="51" t="s">
        <v>2745</v>
      </c>
      <c r="C1084" s="51" t="s">
        <v>1701</v>
      </c>
      <c r="D1084" s="51" t="s">
        <v>1498</v>
      </c>
      <c r="E1084" s="51" t="s">
        <v>1467</v>
      </c>
    </row>
    <row r="1085" spans="1:5" ht="15" x14ac:dyDescent="0.2">
      <c r="A1085" s="50" t="str">
        <f t="shared" si="16"/>
        <v>BellwetherMeterActivePowerABC</v>
      </c>
      <c r="B1085" s="51" t="s">
        <v>2746</v>
      </c>
      <c r="C1085" s="51" t="s">
        <v>1701</v>
      </c>
      <c r="D1085" s="51" t="s">
        <v>1504</v>
      </c>
      <c r="E1085" s="51" t="s">
        <v>1425</v>
      </c>
    </row>
    <row r="1086" spans="1:5" ht="15" x14ac:dyDescent="0.2">
      <c r="A1086" s="50" t="str">
        <f t="shared" si="16"/>
        <v>BellwetherMeterActivePowerA</v>
      </c>
      <c r="B1086" s="51" t="s">
        <v>2747</v>
      </c>
      <c r="C1086" s="51" t="s">
        <v>1701</v>
      </c>
      <c r="D1086" s="51" t="s">
        <v>1504</v>
      </c>
      <c r="E1086" s="51" t="s">
        <v>1440</v>
      </c>
    </row>
    <row r="1087" spans="1:5" ht="15" x14ac:dyDescent="0.2">
      <c r="A1087" s="50" t="str">
        <f t="shared" si="16"/>
        <v>BellwetherMeterActivePowerB</v>
      </c>
      <c r="B1087" s="51" t="s">
        <v>2748</v>
      </c>
      <c r="C1087" s="51" t="s">
        <v>1701</v>
      </c>
      <c r="D1087" s="51" t="s">
        <v>1504</v>
      </c>
      <c r="E1087" s="51" t="s">
        <v>1456</v>
      </c>
    </row>
    <row r="1088" spans="1:5" ht="15" x14ac:dyDescent="0.2">
      <c r="A1088" s="50" t="str">
        <f t="shared" si="16"/>
        <v>BellwetherMeterActivePowerC</v>
      </c>
      <c r="B1088" s="51" t="s">
        <v>2749</v>
      </c>
      <c r="C1088" s="51" t="s">
        <v>1701</v>
      </c>
      <c r="D1088" s="51" t="s">
        <v>1504</v>
      </c>
      <c r="E1088" s="51" t="s">
        <v>1467</v>
      </c>
    </row>
    <row r="1089" spans="1:5" ht="15" x14ac:dyDescent="0.2">
      <c r="A1089" s="50" t="str">
        <f t="shared" si="16"/>
        <v>BellwetherMeterActivePowerABC</v>
      </c>
      <c r="B1089" s="51" t="s">
        <v>2750</v>
      </c>
      <c r="C1089" s="51" t="s">
        <v>1701</v>
      </c>
      <c r="D1089" s="51" t="s">
        <v>1504</v>
      </c>
      <c r="E1089" s="51" t="s">
        <v>1425</v>
      </c>
    </row>
    <row r="1090" spans="1:5" ht="15" x14ac:dyDescent="0.2">
      <c r="A1090" s="50" t="str">
        <f t="shared" si="16"/>
        <v>BellwetherMeterActivePowerA</v>
      </c>
      <c r="B1090" s="51" t="s">
        <v>2751</v>
      </c>
      <c r="C1090" s="51" t="s">
        <v>1701</v>
      </c>
      <c r="D1090" s="51" t="s">
        <v>1504</v>
      </c>
      <c r="E1090" s="51" t="s">
        <v>1440</v>
      </c>
    </row>
    <row r="1091" spans="1:5" ht="15" x14ac:dyDescent="0.2">
      <c r="A1091" s="50" t="str">
        <f t="shared" si="16"/>
        <v>BellwetherMeterActivePowerB</v>
      </c>
      <c r="B1091" s="51" t="s">
        <v>2752</v>
      </c>
      <c r="C1091" s="51" t="s">
        <v>1701</v>
      </c>
      <c r="D1091" s="51" t="s">
        <v>1504</v>
      </c>
      <c r="E1091" s="51" t="s">
        <v>1456</v>
      </c>
    </row>
    <row r="1092" spans="1:5" ht="15" x14ac:dyDescent="0.2">
      <c r="A1092" s="50" t="str">
        <f t="shared" si="16"/>
        <v>BellwetherMeterActivePowerC</v>
      </c>
      <c r="B1092" s="51" t="s">
        <v>2753</v>
      </c>
      <c r="C1092" s="51" t="s">
        <v>1701</v>
      </c>
      <c r="D1092" s="51" t="s">
        <v>1504</v>
      </c>
      <c r="E1092" s="51" t="s">
        <v>1467</v>
      </c>
    </row>
    <row r="1093" spans="1:5" ht="15" x14ac:dyDescent="0.2">
      <c r="A1093" s="50" t="str">
        <f t="shared" si="16"/>
        <v>BellwetherMeterApparentPowerABC</v>
      </c>
      <c r="B1093" s="51" t="s">
        <v>2754</v>
      </c>
      <c r="C1093" s="51" t="s">
        <v>1701</v>
      </c>
      <c r="D1093" s="51" t="s">
        <v>1511</v>
      </c>
      <c r="E1093" s="51" t="s">
        <v>1425</v>
      </c>
    </row>
    <row r="1094" spans="1:5" ht="15" x14ac:dyDescent="0.2">
      <c r="A1094" s="50" t="str">
        <f t="shared" si="16"/>
        <v>BellwetherMeterApparentPowerA</v>
      </c>
      <c r="B1094" s="51" t="s">
        <v>2755</v>
      </c>
      <c r="C1094" s="51" t="s">
        <v>1701</v>
      </c>
      <c r="D1094" s="51" t="s">
        <v>1511</v>
      </c>
      <c r="E1094" s="51" t="s">
        <v>1440</v>
      </c>
    </row>
    <row r="1095" spans="1:5" ht="15" x14ac:dyDescent="0.2">
      <c r="A1095" s="50" t="str">
        <f t="shared" si="16"/>
        <v>BellwetherMeterApparentPowerB</v>
      </c>
      <c r="B1095" s="51" t="s">
        <v>2756</v>
      </c>
      <c r="C1095" s="51" t="s">
        <v>1701</v>
      </c>
      <c r="D1095" s="51" t="s">
        <v>1511</v>
      </c>
      <c r="E1095" s="51" t="s">
        <v>1456</v>
      </c>
    </row>
    <row r="1096" spans="1:5" ht="15" x14ac:dyDescent="0.2">
      <c r="A1096" s="50" t="str">
        <f t="shared" si="16"/>
        <v>BellwetherMeterApparentPowerC</v>
      </c>
      <c r="B1096" s="51" t="s">
        <v>2757</v>
      </c>
      <c r="C1096" s="51" t="s">
        <v>1701</v>
      </c>
      <c r="D1096" s="51" t="s">
        <v>1511</v>
      </c>
      <c r="E1096" s="51" t="s">
        <v>1467</v>
      </c>
    </row>
    <row r="1097" spans="1:5" ht="15" x14ac:dyDescent="0.2">
      <c r="A1097" s="50" t="str">
        <f t="shared" si="16"/>
        <v>BellwetherMeterCosPhiABC</v>
      </c>
      <c r="B1097" s="51" t="s">
        <v>2758</v>
      </c>
      <c r="C1097" s="51" t="s">
        <v>1701</v>
      </c>
      <c r="D1097" s="51" t="s">
        <v>1518</v>
      </c>
      <c r="E1097" s="51" t="s">
        <v>1425</v>
      </c>
    </row>
    <row r="1098" spans="1:5" ht="15" x14ac:dyDescent="0.2">
      <c r="A1098" s="50" t="str">
        <f t="shared" si="16"/>
        <v>BellwetherMeterCosPhiA</v>
      </c>
      <c r="B1098" s="51" t="s">
        <v>2759</v>
      </c>
      <c r="C1098" s="51" t="s">
        <v>1701</v>
      </c>
      <c r="D1098" s="51" t="s">
        <v>1518</v>
      </c>
      <c r="E1098" s="51" t="s">
        <v>1440</v>
      </c>
    </row>
    <row r="1099" spans="1:5" ht="15" x14ac:dyDescent="0.2">
      <c r="A1099" s="50" t="str">
        <f t="shared" si="16"/>
        <v>BellwetherMeterCosPhiB</v>
      </c>
      <c r="B1099" s="51" t="s">
        <v>2760</v>
      </c>
      <c r="C1099" s="51" t="s">
        <v>1701</v>
      </c>
      <c r="D1099" s="51" t="s">
        <v>1518</v>
      </c>
      <c r="E1099" s="51" t="s">
        <v>1456</v>
      </c>
    </row>
    <row r="1100" spans="1:5" ht="15" x14ac:dyDescent="0.2">
      <c r="A1100" s="50" t="str">
        <f t="shared" ref="A1100:A1141" si="17">CONCATENATE(C1100,D1100,E1100)</f>
        <v>BellwetherMeterCosPhiC</v>
      </c>
      <c r="B1100" s="51" t="s">
        <v>2761</v>
      </c>
      <c r="C1100" s="51" t="s">
        <v>1701</v>
      </c>
      <c r="D1100" s="51" t="s">
        <v>1518</v>
      </c>
      <c r="E1100" s="51" t="s">
        <v>1467</v>
      </c>
    </row>
    <row r="1101" spans="1:5" ht="15" x14ac:dyDescent="0.2">
      <c r="A1101" s="50" t="str">
        <f t="shared" si="17"/>
        <v>BellwetherMeterActiveEnergyABC</v>
      </c>
      <c r="B1101" s="51" t="s">
        <v>2762</v>
      </c>
      <c r="C1101" s="51" t="s">
        <v>1701</v>
      </c>
      <c r="D1101" s="51" t="s">
        <v>1526</v>
      </c>
      <c r="E1101" s="51" t="s">
        <v>1425</v>
      </c>
    </row>
    <row r="1102" spans="1:5" ht="15" x14ac:dyDescent="0.2">
      <c r="A1102" s="50" t="str">
        <f t="shared" si="17"/>
        <v>BellwetherMeterActiveEnergyA</v>
      </c>
      <c r="B1102" s="51" t="s">
        <v>2763</v>
      </c>
      <c r="C1102" s="51" t="s">
        <v>1701</v>
      </c>
      <c r="D1102" s="51" t="s">
        <v>1526</v>
      </c>
      <c r="E1102" s="51" t="s">
        <v>1440</v>
      </c>
    </row>
    <row r="1103" spans="1:5" ht="15" x14ac:dyDescent="0.2">
      <c r="A1103" s="50" t="str">
        <f t="shared" si="17"/>
        <v>BellwetherMeterActiveEnergyB</v>
      </c>
      <c r="B1103" s="51" t="s">
        <v>2764</v>
      </c>
      <c r="C1103" s="51" t="s">
        <v>1701</v>
      </c>
      <c r="D1103" s="51" t="s">
        <v>1526</v>
      </c>
      <c r="E1103" s="51" t="s">
        <v>1456</v>
      </c>
    </row>
    <row r="1104" spans="1:5" ht="15" x14ac:dyDescent="0.2">
      <c r="A1104" s="50" t="str">
        <f t="shared" si="17"/>
        <v>BellwetherMeterActiveEnergyC</v>
      </c>
      <c r="B1104" s="51" t="s">
        <v>2765</v>
      </c>
      <c r="C1104" s="51" t="s">
        <v>1701</v>
      </c>
      <c r="D1104" s="51" t="s">
        <v>1526</v>
      </c>
      <c r="E1104" s="51" t="s">
        <v>1467</v>
      </c>
    </row>
    <row r="1105" spans="1:5" ht="15" x14ac:dyDescent="0.2">
      <c r="A1105" s="50" t="str">
        <f t="shared" si="17"/>
        <v>BellwetherMeterReactiveEnergyABC</v>
      </c>
      <c r="B1105" s="51" t="s">
        <v>2766</v>
      </c>
      <c r="C1105" s="51" t="s">
        <v>1701</v>
      </c>
      <c r="D1105" s="51" t="s">
        <v>1534</v>
      </c>
      <c r="E1105" s="51" t="s">
        <v>1425</v>
      </c>
    </row>
    <row r="1106" spans="1:5" ht="15" x14ac:dyDescent="0.2">
      <c r="A1106" s="50" t="str">
        <f t="shared" si="17"/>
        <v>BellwetherMeterReactiveEnergyA</v>
      </c>
      <c r="B1106" s="51" t="s">
        <v>2767</v>
      </c>
      <c r="C1106" s="51" t="s">
        <v>1701</v>
      </c>
      <c r="D1106" s="51" t="s">
        <v>1534</v>
      </c>
      <c r="E1106" s="51" t="s">
        <v>1440</v>
      </c>
    </row>
    <row r="1107" spans="1:5" ht="15" x14ac:dyDescent="0.2">
      <c r="A1107" s="50" t="str">
        <f t="shared" si="17"/>
        <v>BellwetherMeterReactiveEnergyB</v>
      </c>
      <c r="B1107" s="51" t="s">
        <v>2768</v>
      </c>
      <c r="C1107" s="51" t="s">
        <v>1701</v>
      </c>
      <c r="D1107" s="51" t="s">
        <v>1534</v>
      </c>
      <c r="E1107" s="51" t="s">
        <v>1456</v>
      </c>
    </row>
    <row r="1108" spans="1:5" ht="15" x14ac:dyDescent="0.2">
      <c r="A1108" s="50" t="str">
        <f t="shared" si="17"/>
        <v>BellwetherMeterReactiveEnergyC</v>
      </c>
      <c r="B1108" s="51" t="s">
        <v>2769</v>
      </c>
      <c r="C1108" s="51" t="s">
        <v>1701</v>
      </c>
      <c r="D1108" s="51" t="s">
        <v>1534</v>
      </c>
      <c r="E1108" s="51" t="s">
        <v>1467</v>
      </c>
    </row>
    <row r="1109" spans="1:5" ht="15" x14ac:dyDescent="0.2">
      <c r="A1109" s="50" t="str">
        <f t="shared" si="17"/>
        <v>BellwetherMeterVoltageABC</v>
      </c>
      <c r="B1109" s="51" t="s">
        <v>2770</v>
      </c>
      <c r="C1109" s="51" t="s">
        <v>1701</v>
      </c>
      <c r="D1109" s="51" t="s">
        <v>1469</v>
      </c>
      <c r="E1109" s="51" t="s">
        <v>1425</v>
      </c>
    </row>
    <row r="1110" spans="1:5" ht="15" x14ac:dyDescent="0.2">
      <c r="A1110" s="50" t="str">
        <f t="shared" si="17"/>
        <v>BellwetherMeterVoltageAB</v>
      </c>
      <c r="B1110" s="51" t="s">
        <v>2771</v>
      </c>
      <c r="C1110" s="51" t="s">
        <v>1701</v>
      </c>
      <c r="D1110" s="51" t="s">
        <v>1469</v>
      </c>
      <c r="E1110" s="51" t="s">
        <v>1479</v>
      </c>
    </row>
    <row r="1111" spans="1:5" ht="15" x14ac:dyDescent="0.2">
      <c r="A1111" s="50" t="str">
        <f t="shared" si="17"/>
        <v>BellwetherMeterVoltageBC</v>
      </c>
      <c r="B1111" s="51" t="s">
        <v>2772</v>
      </c>
      <c r="C1111" s="51" t="s">
        <v>1701</v>
      </c>
      <c r="D1111" s="51" t="s">
        <v>1469</v>
      </c>
      <c r="E1111" s="51" t="s">
        <v>1486</v>
      </c>
    </row>
    <row r="1112" spans="1:5" ht="15" x14ac:dyDescent="0.2">
      <c r="A1112" s="50" t="str">
        <f t="shared" si="17"/>
        <v>BellwetherMeterVoltageAC</v>
      </c>
      <c r="B1112" s="51" t="s">
        <v>2773</v>
      </c>
      <c r="C1112" s="51" t="s">
        <v>1701</v>
      </c>
      <c r="D1112" s="51" t="s">
        <v>1469</v>
      </c>
      <c r="E1112" s="51" t="s">
        <v>1493</v>
      </c>
    </row>
    <row r="1113" spans="1:5" ht="15" x14ac:dyDescent="0.2">
      <c r="A1113" s="50" t="str">
        <f t="shared" si="17"/>
        <v>BellwetherMeterVoltageA</v>
      </c>
      <c r="B1113" s="51" t="s">
        <v>2774</v>
      </c>
      <c r="C1113" s="51" t="s">
        <v>1701</v>
      </c>
      <c r="D1113" s="51" t="s">
        <v>1469</v>
      </c>
      <c r="E1113" s="51" t="s">
        <v>1440</v>
      </c>
    </row>
    <row r="1114" spans="1:5" ht="15" x14ac:dyDescent="0.2">
      <c r="A1114" s="50" t="str">
        <f t="shared" si="17"/>
        <v>BellwetherMeterVoltageB</v>
      </c>
      <c r="B1114" s="51" t="s">
        <v>2775</v>
      </c>
      <c r="C1114" s="51" t="s">
        <v>1701</v>
      </c>
      <c r="D1114" s="51" t="s">
        <v>1469</v>
      </c>
      <c r="E1114" s="51" t="s">
        <v>1456</v>
      </c>
    </row>
    <row r="1115" spans="1:5" ht="15" x14ac:dyDescent="0.2">
      <c r="A1115" s="50" t="str">
        <f t="shared" si="17"/>
        <v>BellwetherMeterVoltageC</v>
      </c>
      <c r="B1115" s="51" t="s">
        <v>2776</v>
      </c>
      <c r="C1115" s="51" t="s">
        <v>1701</v>
      </c>
      <c r="D1115" s="51" t="s">
        <v>1469</v>
      </c>
      <c r="E1115" s="51" t="s">
        <v>1467</v>
      </c>
    </row>
    <row r="1116" spans="1:5" ht="15" x14ac:dyDescent="0.2">
      <c r="A1116" s="50" t="str">
        <f t="shared" si="17"/>
        <v>BellwetherMeterVoltageAngleABC</v>
      </c>
      <c r="B1116" s="51" t="s">
        <v>2777</v>
      </c>
      <c r="C1116" s="51" t="s">
        <v>1701</v>
      </c>
      <c r="D1116" s="51" t="s">
        <v>1477</v>
      </c>
      <c r="E1116" s="51" t="s">
        <v>1425</v>
      </c>
    </row>
    <row r="1117" spans="1:5" ht="15" x14ac:dyDescent="0.2">
      <c r="A1117" s="50" t="str">
        <f t="shared" si="17"/>
        <v>BellwetherMeterVoltageAngleAB</v>
      </c>
      <c r="B1117" s="51" t="s">
        <v>2778</v>
      </c>
      <c r="C1117" s="51" t="s">
        <v>1701</v>
      </c>
      <c r="D1117" s="51" t="s">
        <v>1477</v>
      </c>
      <c r="E1117" s="51" t="s">
        <v>1479</v>
      </c>
    </row>
    <row r="1118" spans="1:5" ht="15" x14ac:dyDescent="0.2">
      <c r="A1118" s="50" t="str">
        <f t="shared" si="17"/>
        <v>BellwetherMeterVoltageAngleBC</v>
      </c>
      <c r="B1118" s="51" t="s">
        <v>2779</v>
      </c>
      <c r="C1118" s="51" t="s">
        <v>1701</v>
      </c>
      <c r="D1118" s="51" t="s">
        <v>1477</v>
      </c>
      <c r="E1118" s="51" t="s">
        <v>1486</v>
      </c>
    </row>
    <row r="1119" spans="1:5" ht="15" x14ac:dyDescent="0.2">
      <c r="A1119" s="50" t="str">
        <f t="shared" si="17"/>
        <v>BellwetherMeterVoltageAngleAC</v>
      </c>
      <c r="B1119" s="51" t="s">
        <v>2780</v>
      </c>
      <c r="C1119" s="51" t="s">
        <v>1701</v>
      </c>
      <c r="D1119" s="51" t="s">
        <v>1477</v>
      </c>
      <c r="E1119" s="51" t="s">
        <v>1493</v>
      </c>
    </row>
    <row r="1120" spans="1:5" ht="15" x14ac:dyDescent="0.2">
      <c r="A1120" s="50" t="str">
        <f t="shared" si="17"/>
        <v>BellwetherMeterVoltageAngleA</v>
      </c>
      <c r="B1120" s="51" t="s">
        <v>2781</v>
      </c>
      <c r="C1120" s="51" t="s">
        <v>1701</v>
      </c>
      <c r="D1120" s="51" t="s">
        <v>1477</v>
      </c>
      <c r="E1120" s="51" t="s">
        <v>1440</v>
      </c>
    </row>
    <row r="1121" spans="1:5" ht="15" x14ac:dyDescent="0.2">
      <c r="A1121" s="50" t="str">
        <f t="shared" si="17"/>
        <v>BellwetherMeterVoltageAngleB</v>
      </c>
      <c r="B1121" s="51" t="s">
        <v>2782</v>
      </c>
      <c r="C1121" s="51" t="s">
        <v>1701</v>
      </c>
      <c r="D1121" s="51" t="s">
        <v>1477</v>
      </c>
      <c r="E1121" s="51" t="s">
        <v>1456</v>
      </c>
    </row>
    <row r="1122" spans="1:5" ht="15" x14ac:dyDescent="0.2">
      <c r="A1122" s="50" t="str">
        <f t="shared" si="17"/>
        <v>BellwetherMeterVoltageAngleC</v>
      </c>
      <c r="B1122" s="51" t="s">
        <v>2783</v>
      </c>
      <c r="C1122" s="51" t="s">
        <v>1701</v>
      </c>
      <c r="D1122" s="51" t="s">
        <v>1477</v>
      </c>
      <c r="E1122" s="51" t="s">
        <v>1467</v>
      </c>
    </row>
    <row r="1123" spans="1:5" ht="15" x14ac:dyDescent="0.2">
      <c r="A1123" s="50" t="str">
        <f t="shared" si="17"/>
        <v>BellwetherMeterFrequencyABC</v>
      </c>
      <c r="B1123" s="51" t="s">
        <v>2784</v>
      </c>
      <c r="C1123" s="51" t="s">
        <v>1701</v>
      </c>
      <c r="D1123" s="51" t="s">
        <v>1485</v>
      </c>
      <c r="E1123" s="51" t="s">
        <v>1425</v>
      </c>
    </row>
    <row r="1124" spans="1:5" ht="15" x14ac:dyDescent="0.2">
      <c r="A1124" s="50" t="str">
        <f t="shared" si="17"/>
        <v>BellwetherMeterRelativeVoltageABC</v>
      </c>
      <c r="B1124" s="51" t="s">
        <v>2785</v>
      </c>
      <c r="C1124" s="51" t="s">
        <v>1701</v>
      </c>
      <c r="D1124" s="51" t="s">
        <v>1491</v>
      </c>
      <c r="E1124" s="51" t="s">
        <v>1425</v>
      </c>
    </row>
    <row r="1125" spans="1:5" ht="15" x14ac:dyDescent="0.2">
      <c r="A1125" s="50" t="str">
        <f t="shared" si="17"/>
        <v>BellwetherMeterRelativeVoltageAB</v>
      </c>
      <c r="B1125" s="51" t="s">
        <v>2786</v>
      </c>
      <c r="C1125" s="51" t="s">
        <v>1701</v>
      </c>
      <c r="D1125" s="51" t="s">
        <v>1491</v>
      </c>
      <c r="E1125" s="51" t="s">
        <v>1479</v>
      </c>
    </row>
    <row r="1126" spans="1:5" ht="15" x14ac:dyDescent="0.2">
      <c r="A1126" s="50" t="str">
        <f t="shared" si="17"/>
        <v>BellwetherMeterRelativeVoltageBC</v>
      </c>
      <c r="B1126" s="51" t="s">
        <v>2787</v>
      </c>
      <c r="C1126" s="51" t="s">
        <v>1701</v>
      </c>
      <c r="D1126" s="51" t="s">
        <v>1491</v>
      </c>
      <c r="E1126" s="51" t="s">
        <v>1486</v>
      </c>
    </row>
    <row r="1127" spans="1:5" ht="15" x14ac:dyDescent="0.2">
      <c r="A1127" s="50" t="str">
        <f t="shared" si="17"/>
        <v>BellwetherMeterRelativeVoltageAC</v>
      </c>
      <c r="B1127" s="51" t="s">
        <v>2788</v>
      </c>
      <c r="C1127" s="51" t="s">
        <v>1701</v>
      </c>
      <c r="D1127" s="51" t="s">
        <v>1491</v>
      </c>
      <c r="E1127" s="51" t="s">
        <v>1493</v>
      </c>
    </row>
    <row r="1128" spans="1:5" ht="15" x14ac:dyDescent="0.2">
      <c r="A1128" s="50" t="str">
        <f t="shared" si="17"/>
        <v>BellwetherMeterRelativeVoltageA</v>
      </c>
      <c r="B1128" s="51" t="s">
        <v>2789</v>
      </c>
      <c r="C1128" s="51" t="s">
        <v>1701</v>
      </c>
      <c r="D1128" s="51" t="s">
        <v>1491</v>
      </c>
      <c r="E1128" s="51" t="s">
        <v>1440</v>
      </c>
    </row>
    <row r="1129" spans="1:5" ht="15" x14ac:dyDescent="0.2">
      <c r="A1129" s="50" t="str">
        <f t="shared" si="17"/>
        <v>BellwetherMeterRelativeVoltageB</v>
      </c>
      <c r="B1129" s="51" t="s">
        <v>2790</v>
      </c>
      <c r="C1129" s="51" t="s">
        <v>1701</v>
      </c>
      <c r="D1129" s="51" t="s">
        <v>1491</v>
      </c>
      <c r="E1129" s="51" t="s">
        <v>1456</v>
      </c>
    </row>
    <row r="1130" spans="1:5" ht="15" x14ac:dyDescent="0.2">
      <c r="A1130" s="50" t="str">
        <f t="shared" si="17"/>
        <v>BellwetherMeterRelativeVoltageC</v>
      </c>
      <c r="B1130" s="51" t="s">
        <v>2791</v>
      </c>
      <c r="C1130" s="51" t="s">
        <v>1701</v>
      </c>
      <c r="D1130" s="51" t="s">
        <v>1491</v>
      </c>
      <c r="E1130" s="51" t="s">
        <v>1467</v>
      </c>
    </row>
    <row r="1131" spans="1:5" ht="15" x14ac:dyDescent="0.2">
      <c r="A1131" s="50" t="str">
        <f t="shared" si="17"/>
        <v>BellwetherMeterTemperatureABC</v>
      </c>
      <c r="B1131" s="51" t="s">
        <v>2792</v>
      </c>
      <c r="C1131" s="51" t="s">
        <v>1701</v>
      </c>
      <c r="D1131" s="51" t="s">
        <v>1549</v>
      </c>
      <c r="E1131" s="51" t="s">
        <v>1425</v>
      </c>
    </row>
    <row r="1132" spans="1:5" ht="15" x14ac:dyDescent="0.2">
      <c r="A1132" s="50" t="str">
        <f t="shared" si="17"/>
        <v>BellwetherMeterOilTemperatureABC</v>
      </c>
      <c r="B1132" s="51" t="s">
        <v>2793</v>
      </c>
      <c r="C1132" s="51" t="s">
        <v>1701</v>
      </c>
      <c r="D1132" s="51" t="s">
        <v>1680</v>
      </c>
      <c r="E1132" s="51" t="s">
        <v>1425</v>
      </c>
    </row>
    <row r="1133" spans="1:5" ht="30" x14ac:dyDescent="0.2">
      <c r="A1133" s="50" t="str">
        <f t="shared" si="17"/>
        <v>BellwetherMeterHotSpotTemperatureABC</v>
      </c>
      <c r="B1133" s="51" t="s">
        <v>2794</v>
      </c>
      <c r="C1133" s="51" t="s">
        <v>1701</v>
      </c>
      <c r="D1133" s="51" t="s">
        <v>1684</v>
      </c>
      <c r="E1133" s="51" t="s">
        <v>1425</v>
      </c>
    </row>
    <row r="1134" spans="1:5" ht="15" x14ac:dyDescent="0.2">
      <c r="A1134" s="50" t="str">
        <f t="shared" si="17"/>
        <v>WeatherDataTemperatureABC</v>
      </c>
      <c r="B1134" s="51" t="s">
        <v>2795</v>
      </c>
      <c r="C1134" s="51" t="s">
        <v>1704</v>
      </c>
      <c r="D1134" s="51" t="s">
        <v>1549</v>
      </c>
      <c r="E1134" s="51" t="s">
        <v>1425</v>
      </c>
    </row>
    <row r="1135" spans="1:5" ht="15" x14ac:dyDescent="0.2">
      <c r="A1135" s="50" t="str">
        <f t="shared" si="17"/>
        <v>WeatherDataHumidityABC</v>
      </c>
      <c r="B1135" s="51" t="s">
        <v>2796</v>
      </c>
      <c r="C1135" s="51" t="s">
        <v>1704</v>
      </c>
      <c r="D1135" s="51" t="s">
        <v>1578</v>
      </c>
      <c r="E1135" s="51" t="s">
        <v>1425</v>
      </c>
    </row>
    <row r="1136" spans="1:5" ht="15" x14ac:dyDescent="0.2">
      <c r="A1136" s="50" t="str">
        <f t="shared" si="17"/>
        <v>WeatherDataWindSpeedABC</v>
      </c>
      <c r="B1136" s="51" t="s">
        <v>2797</v>
      </c>
      <c r="C1136" s="51" t="s">
        <v>1704</v>
      </c>
      <c r="D1136" s="51" t="s">
        <v>1585</v>
      </c>
      <c r="E1136" s="51" t="s">
        <v>1425</v>
      </c>
    </row>
    <row r="1137" spans="1:5" ht="15" x14ac:dyDescent="0.2">
      <c r="A1137" s="50" t="str">
        <f t="shared" si="17"/>
        <v>WeatherDataFeelsLikeABC</v>
      </c>
      <c r="B1137" s="51" t="s">
        <v>2798</v>
      </c>
      <c r="C1137" s="51" t="s">
        <v>1704</v>
      </c>
      <c r="D1137" s="51" t="s">
        <v>1592</v>
      </c>
      <c r="E1137" s="51" t="s">
        <v>1425</v>
      </c>
    </row>
    <row r="1138" spans="1:5" ht="15" x14ac:dyDescent="0.2">
      <c r="A1138" s="50" t="str">
        <f t="shared" si="17"/>
        <v>WeatherDataSunshineMinutesABC</v>
      </c>
      <c r="B1138" s="51" t="s">
        <v>2799</v>
      </c>
      <c r="C1138" s="51" t="s">
        <v>1704</v>
      </c>
      <c r="D1138" s="51" t="s">
        <v>1598</v>
      </c>
      <c r="E1138" s="51" t="s">
        <v>1425</v>
      </c>
    </row>
    <row r="1139" spans="1:5" ht="15" x14ac:dyDescent="0.2">
      <c r="A1139" s="50" t="str">
        <f t="shared" si="17"/>
        <v>WeatherDataSkyCoverABC</v>
      </c>
      <c r="B1139" s="51" t="s">
        <v>2800</v>
      </c>
      <c r="C1139" s="51" t="s">
        <v>1704</v>
      </c>
      <c r="D1139" s="51" t="s">
        <v>1605</v>
      </c>
      <c r="E1139" s="51" t="s">
        <v>1425</v>
      </c>
    </row>
    <row r="1140" spans="1:5" ht="15" x14ac:dyDescent="0.2">
      <c r="A1140" s="50" t="str">
        <f t="shared" si="17"/>
        <v>WeatherDataInsolationABC</v>
      </c>
      <c r="B1140" s="51" t="s">
        <v>2801</v>
      </c>
      <c r="C1140" s="51" t="s">
        <v>1704</v>
      </c>
      <c r="D1140" s="51" t="s">
        <v>1660</v>
      </c>
      <c r="E1140" s="51" t="s">
        <v>1425</v>
      </c>
    </row>
    <row r="1141" spans="1:5" ht="15" x14ac:dyDescent="0.2">
      <c r="A1141" s="50" t="str">
        <f t="shared" si="17"/>
        <v>WeatherDataSoilTemperatureABC</v>
      </c>
      <c r="B1141" s="51" t="s">
        <v>2802</v>
      </c>
      <c r="C1141" s="51" t="s">
        <v>1704</v>
      </c>
      <c r="D1141" s="51" t="s">
        <v>1676</v>
      </c>
      <c r="E1141" s="51" t="s">
        <v>1425</v>
      </c>
    </row>
  </sheetData>
  <conditionalFormatting sqref="B129">
    <cfRule type="colorScale" priority="50">
      <colorScale>
        <cfvo type="min"/>
        <cfvo type="max"/>
        <color rgb="FFFE9C9C"/>
        <color rgb="FFFF0000"/>
      </colorScale>
    </cfRule>
    <cfRule type="colorScale" priority="51">
      <colorScale>
        <cfvo type="min"/>
        <cfvo type="max"/>
        <color rgb="FFFE9C9C"/>
        <color rgb="FFFF0000"/>
      </colorScale>
    </cfRule>
    <cfRule type="colorScale" priority="52">
      <colorScale>
        <cfvo type="min"/>
        <cfvo type="max"/>
        <color rgb="FFFE9C9C"/>
        <color rgb="FFFF0000"/>
      </colorScale>
    </cfRule>
    <cfRule type="colorScale" priority="53">
      <colorScale>
        <cfvo type="min"/>
        <cfvo type="max"/>
        <color rgb="FFFE9C9C"/>
        <color rgb="FFFF0000"/>
      </colorScale>
    </cfRule>
  </conditionalFormatting>
  <conditionalFormatting sqref="B288">
    <cfRule type="colorScale" priority="46">
      <colorScale>
        <cfvo type="min"/>
        <cfvo type="max"/>
        <color rgb="FFFE9C9C"/>
        <color rgb="FFFF0000"/>
      </colorScale>
    </cfRule>
    <cfRule type="colorScale" priority="47">
      <colorScale>
        <cfvo type="min"/>
        <cfvo type="max"/>
        <color rgb="FFFE9C9C"/>
        <color rgb="FFFF0000"/>
      </colorScale>
    </cfRule>
    <cfRule type="colorScale" priority="48">
      <colorScale>
        <cfvo type="min"/>
        <cfvo type="max"/>
        <color rgb="FFFE9C9C"/>
        <color rgb="FFFF0000"/>
      </colorScale>
    </cfRule>
    <cfRule type="colorScale" priority="49">
      <colorScale>
        <cfvo type="min"/>
        <cfvo type="max"/>
        <color rgb="FFFE9C9C"/>
        <color rgb="FFFF0000"/>
      </colorScale>
    </cfRule>
  </conditionalFormatting>
  <conditionalFormatting sqref="B342">
    <cfRule type="colorScale" priority="42">
      <colorScale>
        <cfvo type="min"/>
        <cfvo type="max"/>
        <color rgb="FFFE9C9C"/>
        <color rgb="FFFF0000"/>
      </colorScale>
    </cfRule>
    <cfRule type="colorScale" priority="43">
      <colorScale>
        <cfvo type="min"/>
        <cfvo type="max"/>
        <color rgb="FFFE9C9C"/>
        <color rgb="FFFF0000"/>
      </colorScale>
    </cfRule>
    <cfRule type="colorScale" priority="44">
      <colorScale>
        <cfvo type="min"/>
        <cfvo type="max"/>
        <color rgb="FFFE9C9C"/>
        <color rgb="FFFF0000"/>
      </colorScale>
    </cfRule>
    <cfRule type="colorScale" priority="45">
      <colorScale>
        <cfvo type="min"/>
        <cfvo type="max"/>
        <color rgb="FFFE9C9C"/>
        <color rgb="FFFF0000"/>
      </colorScale>
    </cfRule>
  </conditionalFormatting>
  <conditionalFormatting sqref="B501">
    <cfRule type="colorScale" priority="38">
      <colorScale>
        <cfvo type="min"/>
        <cfvo type="max"/>
        <color rgb="FFFE9C9C"/>
        <color rgb="FFFF0000"/>
      </colorScale>
    </cfRule>
    <cfRule type="colorScale" priority="39">
      <colorScale>
        <cfvo type="min"/>
        <cfvo type="max"/>
        <color rgb="FFFE9C9C"/>
        <color rgb="FFFF0000"/>
      </colorScale>
    </cfRule>
    <cfRule type="colorScale" priority="40">
      <colorScale>
        <cfvo type="min"/>
        <cfvo type="max"/>
        <color rgb="FFFE9C9C"/>
        <color rgb="FFFF0000"/>
      </colorScale>
    </cfRule>
    <cfRule type="colorScale" priority="41">
      <colorScale>
        <cfvo type="min"/>
        <cfvo type="max"/>
        <color rgb="FFFE9C9C"/>
        <color rgb="FFFF0000"/>
      </colorScale>
    </cfRule>
  </conditionalFormatting>
  <conditionalFormatting sqref="B555">
    <cfRule type="colorScale" priority="34">
      <colorScale>
        <cfvo type="min"/>
        <cfvo type="max"/>
        <color rgb="FFFE9C9C"/>
        <color rgb="FFFF0000"/>
      </colorScale>
    </cfRule>
    <cfRule type="colorScale" priority="35">
      <colorScale>
        <cfvo type="min"/>
        <cfvo type="max"/>
        <color rgb="FFFE9C9C"/>
        <color rgb="FFFF0000"/>
      </colorScale>
    </cfRule>
    <cfRule type="colorScale" priority="36">
      <colorScale>
        <cfvo type="min"/>
        <cfvo type="max"/>
        <color rgb="FFFE9C9C"/>
        <color rgb="FFFF0000"/>
      </colorScale>
    </cfRule>
    <cfRule type="colorScale" priority="37">
      <colorScale>
        <cfvo type="min"/>
        <cfvo type="max"/>
        <color rgb="FFFE9C9C"/>
        <color rgb="FFFF0000"/>
      </colorScale>
    </cfRule>
  </conditionalFormatting>
  <conditionalFormatting sqref="B867">
    <cfRule type="colorScale" priority="22">
      <colorScale>
        <cfvo type="min"/>
        <cfvo type="max"/>
        <color rgb="FFFE9C9C"/>
        <color rgb="FFFF0000"/>
      </colorScale>
    </cfRule>
    <cfRule type="colorScale" priority="23">
      <colorScale>
        <cfvo type="min"/>
        <cfvo type="max"/>
        <color rgb="FFFE9C9C"/>
        <color rgb="FFFF0000"/>
      </colorScale>
    </cfRule>
    <cfRule type="colorScale" priority="24">
      <colorScale>
        <cfvo type="min"/>
        <cfvo type="max"/>
        <color rgb="FFFE9C9C"/>
        <color rgb="FFFF0000"/>
      </colorScale>
    </cfRule>
    <cfRule type="colorScale" priority="25">
      <colorScale>
        <cfvo type="min"/>
        <cfvo type="max"/>
        <color rgb="FFFE9C9C"/>
        <color rgb="FFFF0000"/>
      </colorScale>
    </cfRule>
  </conditionalFormatting>
  <conditionalFormatting sqref="B899">
    <cfRule type="colorScale" priority="30">
      <colorScale>
        <cfvo type="min"/>
        <cfvo type="max"/>
        <color rgb="FFFE9C9C"/>
        <color rgb="FFFF0000"/>
      </colorScale>
    </cfRule>
    <cfRule type="colorScale" priority="31">
      <colorScale>
        <cfvo type="min"/>
        <cfvo type="max"/>
        <color rgb="FFFE9C9C"/>
        <color rgb="FFFF0000"/>
      </colorScale>
    </cfRule>
    <cfRule type="colorScale" priority="32">
      <colorScale>
        <cfvo type="min"/>
        <cfvo type="max"/>
        <color rgb="FFFE9C9C"/>
        <color rgb="FFFF0000"/>
      </colorScale>
    </cfRule>
    <cfRule type="colorScale" priority="33">
      <colorScale>
        <cfvo type="min"/>
        <cfvo type="max"/>
        <color rgb="FFFE9C9C"/>
        <color rgb="FFFF0000"/>
      </colorScale>
    </cfRule>
  </conditionalFormatting>
  <conditionalFormatting sqref="B900:B938 B1:B128 B130:B287 B289:B341 B343:B500 B502:B554 B556:B866 B940:B1048576 B868:B898">
    <cfRule type="colorScale" priority="75">
      <colorScale>
        <cfvo type="min"/>
        <cfvo type="max"/>
        <color rgb="FFFE9C9C"/>
        <color rgb="FFFF0000"/>
      </colorScale>
    </cfRule>
    <cfRule type="colorScale" priority="76">
      <colorScale>
        <cfvo type="min"/>
        <cfvo type="max"/>
        <color rgb="FFFE9C9C"/>
        <color rgb="FFFF0000"/>
      </colorScale>
    </cfRule>
    <cfRule type="colorScale" priority="77">
      <colorScale>
        <cfvo type="min"/>
        <cfvo type="max"/>
        <color rgb="FFFE9C9C"/>
        <color rgb="FFFF0000"/>
      </colorScale>
    </cfRule>
    <cfRule type="colorScale" priority="78">
      <colorScale>
        <cfvo type="min"/>
        <cfvo type="max"/>
        <color rgb="FFFE9C9C"/>
        <color rgb="FFFF0000"/>
      </colorScale>
    </cfRule>
  </conditionalFormatting>
  <conditionalFormatting sqref="B939">
    <cfRule type="colorScale" priority="26">
      <colorScale>
        <cfvo type="min"/>
        <cfvo type="max"/>
        <color rgb="FFFE9C9C"/>
        <color rgb="FFFF0000"/>
      </colorScale>
    </cfRule>
    <cfRule type="colorScale" priority="27">
      <colorScale>
        <cfvo type="min"/>
        <cfvo type="max"/>
        <color rgb="FFFE9C9C"/>
        <color rgb="FFFF0000"/>
      </colorScale>
    </cfRule>
    <cfRule type="colorScale" priority="28">
      <colorScale>
        <cfvo type="min"/>
        <cfvo type="max"/>
        <color rgb="FFFE9C9C"/>
        <color rgb="FFFF0000"/>
      </colorScale>
    </cfRule>
    <cfRule type="colorScale" priority="29">
      <colorScale>
        <cfvo type="min"/>
        <cfvo type="max"/>
        <color rgb="FFFE9C9C"/>
        <color rgb="FFFF0000"/>
      </colorScale>
    </cfRule>
  </conditionalFormatting>
  <conditionalFormatting sqref="P1:P2 P4:P1048576 Q3">
    <cfRule type="colorScale" priority="61">
      <colorScale>
        <cfvo type="min"/>
        <cfvo type="max"/>
        <color rgb="FFFE9C9C"/>
        <color rgb="FFFF0000"/>
      </colorScale>
    </cfRule>
  </conditionalFormatting>
  <conditionalFormatting sqref="Q1:Q2 Q4:Q1048576">
    <cfRule type="colorScale" priority="54">
      <colorScale>
        <cfvo type="min"/>
        <cfvo type="max"/>
        <color rgb="FFFE9C9C"/>
        <color rgb="FFFF0000"/>
      </colorScale>
    </cfRule>
    <cfRule type="colorScale" priority="55">
      <colorScale>
        <cfvo type="min"/>
        <cfvo type="max"/>
        <color rgb="FFFE9C9C"/>
        <color rgb="FFFF0000"/>
      </colorScale>
    </cfRule>
    <cfRule type="colorScale" priority="56">
      <colorScale>
        <cfvo type="min"/>
        <cfvo type="max"/>
        <color rgb="FFFE9C9C"/>
        <color rgb="FFFF0000"/>
      </colorScale>
    </cfRule>
    <cfRule type="colorScale" priority="57">
      <colorScale>
        <cfvo type="min"/>
        <cfvo type="max"/>
        <color rgb="FFFE9C9C"/>
        <color rgb="FFFF0000"/>
      </colorScale>
    </cfRule>
    <cfRule type="colorScale" priority="58">
      <colorScale>
        <cfvo type="min"/>
        <cfvo type="max"/>
        <color rgb="FFFE9C9C"/>
        <color rgb="FFFF0000"/>
      </colorScale>
    </cfRule>
    <cfRule type="colorScale" priority="59">
      <colorScale>
        <cfvo type="min"/>
        <cfvo type="max"/>
        <color rgb="FFFE9C9C"/>
        <color rgb="FFFF0000"/>
      </colorScale>
    </cfRule>
    <cfRule type="colorScale" priority="60">
      <colorScale>
        <cfvo type="min"/>
        <cfvo type="max"/>
        <color rgb="FFFE9C9C"/>
        <color rgb="FFFF0000"/>
      </colorScale>
    </cfRule>
    <cfRule type="colorScale" priority="62">
      <colorScale>
        <cfvo type="min"/>
        <cfvo type="max"/>
        <color rgb="FFFE9C9C"/>
        <color rgb="FFFF0000"/>
      </colorScale>
    </cfRule>
    <cfRule type="colorScale" priority="63">
      <colorScale>
        <cfvo type="min"/>
        <cfvo type="max"/>
        <color rgb="FFFE9C9C"/>
        <color rgb="FFFF0000"/>
      </colorScale>
    </cfRule>
    <cfRule type="colorScale" priority="64">
      <colorScale>
        <cfvo type="min"/>
        <cfvo type="max"/>
        <color rgb="FFFE9C9C"/>
        <color rgb="FFFF0000"/>
      </colorScale>
    </cfRule>
    <cfRule type="colorScale" priority="65">
      <colorScale>
        <cfvo type="min"/>
        <cfvo type="max"/>
        <color rgb="FFFE9C9C"/>
        <color rgb="FFFF0000"/>
      </colorScale>
    </cfRule>
    <cfRule type="colorScale" priority="66">
      <colorScale>
        <cfvo type="min"/>
        <cfvo type="max"/>
        <color rgb="FFFE9C9C"/>
        <color rgb="FFFF0000"/>
      </colorScale>
    </cfRule>
    <cfRule type="colorScale" priority="67">
      <colorScale>
        <cfvo type="min"/>
        <cfvo type="max"/>
        <color rgb="FFFE9C9C"/>
        <color rgb="FFFF0000"/>
      </colorScale>
    </cfRule>
    <cfRule type="colorScale" priority="68">
      <colorScale>
        <cfvo type="min"/>
        <cfvo type="max"/>
        <color rgb="FFFE9C9C"/>
        <color rgb="FFFF0000"/>
      </colorScale>
    </cfRule>
    <cfRule type="colorScale" priority="69">
      <colorScale>
        <cfvo type="min"/>
        <cfvo type="max"/>
        <color rgb="FFFE9C9C"/>
        <color rgb="FFFF0000"/>
      </colorScale>
    </cfRule>
    <cfRule type="colorScale" priority="70">
      <colorScale>
        <cfvo type="min"/>
        <cfvo type="max"/>
        <color rgb="FFFE9C9C"/>
        <color rgb="FFFF0000"/>
      </colorScale>
    </cfRule>
    <cfRule type="colorScale" priority="71">
      <colorScale>
        <cfvo type="min"/>
        <cfvo type="max"/>
        <color rgb="FFFE9C9C"/>
        <color rgb="FFFF0000"/>
      </colorScale>
    </cfRule>
    <cfRule type="colorScale" priority="72">
      <colorScale>
        <cfvo type="min"/>
        <cfvo type="max"/>
        <color rgb="FFFE9C9C"/>
        <color rgb="FFFF0000"/>
      </colorScale>
    </cfRule>
    <cfRule type="colorScale" priority="73">
      <colorScale>
        <cfvo type="min"/>
        <cfvo type="max"/>
        <color rgb="FFFE9C9C"/>
        <color rgb="FFFF0000"/>
      </colorScale>
    </cfRule>
    <cfRule type="colorScale" priority="74">
      <colorScale>
        <cfvo type="min"/>
        <cfvo type="max"/>
        <color rgb="FFFE9C9C"/>
        <color rgb="FFFF0000"/>
      </colorScale>
    </cfRule>
  </conditionalFormatting>
  <conditionalFormatting sqref="Q1:Q1048576">
    <cfRule type="colorScale" priority="1">
      <colorScale>
        <cfvo type="min"/>
        <cfvo type="max"/>
        <color rgb="FFFE9C9C"/>
        <color rgb="FFFF0000"/>
      </colorScale>
    </cfRule>
    <cfRule type="colorScale" priority="2">
      <colorScale>
        <cfvo type="min"/>
        <cfvo type="max"/>
        <color rgb="FFFE9C9C"/>
        <color rgb="FFFF0000"/>
      </colorScale>
    </cfRule>
    <cfRule type="colorScale" priority="3">
      <colorScale>
        <cfvo type="min"/>
        <cfvo type="max"/>
        <color rgb="FFFE9C9C"/>
        <color rgb="FFFF0000"/>
      </colorScale>
    </cfRule>
    <cfRule type="colorScale" priority="4">
      <colorScale>
        <cfvo type="min"/>
        <cfvo type="max"/>
        <color rgb="FFFE9C9C"/>
        <color rgb="FFFF0000"/>
      </colorScale>
    </cfRule>
    <cfRule type="colorScale" priority="5">
      <colorScale>
        <cfvo type="min"/>
        <cfvo type="max"/>
        <color rgb="FFFE9C9C"/>
        <color rgb="FFFF0000"/>
      </colorScale>
    </cfRule>
    <cfRule type="colorScale" priority="6">
      <colorScale>
        <cfvo type="min"/>
        <cfvo type="max"/>
        <color rgb="FFFE9C9C"/>
        <color rgb="FFFF0000"/>
      </colorScale>
    </cfRule>
    <cfRule type="colorScale" priority="7">
      <colorScale>
        <cfvo type="min"/>
        <cfvo type="max"/>
        <color rgb="FFFE9C9C"/>
        <color rgb="FFFF0000"/>
      </colorScale>
    </cfRule>
    <cfRule type="colorScale" priority="8">
      <colorScale>
        <cfvo type="min"/>
        <cfvo type="max"/>
        <color rgb="FFFE9C9C"/>
        <color rgb="FFFF0000"/>
      </colorScale>
    </cfRule>
    <cfRule type="colorScale" priority="9">
      <colorScale>
        <cfvo type="min"/>
        <cfvo type="max"/>
        <color rgb="FFFE9C9C"/>
        <color rgb="FFFF0000"/>
      </colorScale>
    </cfRule>
    <cfRule type="colorScale" priority="10">
      <colorScale>
        <cfvo type="min"/>
        <cfvo type="max"/>
        <color rgb="FFFE9C9C"/>
        <color rgb="FFFF0000"/>
      </colorScale>
    </cfRule>
    <cfRule type="colorScale" priority="11">
      <colorScale>
        <cfvo type="min"/>
        <cfvo type="max"/>
        <color rgb="FFFE9C9C"/>
        <color rgb="FFFF0000"/>
      </colorScale>
    </cfRule>
    <cfRule type="colorScale" priority="12">
      <colorScale>
        <cfvo type="min"/>
        <cfvo type="max"/>
        <color rgb="FFFE9C9C"/>
        <color rgb="FFFF0000"/>
      </colorScale>
    </cfRule>
    <cfRule type="colorScale" priority="13">
      <colorScale>
        <cfvo type="min"/>
        <cfvo type="max"/>
        <color rgb="FFFE9C9C"/>
        <color rgb="FFFF0000"/>
      </colorScale>
    </cfRule>
    <cfRule type="colorScale" priority="14">
      <colorScale>
        <cfvo type="min"/>
        <cfvo type="max"/>
        <color rgb="FFFE9C9C"/>
        <color rgb="FFFF0000"/>
      </colorScale>
    </cfRule>
    <cfRule type="colorScale" priority="15">
      <colorScale>
        <cfvo type="min"/>
        <cfvo type="max"/>
        <color rgb="FFFE9C9C"/>
        <color rgb="FFFF0000"/>
      </colorScale>
    </cfRule>
    <cfRule type="colorScale" priority="16">
      <colorScale>
        <cfvo type="min"/>
        <cfvo type="max"/>
        <color rgb="FFFE9C9C"/>
        <color rgb="FFFF0000"/>
      </colorScale>
    </cfRule>
    <cfRule type="colorScale" priority="17">
      <colorScale>
        <cfvo type="min"/>
        <cfvo type="max"/>
        <color rgb="FFFE9C9C"/>
        <color rgb="FFFF0000"/>
      </colorScale>
    </cfRule>
    <cfRule type="colorScale" priority="18">
      <colorScale>
        <cfvo type="min"/>
        <cfvo type="max"/>
        <color rgb="FFFE9C9C"/>
        <color rgb="FFFF0000"/>
      </colorScale>
    </cfRule>
    <cfRule type="colorScale" priority="19">
      <colorScale>
        <cfvo type="min"/>
        <cfvo type="max"/>
        <color rgb="FFFE9C9C"/>
        <color rgb="FFFF0000"/>
      </colorScale>
    </cfRule>
    <cfRule type="colorScale" priority="20">
      <colorScale>
        <cfvo type="min"/>
        <cfvo type="max"/>
        <color rgb="FFFE9C9C"/>
        <color rgb="FFFF0000"/>
      </colorScale>
    </cfRule>
    <cfRule type="colorScale" priority="21">
      <colorScale>
        <cfvo type="min"/>
        <cfvo type="max"/>
        <color rgb="FFFE9C9C"/>
        <color rgb="FFFF0000"/>
      </colorScale>
    </cfRule>
  </conditionalFormatting>
  <pageMargins left="0.511811024" right="0.511811024" top="0.78740157499999996" bottom="0.78740157499999996" header="0.31496062000000002" footer="0.31496062000000002"/>
  <pageSetup orientation="portrait" r:id="rId1"/>
  <headerFooter>
    <oddHeader>&amp;L&amp;"Calibri"&amp;10&amp;K0000FF Uso Interno CPFL&amp;1#_x000D_</oddHead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ECC5-83F3-4F0C-A195-BFABEAF81811}">
  <sheetPr codeName="Planilha7">
    <tabColor rgb="FFFFC000"/>
  </sheetPr>
  <dimension ref="A1:L809"/>
  <sheetViews>
    <sheetView zoomScale="90" zoomScaleNormal="90" workbookViewId="0">
      <selection sqref="A1:XFD1"/>
    </sheetView>
  </sheetViews>
  <sheetFormatPr defaultRowHeight="15" x14ac:dyDescent="0.25"/>
  <cols>
    <col min="1" max="1" width="104.140625" customWidth="1"/>
    <col min="3" max="3" width="47.5703125" customWidth="1"/>
    <col min="4" max="4" width="10" bestFit="1" customWidth="1"/>
    <col min="5" max="5" width="10.85546875" bestFit="1" customWidth="1"/>
    <col min="6" max="6" width="22.140625" hidden="1" customWidth="1"/>
    <col min="7" max="7" width="9.7109375" hidden="1" customWidth="1"/>
    <col min="8" max="8" width="40.28515625" hidden="1" customWidth="1"/>
    <col min="9" max="9" width="2.140625" hidden="1" customWidth="1"/>
    <col min="10" max="10" width="38.7109375" hidden="1" customWidth="1"/>
    <col min="11" max="11" width="42.140625" customWidth="1"/>
    <col min="12" max="12" width="21.85546875" customWidth="1"/>
  </cols>
  <sheetData>
    <row r="1" spans="1:12" s="67" customFormat="1" ht="16.5" customHeight="1" thickBot="1" x14ac:dyDescent="0.3">
      <c r="A1" s="61" t="s">
        <v>3034</v>
      </c>
      <c r="B1" s="62" t="s">
        <v>1446</v>
      </c>
      <c r="C1" s="63" t="s">
        <v>3035</v>
      </c>
      <c r="D1" s="61" t="s">
        <v>3036</v>
      </c>
      <c r="E1" s="61" t="s">
        <v>3037</v>
      </c>
      <c r="F1" s="64" t="s">
        <v>3038</v>
      </c>
      <c r="G1" s="64" t="s">
        <v>3039</v>
      </c>
      <c r="H1" s="64" t="s">
        <v>3040</v>
      </c>
      <c r="I1" s="65" t="s">
        <v>3041</v>
      </c>
      <c r="J1" s="64" t="s">
        <v>3042</v>
      </c>
      <c r="K1" s="66" t="s">
        <v>3043</v>
      </c>
      <c r="L1" s="66" t="s">
        <v>3044</v>
      </c>
    </row>
    <row r="2" spans="1:12" s="67" customFormat="1" ht="16.5" customHeight="1" x14ac:dyDescent="0.25">
      <c r="A2" s="68" t="s">
        <v>3045</v>
      </c>
      <c r="B2" s="68" t="s">
        <v>2349</v>
      </c>
      <c r="C2" s="68" t="s">
        <v>2991</v>
      </c>
      <c r="D2" s="68" t="s">
        <v>2809</v>
      </c>
      <c r="E2" s="68" t="s">
        <v>3046</v>
      </c>
      <c r="F2" s="68" t="s">
        <v>3047</v>
      </c>
      <c r="G2" s="68" t="s">
        <v>3048</v>
      </c>
      <c r="H2" s="68" t="s">
        <v>3049</v>
      </c>
      <c r="I2" s="68" t="s">
        <v>3050</v>
      </c>
      <c r="J2" s="68" t="s">
        <v>3051</v>
      </c>
      <c r="K2" s="69" t="s">
        <v>3051</v>
      </c>
      <c r="L2" s="69" t="str">
        <f>VLOOKUP(LinkTable6789[[#This Row],[Coluna1]],[4]AlarmCatalog!$A:$M,11,FALSE)</f>
        <v>Severidade 1</v>
      </c>
    </row>
    <row r="3" spans="1:12" s="67" customFormat="1" ht="16.5" customHeight="1" x14ac:dyDescent="0.25">
      <c r="A3" s="68" t="s">
        <v>3052</v>
      </c>
      <c r="B3" s="68" t="s">
        <v>2349</v>
      </c>
      <c r="C3" s="68" t="s">
        <v>2991</v>
      </c>
      <c r="D3" s="68" t="s">
        <v>2809</v>
      </c>
      <c r="E3" s="68" t="s">
        <v>3053</v>
      </c>
      <c r="F3" s="68" t="s">
        <v>3047</v>
      </c>
      <c r="G3" s="68" t="s">
        <v>3048</v>
      </c>
      <c r="H3" s="68" t="s">
        <v>3049</v>
      </c>
      <c r="I3" s="68" t="s">
        <v>3050</v>
      </c>
      <c r="J3" s="68" t="s">
        <v>3051</v>
      </c>
      <c r="K3" s="69" t="s">
        <v>3051</v>
      </c>
      <c r="L3" s="69" t="str">
        <f>VLOOKUP(LinkTable6789[[#This Row],[Coluna1]],[4]AlarmCatalog!$A:$M,11,FALSE)</f>
        <v>Severidade 1</v>
      </c>
    </row>
    <row r="4" spans="1:12" s="67" customFormat="1" ht="16.5" customHeight="1" x14ac:dyDescent="0.25">
      <c r="A4" s="68" t="s">
        <v>3054</v>
      </c>
      <c r="B4" s="68" t="s">
        <v>2349</v>
      </c>
      <c r="C4" s="68" t="s">
        <v>2991</v>
      </c>
      <c r="D4" s="68" t="s">
        <v>2809</v>
      </c>
      <c r="E4" s="68" t="s">
        <v>3053</v>
      </c>
      <c r="F4" s="68" t="s">
        <v>3047</v>
      </c>
      <c r="G4" s="68" t="s">
        <v>3048</v>
      </c>
      <c r="H4" s="68" t="s">
        <v>3049</v>
      </c>
      <c r="I4" s="68" t="s">
        <v>3050</v>
      </c>
      <c r="J4" s="68" t="s">
        <v>3051</v>
      </c>
      <c r="K4" s="69" t="s">
        <v>3051</v>
      </c>
      <c r="L4" s="69" t="str">
        <f>VLOOKUP(LinkTable6789[[#This Row],[Coluna1]],[4]AlarmCatalog!$A:$M,11,FALSE)</f>
        <v>Severidade 1</v>
      </c>
    </row>
    <row r="5" spans="1:12" s="67" customFormat="1" ht="16.5" customHeight="1" x14ac:dyDescent="0.25">
      <c r="A5" s="68" t="s">
        <v>3055</v>
      </c>
      <c r="B5" s="68" t="s">
        <v>2349</v>
      </c>
      <c r="C5" s="68" t="s">
        <v>2986</v>
      </c>
      <c r="D5" s="68" t="s">
        <v>2809</v>
      </c>
      <c r="E5" s="68" t="s">
        <v>3046</v>
      </c>
      <c r="F5" s="68" t="s">
        <v>3056</v>
      </c>
      <c r="G5" s="68" t="s">
        <v>3057</v>
      </c>
      <c r="H5" s="68" t="s">
        <v>3058</v>
      </c>
      <c r="I5" s="68" t="s">
        <v>3050</v>
      </c>
      <c r="J5" s="68" t="s">
        <v>3059</v>
      </c>
      <c r="K5" s="69" t="s">
        <v>3059</v>
      </c>
      <c r="L5" s="69" t="str">
        <f>VLOOKUP(LinkTable6789[[#This Row],[Coluna1]],[4]AlarmCatalog!$A:$M,11,FALSE)</f>
        <v>Severidade 2</v>
      </c>
    </row>
    <row r="6" spans="1:12" s="67" customFormat="1" ht="16.5" customHeight="1" x14ac:dyDescent="0.25">
      <c r="A6" s="68" t="s">
        <v>3060</v>
      </c>
      <c r="B6" s="68" t="s">
        <v>2349</v>
      </c>
      <c r="C6" s="68" t="s">
        <v>2986</v>
      </c>
      <c r="D6" s="68" t="s">
        <v>2809</v>
      </c>
      <c r="E6" s="68" t="s">
        <v>3046</v>
      </c>
      <c r="F6" s="68" t="s">
        <v>3056</v>
      </c>
      <c r="G6" s="68" t="s">
        <v>3057</v>
      </c>
      <c r="H6" s="68" t="s">
        <v>3058</v>
      </c>
      <c r="I6" s="68" t="s">
        <v>3050</v>
      </c>
      <c r="J6" s="68" t="s">
        <v>3061</v>
      </c>
      <c r="K6" s="69" t="s">
        <v>3061</v>
      </c>
      <c r="L6" s="69" t="str">
        <f>VLOOKUP(LinkTable6789[[#This Row],[Coluna1]],[4]AlarmCatalog!$A:$M,11,FALSE)</f>
        <v>Severidade 8</v>
      </c>
    </row>
    <row r="7" spans="1:12" s="67" customFormat="1" ht="16.5" customHeight="1" x14ac:dyDescent="0.25">
      <c r="A7" s="68" t="s">
        <v>3062</v>
      </c>
      <c r="B7" s="68" t="s">
        <v>2349</v>
      </c>
      <c r="C7" s="68" t="s">
        <v>3063</v>
      </c>
      <c r="D7" s="68" t="s">
        <v>2809</v>
      </c>
      <c r="E7" s="68" t="s">
        <v>3064</v>
      </c>
      <c r="F7" s="68" t="s">
        <v>3065</v>
      </c>
      <c r="G7" s="68" t="s">
        <v>3048</v>
      </c>
      <c r="H7" s="68" t="s">
        <v>3066</v>
      </c>
      <c r="I7" s="68" t="s">
        <v>3050</v>
      </c>
      <c r="J7" s="68" t="s">
        <v>3059</v>
      </c>
      <c r="K7" s="69" t="s">
        <v>3059</v>
      </c>
      <c r="L7" s="69" t="str">
        <f>VLOOKUP(LinkTable6789[[#This Row],[Coluna1]],[4]AlarmCatalog!$A:$M,11,FALSE)</f>
        <v>Severidade 2</v>
      </c>
    </row>
    <row r="8" spans="1:12" s="67" customFormat="1" ht="16.5" customHeight="1" x14ac:dyDescent="0.25">
      <c r="A8" s="68" t="s">
        <v>3067</v>
      </c>
      <c r="B8" s="68" t="s">
        <v>2349</v>
      </c>
      <c r="C8" s="68" t="s">
        <v>2986</v>
      </c>
      <c r="D8" s="68" t="s">
        <v>2809</v>
      </c>
      <c r="E8" s="68" t="s">
        <v>3046</v>
      </c>
      <c r="F8" s="68" t="s">
        <v>3056</v>
      </c>
      <c r="G8" s="68" t="s">
        <v>3057</v>
      </c>
      <c r="H8" s="68" t="s">
        <v>3068</v>
      </c>
      <c r="I8" s="68" t="s">
        <v>3050</v>
      </c>
      <c r="J8" s="68" t="s">
        <v>3061</v>
      </c>
      <c r="K8" s="69" t="s">
        <v>3061</v>
      </c>
      <c r="L8" s="69" t="str">
        <f>VLOOKUP(LinkTable6789[[#This Row],[Coluna1]],[4]AlarmCatalog!$A:$M,11,FALSE)</f>
        <v>Severidade 8</v>
      </c>
    </row>
    <row r="9" spans="1:12" s="67" customFormat="1" ht="16.5" customHeight="1" x14ac:dyDescent="0.25">
      <c r="A9" s="68" t="s">
        <v>3069</v>
      </c>
      <c r="B9" s="68" t="s">
        <v>2349</v>
      </c>
      <c r="C9" s="68" t="s">
        <v>2986</v>
      </c>
      <c r="D9" s="68" t="s">
        <v>2990</v>
      </c>
      <c r="E9" s="68" t="s">
        <v>3053</v>
      </c>
      <c r="F9" s="68" t="s">
        <v>3056</v>
      </c>
      <c r="G9" s="68" t="s">
        <v>3057</v>
      </c>
      <c r="H9" s="68" t="s">
        <v>3058</v>
      </c>
      <c r="I9" s="68" t="s">
        <v>3050</v>
      </c>
      <c r="J9" s="68" t="s">
        <v>3061</v>
      </c>
      <c r="K9" s="69" t="s">
        <v>3061</v>
      </c>
      <c r="L9" s="69" t="str">
        <f>VLOOKUP(LinkTable6789[[#This Row],[Coluna1]],[4]AlarmCatalog!$A:$M,11,FALSE)</f>
        <v>Severidade 8</v>
      </c>
    </row>
    <row r="10" spans="1:12" s="67" customFormat="1" ht="16.5" customHeight="1" x14ac:dyDescent="0.25">
      <c r="A10" s="68" t="s">
        <v>3070</v>
      </c>
      <c r="B10" s="68" t="s">
        <v>2349</v>
      </c>
      <c r="C10" s="68" t="s">
        <v>3071</v>
      </c>
      <c r="D10" s="68" t="s">
        <v>2809</v>
      </c>
      <c r="E10" s="68" t="s">
        <v>3064</v>
      </c>
      <c r="F10" s="68" t="s">
        <v>3072</v>
      </c>
      <c r="G10" s="68" t="s">
        <v>3048</v>
      </c>
      <c r="H10" s="68" t="s">
        <v>3058</v>
      </c>
      <c r="I10" s="68" t="s">
        <v>3050</v>
      </c>
      <c r="J10" s="68" t="s">
        <v>3059</v>
      </c>
      <c r="K10" s="69" t="s">
        <v>3059</v>
      </c>
      <c r="L10" s="69" t="str">
        <f>VLOOKUP(LinkTable6789[[#This Row],[Coluna1]],[4]AlarmCatalog!$A:$M,11,FALSE)</f>
        <v>Severidade 2</v>
      </c>
    </row>
    <row r="11" spans="1:12" s="67" customFormat="1" ht="16.5" customHeight="1" x14ac:dyDescent="0.25">
      <c r="A11" s="68" t="s">
        <v>3073</v>
      </c>
      <c r="B11" s="68" t="s">
        <v>2349</v>
      </c>
      <c r="C11" s="68" t="s">
        <v>2986</v>
      </c>
      <c r="D11" s="68" t="s">
        <v>2990</v>
      </c>
      <c r="E11" s="68" t="s">
        <v>3053</v>
      </c>
      <c r="F11" s="68" t="s">
        <v>3056</v>
      </c>
      <c r="G11" s="68" t="s">
        <v>3057</v>
      </c>
      <c r="H11" s="68" t="s">
        <v>3068</v>
      </c>
      <c r="I11" s="68" t="s">
        <v>3050</v>
      </c>
      <c r="J11" s="68" t="s">
        <v>3061</v>
      </c>
      <c r="K11" s="69" t="s">
        <v>3061</v>
      </c>
      <c r="L11" s="69" t="str">
        <f>VLOOKUP(LinkTable6789[[#This Row],[Coluna1]],[4]AlarmCatalog!$A:$M,11,FALSE)</f>
        <v>Severidade 8</v>
      </c>
    </row>
    <row r="12" spans="1:12" s="67" customFormat="1" ht="16.5" customHeight="1" x14ac:dyDescent="0.25">
      <c r="A12" s="68" t="s">
        <v>3074</v>
      </c>
      <c r="B12" s="68" t="s">
        <v>2349</v>
      </c>
      <c r="C12" s="68" t="s">
        <v>3063</v>
      </c>
      <c r="D12" s="68" t="s">
        <v>2809</v>
      </c>
      <c r="E12" s="68" t="s">
        <v>3064</v>
      </c>
      <c r="F12" s="68" t="s">
        <v>3065</v>
      </c>
      <c r="G12" s="68" t="s">
        <v>3048</v>
      </c>
      <c r="H12" s="68" t="s">
        <v>3075</v>
      </c>
      <c r="I12" s="68" t="s">
        <v>3050</v>
      </c>
      <c r="J12" s="68" t="s">
        <v>3059</v>
      </c>
      <c r="K12" s="69" t="s">
        <v>3059</v>
      </c>
      <c r="L12" s="69" t="str">
        <f>VLOOKUP(LinkTable6789[[#This Row],[Coluna1]],[4]AlarmCatalog!$A:$M,11,FALSE)</f>
        <v>Severidade 2</v>
      </c>
    </row>
    <row r="13" spans="1:12" s="67" customFormat="1" ht="16.5" customHeight="1" x14ac:dyDescent="0.25">
      <c r="A13" s="68" t="s">
        <v>3076</v>
      </c>
      <c r="B13" s="68" t="s">
        <v>2349</v>
      </c>
      <c r="C13" s="68" t="s">
        <v>2986</v>
      </c>
      <c r="D13" s="68" t="s">
        <v>2990</v>
      </c>
      <c r="E13" s="68" t="s">
        <v>3053</v>
      </c>
      <c r="F13" s="68" t="s">
        <v>3056</v>
      </c>
      <c r="G13" s="68" t="s">
        <v>3057</v>
      </c>
      <c r="H13" s="68" t="s">
        <v>3077</v>
      </c>
      <c r="I13" s="68" t="s">
        <v>3050</v>
      </c>
      <c r="J13" s="68" t="s">
        <v>3061</v>
      </c>
      <c r="K13" s="69" t="s">
        <v>3061</v>
      </c>
      <c r="L13" s="69" t="str">
        <f>VLOOKUP(LinkTable6789[[#This Row],[Coluna1]],[4]AlarmCatalog!$A:$M,11,FALSE)</f>
        <v>Severidade 8</v>
      </c>
    </row>
    <row r="14" spans="1:12" s="67" customFormat="1" ht="16.5" customHeight="1" x14ac:dyDescent="0.25">
      <c r="A14" s="68" t="s">
        <v>3078</v>
      </c>
      <c r="B14" s="68" t="s">
        <v>2349</v>
      </c>
      <c r="C14" s="68" t="s">
        <v>2991</v>
      </c>
      <c r="D14" s="68" t="s">
        <v>2809</v>
      </c>
      <c r="E14" s="68" t="s">
        <v>3053</v>
      </c>
      <c r="F14" s="68" t="s">
        <v>3079</v>
      </c>
      <c r="G14" s="68" t="s">
        <v>3048</v>
      </c>
      <c r="H14" s="68" t="s">
        <v>3058</v>
      </c>
      <c r="I14" s="68" t="s">
        <v>3050</v>
      </c>
      <c r="J14" s="68" t="s">
        <v>3059</v>
      </c>
      <c r="K14" s="69" t="s">
        <v>3059</v>
      </c>
      <c r="L14" s="69" t="str">
        <f>VLOOKUP(LinkTable6789[[#This Row],[Coluna1]],[4]AlarmCatalog!$A:$M,11,FALSE)</f>
        <v>Severidade 2</v>
      </c>
    </row>
    <row r="15" spans="1:12" s="67" customFormat="1" ht="16.5" customHeight="1" x14ac:dyDescent="0.25">
      <c r="A15" s="68" t="s">
        <v>3080</v>
      </c>
      <c r="B15" s="68" t="s">
        <v>2349</v>
      </c>
      <c r="C15" s="68" t="s">
        <v>2986</v>
      </c>
      <c r="D15" s="68" t="s">
        <v>2990</v>
      </c>
      <c r="E15" s="68" t="s">
        <v>3046</v>
      </c>
      <c r="F15" s="68" t="s">
        <v>3056</v>
      </c>
      <c r="G15" s="68" t="s">
        <v>3057</v>
      </c>
      <c r="H15" s="68" t="s">
        <v>3058</v>
      </c>
      <c r="I15" s="68" t="s">
        <v>3050</v>
      </c>
      <c r="J15" s="68" t="s">
        <v>3061</v>
      </c>
      <c r="K15" s="69" t="s">
        <v>3061</v>
      </c>
      <c r="L15" s="69" t="str">
        <f>VLOOKUP(LinkTable6789[[#This Row],[Coluna1]],[4]AlarmCatalog!$A:$M,11,FALSE)</f>
        <v>Severidade 8</v>
      </c>
    </row>
    <row r="16" spans="1:12" s="67" customFormat="1" ht="16.5" customHeight="1" x14ac:dyDescent="0.25">
      <c r="A16" s="68" t="s">
        <v>3081</v>
      </c>
      <c r="B16" s="68" t="s">
        <v>2349</v>
      </c>
      <c r="C16" s="68" t="s">
        <v>2986</v>
      </c>
      <c r="D16" s="68" t="s">
        <v>2990</v>
      </c>
      <c r="E16" s="68" t="s">
        <v>3046</v>
      </c>
      <c r="F16" s="68" t="s">
        <v>3056</v>
      </c>
      <c r="G16" s="68" t="s">
        <v>3057</v>
      </c>
      <c r="H16" s="68" t="s">
        <v>3068</v>
      </c>
      <c r="I16" s="68" t="s">
        <v>3050</v>
      </c>
      <c r="J16" s="68" t="s">
        <v>3061</v>
      </c>
      <c r="K16" s="69" t="s">
        <v>3061</v>
      </c>
      <c r="L16" s="69" t="str">
        <f>VLOOKUP(LinkTable6789[[#This Row],[Coluna1]],[4]AlarmCatalog!$A:$M,11,FALSE)</f>
        <v>Severidade 8</v>
      </c>
    </row>
    <row r="17" spans="1:12" s="67" customFormat="1" ht="16.5" customHeight="1" x14ac:dyDescent="0.25">
      <c r="A17" s="68" t="s">
        <v>3082</v>
      </c>
      <c r="B17" s="68" t="s">
        <v>2349</v>
      </c>
      <c r="C17" s="68" t="s">
        <v>2985</v>
      </c>
      <c r="D17" s="68" t="s">
        <v>2809</v>
      </c>
      <c r="E17" s="68" t="s">
        <v>3053</v>
      </c>
      <c r="F17" s="68" t="s">
        <v>3083</v>
      </c>
      <c r="G17" s="68" t="s">
        <v>3048</v>
      </c>
      <c r="H17" s="68" t="s">
        <v>3058</v>
      </c>
      <c r="I17" s="68" t="s">
        <v>3050</v>
      </c>
      <c r="J17" s="68" t="s">
        <v>3059</v>
      </c>
      <c r="K17" s="69" t="s">
        <v>3059</v>
      </c>
      <c r="L17" s="69" t="str">
        <f>VLOOKUP(LinkTable6789[[#This Row],[Coluna1]],[4]AlarmCatalog!$A:$M,11,FALSE)</f>
        <v>Severidade 2</v>
      </c>
    </row>
    <row r="18" spans="1:12" s="67" customFormat="1" ht="16.5" customHeight="1" x14ac:dyDescent="0.25">
      <c r="A18" s="68" t="s">
        <v>3084</v>
      </c>
      <c r="B18" s="68" t="s">
        <v>2349</v>
      </c>
      <c r="C18" s="68" t="s">
        <v>3085</v>
      </c>
      <c r="D18" s="68" t="s">
        <v>2809</v>
      </c>
      <c r="E18" s="68" t="s">
        <v>3064</v>
      </c>
      <c r="F18" s="68" t="s">
        <v>3086</v>
      </c>
      <c r="G18" s="68" t="s">
        <v>3048</v>
      </c>
      <c r="H18" s="68" t="s">
        <v>3058</v>
      </c>
      <c r="I18" s="68" t="s">
        <v>3050</v>
      </c>
      <c r="J18" s="68" t="s">
        <v>3059</v>
      </c>
      <c r="K18" s="69" t="s">
        <v>3059</v>
      </c>
      <c r="L18" s="69" t="str">
        <f>VLOOKUP(LinkTable6789[[#This Row],[Coluna1]],[4]AlarmCatalog!$A:$M,11,FALSE)</f>
        <v>Severidade 2</v>
      </c>
    </row>
    <row r="19" spans="1:12" s="67" customFormat="1" ht="16.5" customHeight="1" x14ac:dyDescent="0.25">
      <c r="A19" s="68" t="s">
        <v>3087</v>
      </c>
      <c r="B19" s="68" t="s">
        <v>2349</v>
      </c>
      <c r="C19" s="68" t="s">
        <v>2986</v>
      </c>
      <c r="D19" s="68" t="s">
        <v>2990</v>
      </c>
      <c r="E19" s="68" t="s">
        <v>3046</v>
      </c>
      <c r="F19" s="68" t="s">
        <v>3056</v>
      </c>
      <c r="G19" s="68" t="s">
        <v>3057</v>
      </c>
      <c r="H19" s="68" t="s">
        <v>3077</v>
      </c>
      <c r="I19" s="68" t="s">
        <v>3050</v>
      </c>
      <c r="J19" s="68" t="s">
        <v>3061</v>
      </c>
      <c r="K19" s="69" t="s">
        <v>3061</v>
      </c>
      <c r="L19" s="69" t="str">
        <f>VLOOKUP(LinkTable6789[[#This Row],[Coluna1]],[4]AlarmCatalog!$A:$M,11,FALSE)</f>
        <v>Severidade 8</v>
      </c>
    </row>
    <row r="20" spans="1:12" s="67" customFormat="1" ht="16.5" customHeight="1" x14ac:dyDescent="0.25">
      <c r="A20" s="68" t="s">
        <v>3088</v>
      </c>
      <c r="B20" s="68" t="s">
        <v>2349</v>
      </c>
      <c r="C20" s="68" t="s">
        <v>3089</v>
      </c>
      <c r="D20" s="68" t="s">
        <v>2809</v>
      </c>
      <c r="E20" s="68" t="s">
        <v>3064</v>
      </c>
      <c r="F20" s="68" t="s">
        <v>3090</v>
      </c>
      <c r="G20" s="68" t="s">
        <v>3048</v>
      </c>
      <c r="H20" s="68" t="s">
        <v>3058</v>
      </c>
      <c r="I20" s="68" t="s">
        <v>3050</v>
      </c>
      <c r="J20" s="68" t="s">
        <v>3059</v>
      </c>
      <c r="K20" s="69" t="s">
        <v>3059</v>
      </c>
      <c r="L20" s="69" t="str">
        <f>VLOOKUP(LinkTable6789[[#This Row],[Coluna1]],[4]AlarmCatalog!$A:$M,11,FALSE)</f>
        <v>Severidade 2</v>
      </c>
    </row>
    <row r="21" spans="1:12" s="67" customFormat="1" ht="16.5" customHeight="1" x14ac:dyDescent="0.25">
      <c r="A21" s="68" t="s">
        <v>3091</v>
      </c>
      <c r="B21" s="68" t="s">
        <v>2349</v>
      </c>
      <c r="C21" s="68" t="s">
        <v>3085</v>
      </c>
      <c r="D21" s="68" t="s">
        <v>2809</v>
      </c>
      <c r="E21" s="68" t="s">
        <v>3064</v>
      </c>
      <c r="F21" s="68" t="s">
        <v>3092</v>
      </c>
      <c r="G21" s="68" t="s">
        <v>3048</v>
      </c>
      <c r="H21" s="68" t="s">
        <v>3058</v>
      </c>
      <c r="I21" s="68" t="s">
        <v>3050</v>
      </c>
      <c r="J21" s="68" t="s">
        <v>3059</v>
      </c>
      <c r="K21" s="69" t="s">
        <v>3059</v>
      </c>
      <c r="L21" s="69" t="str">
        <f>VLOOKUP(LinkTable6789[[#This Row],[Coluna1]],[4]AlarmCatalog!$A:$M,11,FALSE)</f>
        <v>Severidade 2</v>
      </c>
    </row>
    <row r="22" spans="1:12" s="67" customFormat="1" ht="16.5" customHeight="1" x14ac:dyDescent="0.25">
      <c r="A22" s="68" t="s">
        <v>3093</v>
      </c>
      <c r="B22" s="68" t="s">
        <v>2349</v>
      </c>
      <c r="C22" s="68" t="s">
        <v>3094</v>
      </c>
      <c r="D22" s="68" t="s">
        <v>2809</v>
      </c>
      <c r="E22" s="68" t="s">
        <v>2809</v>
      </c>
      <c r="F22" s="68" t="s">
        <v>3095</v>
      </c>
      <c r="G22" s="68" t="s">
        <v>3048</v>
      </c>
      <c r="H22" s="68" t="s">
        <v>3058</v>
      </c>
      <c r="I22" s="68" t="s">
        <v>3050</v>
      </c>
      <c r="J22" s="68" t="s">
        <v>3059</v>
      </c>
      <c r="K22" s="69" t="s">
        <v>3059</v>
      </c>
      <c r="L22" s="69" t="str">
        <f>VLOOKUP(LinkTable6789[[#This Row],[Coluna1]],[4]AlarmCatalog!$A:$M,11,FALSE)</f>
        <v>Severidade 2</v>
      </c>
    </row>
    <row r="23" spans="1:12" s="67" customFormat="1" ht="16.5" customHeight="1" x14ac:dyDescent="0.25">
      <c r="A23" s="68" t="s">
        <v>3096</v>
      </c>
      <c r="B23" s="68" t="s">
        <v>2349</v>
      </c>
      <c r="C23" s="68" t="s">
        <v>3097</v>
      </c>
      <c r="D23" s="68" t="s">
        <v>2809</v>
      </c>
      <c r="E23" s="68" t="s">
        <v>2809</v>
      </c>
      <c r="F23" s="68" t="s">
        <v>3098</v>
      </c>
      <c r="G23" s="68" t="s">
        <v>3048</v>
      </c>
      <c r="H23" s="68" t="s">
        <v>3058</v>
      </c>
      <c r="I23" s="68" t="s">
        <v>3050</v>
      </c>
      <c r="J23" s="68" t="s">
        <v>3059</v>
      </c>
      <c r="K23" s="69" t="s">
        <v>3059</v>
      </c>
      <c r="L23" s="69" t="str">
        <f>VLOOKUP(LinkTable6789[[#This Row],[Coluna1]],[4]AlarmCatalog!$A:$M,11,FALSE)</f>
        <v>Severidade 2</v>
      </c>
    </row>
    <row r="24" spans="1:12" s="67" customFormat="1" ht="16.5" customHeight="1" x14ac:dyDescent="0.25">
      <c r="A24" s="68" t="s">
        <v>3099</v>
      </c>
      <c r="B24" s="68" t="s">
        <v>2349</v>
      </c>
      <c r="C24" s="68" t="s">
        <v>3094</v>
      </c>
      <c r="D24" s="68" t="s">
        <v>2809</v>
      </c>
      <c r="E24" s="68" t="s">
        <v>3053</v>
      </c>
      <c r="F24" s="68" t="s">
        <v>3095</v>
      </c>
      <c r="G24" s="68" t="s">
        <v>3048</v>
      </c>
      <c r="H24" s="68" t="s">
        <v>3058</v>
      </c>
      <c r="I24" s="68" t="s">
        <v>3050</v>
      </c>
      <c r="J24" s="68" t="s">
        <v>3059</v>
      </c>
      <c r="K24" s="69" t="s">
        <v>3059</v>
      </c>
      <c r="L24" s="69" t="str">
        <f>VLOOKUP(LinkTable6789[[#This Row],[Coluna1]],[4]AlarmCatalog!$A:$M,11,FALSE)</f>
        <v>Severidade 2</v>
      </c>
    </row>
    <row r="25" spans="1:12" s="67" customFormat="1" ht="16.5" customHeight="1" x14ac:dyDescent="0.25">
      <c r="A25" s="68" t="s">
        <v>3100</v>
      </c>
      <c r="B25" s="68" t="s">
        <v>2349</v>
      </c>
      <c r="C25" s="68" t="s">
        <v>2986</v>
      </c>
      <c r="D25" s="68" t="s">
        <v>2990</v>
      </c>
      <c r="E25" s="68" t="s">
        <v>3046</v>
      </c>
      <c r="F25" s="68" t="s">
        <v>3047</v>
      </c>
      <c r="G25" s="68" t="s">
        <v>3057</v>
      </c>
      <c r="H25" s="68" t="s">
        <v>3058</v>
      </c>
      <c r="I25" s="68" t="s">
        <v>3050</v>
      </c>
      <c r="J25" s="68" t="s">
        <v>3101</v>
      </c>
      <c r="K25" s="69" t="s">
        <v>3101</v>
      </c>
      <c r="L25" s="69" t="str">
        <f>VLOOKUP(LinkTable6789[[#This Row],[Coluna1]],[4]AlarmCatalog!$A:$M,11,FALSE)</f>
        <v>Severidade 8</v>
      </c>
    </row>
    <row r="26" spans="1:12" s="67" customFormat="1" ht="16.5" customHeight="1" x14ac:dyDescent="0.25">
      <c r="A26" s="68" t="s">
        <v>3102</v>
      </c>
      <c r="B26" s="68" t="s">
        <v>2349</v>
      </c>
      <c r="C26" s="68" t="s">
        <v>3103</v>
      </c>
      <c r="D26" s="68" t="s">
        <v>2809</v>
      </c>
      <c r="E26" s="68" t="s">
        <v>3053</v>
      </c>
      <c r="F26" s="68" t="s">
        <v>3104</v>
      </c>
      <c r="G26" s="68" t="s">
        <v>3048</v>
      </c>
      <c r="H26" s="68" t="s">
        <v>3075</v>
      </c>
      <c r="I26" s="68" t="s">
        <v>3050</v>
      </c>
      <c r="J26" s="68" t="s">
        <v>3059</v>
      </c>
      <c r="K26" s="69" t="s">
        <v>3059</v>
      </c>
      <c r="L26" s="69" t="str">
        <f>VLOOKUP(LinkTable6789[[#This Row],[Coluna1]],[4]AlarmCatalog!$A:$M,11,FALSE)</f>
        <v>Severidade 2</v>
      </c>
    </row>
    <row r="27" spans="1:12" s="67" customFormat="1" ht="16.5" customHeight="1" x14ac:dyDescent="0.25">
      <c r="A27" s="68" t="s">
        <v>3105</v>
      </c>
      <c r="B27" s="68" t="s">
        <v>2349</v>
      </c>
      <c r="C27" s="68" t="s">
        <v>3106</v>
      </c>
      <c r="D27" s="68" t="s">
        <v>2990</v>
      </c>
      <c r="E27" s="68" t="s">
        <v>3053</v>
      </c>
      <c r="F27" s="68" t="s">
        <v>3107</v>
      </c>
      <c r="G27" s="68" t="s">
        <v>3048</v>
      </c>
      <c r="H27" s="68" t="s">
        <v>3058</v>
      </c>
      <c r="I27" s="68" t="s">
        <v>3050</v>
      </c>
      <c r="J27" s="68" t="s">
        <v>3059</v>
      </c>
      <c r="K27" s="69" t="s">
        <v>3059</v>
      </c>
      <c r="L27" s="69" t="str">
        <f>VLOOKUP(LinkTable6789[[#This Row],[Coluna1]],[4]AlarmCatalog!$A:$M,11,FALSE)</f>
        <v>Severidade 2</v>
      </c>
    </row>
    <row r="28" spans="1:12" s="67" customFormat="1" ht="16.5" customHeight="1" x14ac:dyDescent="0.25">
      <c r="A28" s="68" t="s">
        <v>3108</v>
      </c>
      <c r="B28" s="68" t="s">
        <v>2349</v>
      </c>
      <c r="C28" s="68" t="s">
        <v>3063</v>
      </c>
      <c r="D28" s="68" t="s">
        <v>2809</v>
      </c>
      <c r="E28" s="68" t="s">
        <v>3046</v>
      </c>
      <c r="F28" s="68" t="s">
        <v>3095</v>
      </c>
      <c r="G28" s="68" t="s">
        <v>3048</v>
      </c>
      <c r="H28" s="68" t="s">
        <v>3058</v>
      </c>
      <c r="I28" s="68" t="s">
        <v>3050</v>
      </c>
      <c r="J28" s="68" t="s">
        <v>3059</v>
      </c>
      <c r="K28" s="69" t="s">
        <v>3059</v>
      </c>
      <c r="L28" s="69" t="str">
        <f>VLOOKUP(LinkTable6789[[#This Row],[Coluna1]],[4]AlarmCatalog!$A:$M,11,FALSE)</f>
        <v>Severidade 2</v>
      </c>
    </row>
    <row r="29" spans="1:12" s="67" customFormat="1" ht="16.5" customHeight="1" x14ac:dyDescent="0.25">
      <c r="A29" s="68" t="s">
        <v>3109</v>
      </c>
      <c r="B29" s="68" t="s">
        <v>2349</v>
      </c>
      <c r="C29" s="68" t="s">
        <v>3110</v>
      </c>
      <c r="D29" s="68" t="s">
        <v>2809</v>
      </c>
      <c r="E29" s="68" t="s">
        <v>3111</v>
      </c>
      <c r="F29" s="68" t="s">
        <v>3092</v>
      </c>
      <c r="G29" s="68" t="s">
        <v>3048</v>
      </c>
      <c r="H29" s="68" t="s">
        <v>3058</v>
      </c>
      <c r="I29" s="68" t="s">
        <v>3050</v>
      </c>
      <c r="J29" s="68" t="s">
        <v>3059</v>
      </c>
      <c r="K29" s="69" t="s">
        <v>3059</v>
      </c>
      <c r="L29" s="69" t="str">
        <f>VLOOKUP(LinkTable6789[[#This Row],[Coluna1]],[4]AlarmCatalog!$A:$M,11,FALSE)</f>
        <v>Severidade 2</v>
      </c>
    </row>
    <row r="30" spans="1:12" s="67" customFormat="1" ht="16.5" customHeight="1" x14ac:dyDescent="0.25">
      <c r="A30" s="68" t="s">
        <v>3112</v>
      </c>
      <c r="B30" s="68" t="s">
        <v>2349</v>
      </c>
      <c r="C30" s="68" t="s">
        <v>3063</v>
      </c>
      <c r="D30" s="68" t="s">
        <v>2809</v>
      </c>
      <c r="E30" s="68" t="s">
        <v>3053</v>
      </c>
      <c r="F30" s="68" t="s">
        <v>3095</v>
      </c>
      <c r="G30" s="68" t="s">
        <v>3048</v>
      </c>
      <c r="H30" s="68" t="s">
        <v>3058</v>
      </c>
      <c r="I30" s="68" t="s">
        <v>3050</v>
      </c>
      <c r="J30" s="68" t="s">
        <v>3059</v>
      </c>
      <c r="K30" s="69" t="s">
        <v>3059</v>
      </c>
      <c r="L30" s="69" t="str">
        <f>VLOOKUP(LinkTable6789[[#This Row],[Coluna1]],[4]AlarmCatalog!$A:$M,11,FALSE)</f>
        <v>Severidade 2</v>
      </c>
    </row>
    <row r="31" spans="1:12" s="67" customFormat="1" ht="16.5" customHeight="1" x14ac:dyDescent="0.25">
      <c r="A31" s="68" t="s">
        <v>3113</v>
      </c>
      <c r="B31" s="68" t="s">
        <v>2349</v>
      </c>
      <c r="C31" s="68" t="s">
        <v>3114</v>
      </c>
      <c r="D31" s="68" t="s">
        <v>2809</v>
      </c>
      <c r="E31" s="68" t="s">
        <v>3115</v>
      </c>
      <c r="F31" s="68" t="s">
        <v>3098</v>
      </c>
      <c r="G31" s="68" t="s">
        <v>3048</v>
      </c>
      <c r="H31" s="68" t="s">
        <v>3058</v>
      </c>
      <c r="I31" s="68" t="s">
        <v>3116</v>
      </c>
      <c r="J31" s="68" t="s">
        <v>3059</v>
      </c>
      <c r="K31" s="69" t="s">
        <v>3059</v>
      </c>
      <c r="L31" s="69" t="str">
        <f>VLOOKUP(LinkTable6789[[#This Row],[Coluna1]],[4]AlarmCatalog!$A:$M,11,FALSE)</f>
        <v>Severidade 2</v>
      </c>
    </row>
    <row r="32" spans="1:12" s="67" customFormat="1" ht="16.5" customHeight="1" x14ac:dyDescent="0.25">
      <c r="A32" s="68" t="s">
        <v>3117</v>
      </c>
      <c r="B32" s="68" t="s">
        <v>2349</v>
      </c>
      <c r="C32" s="68" t="s">
        <v>3085</v>
      </c>
      <c r="D32" s="68" t="s">
        <v>2809</v>
      </c>
      <c r="E32" s="68" t="s">
        <v>3046</v>
      </c>
      <c r="F32" s="68" t="s">
        <v>3083</v>
      </c>
      <c r="G32" s="68" t="s">
        <v>3048</v>
      </c>
      <c r="H32" s="68" t="s">
        <v>3058</v>
      </c>
      <c r="I32" s="68" t="s">
        <v>3050</v>
      </c>
      <c r="J32" s="68" t="s">
        <v>3059</v>
      </c>
      <c r="K32" s="69" t="s">
        <v>3059</v>
      </c>
      <c r="L32" s="69" t="str">
        <f>VLOOKUP(LinkTable6789[[#This Row],[Coluna1]],[4]AlarmCatalog!$A:$M,11,FALSE)</f>
        <v>Severidade 2</v>
      </c>
    </row>
    <row r="33" spans="1:12" s="67" customFormat="1" ht="16.5" customHeight="1" x14ac:dyDescent="0.25">
      <c r="A33" s="68" t="s">
        <v>3118</v>
      </c>
      <c r="B33" s="68" t="s">
        <v>2349</v>
      </c>
      <c r="C33" s="68" t="s">
        <v>3110</v>
      </c>
      <c r="D33" s="68" t="s">
        <v>2809</v>
      </c>
      <c r="E33" s="68" t="s">
        <v>3064</v>
      </c>
      <c r="F33" s="68" t="s">
        <v>3092</v>
      </c>
      <c r="G33" s="68" t="s">
        <v>3048</v>
      </c>
      <c r="H33" s="68" t="s">
        <v>3058</v>
      </c>
      <c r="I33" s="68" t="s">
        <v>3050</v>
      </c>
      <c r="J33" s="68" t="s">
        <v>3059</v>
      </c>
      <c r="K33" s="69" t="s">
        <v>3059</v>
      </c>
      <c r="L33" s="69" t="str">
        <f>VLOOKUP(LinkTable6789[[#This Row],[Coluna1]],[4]AlarmCatalog!$A:$M,11,FALSE)</f>
        <v>Severidade 2</v>
      </c>
    </row>
    <row r="34" spans="1:12" s="67" customFormat="1" ht="16.5" customHeight="1" x14ac:dyDescent="0.25">
      <c r="A34" s="68" t="s">
        <v>3119</v>
      </c>
      <c r="B34" s="68" t="s">
        <v>2349</v>
      </c>
      <c r="C34" s="68" t="s">
        <v>3120</v>
      </c>
      <c r="D34" s="68" t="s">
        <v>2809</v>
      </c>
      <c r="E34" s="68" t="s">
        <v>2809</v>
      </c>
      <c r="F34" s="68" t="s">
        <v>3121</v>
      </c>
      <c r="G34" s="68" t="s">
        <v>3122</v>
      </c>
      <c r="H34" s="68" t="s">
        <v>3123</v>
      </c>
      <c r="I34" s="68" t="s">
        <v>3124</v>
      </c>
      <c r="J34" s="68" t="s">
        <v>3125</v>
      </c>
      <c r="K34" s="69" t="s">
        <v>3059</v>
      </c>
      <c r="L34" s="69" t="str">
        <f>VLOOKUP(LinkTable6789[[#This Row],[Coluna1]],[4]AlarmCatalog!$A:$M,11,FALSE)</f>
        <v>Severidade 2</v>
      </c>
    </row>
    <row r="35" spans="1:12" s="67" customFormat="1" ht="16.5" customHeight="1" x14ac:dyDescent="0.25">
      <c r="A35" s="68" t="s">
        <v>3126</v>
      </c>
      <c r="B35" s="68" t="s">
        <v>2349</v>
      </c>
      <c r="C35" s="68" t="s">
        <v>3085</v>
      </c>
      <c r="D35" s="68" t="s">
        <v>2809</v>
      </c>
      <c r="E35" s="68" t="s">
        <v>3064</v>
      </c>
      <c r="F35" s="68" t="s">
        <v>3127</v>
      </c>
      <c r="G35" s="68" t="s">
        <v>3048</v>
      </c>
      <c r="H35" s="68" t="s">
        <v>3075</v>
      </c>
      <c r="I35" s="68" t="s">
        <v>3050</v>
      </c>
      <c r="J35" s="68" t="s">
        <v>3059</v>
      </c>
      <c r="K35" s="69" t="s">
        <v>3059</v>
      </c>
      <c r="L35" s="69" t="str">
        <f>VLOOKUP(LinkTable6789[[#This Row],[Coluna1]],[4]AlarmCatalog!$A:$M,11,FALSE)</f>
        <v>Severidade 2</v>
      </c>
    </row>
    <row r="36" spans="1:12" s="67" customFormat="1" ht="16.5" customHeight="1" x14ac:dyDescent="0.25">
      <c r="A36" s="68" t="s">
        <v>3128</v>
      </c>
      <c r="B36" s="68" t="s">
        <v>2349</v>
      </c>
      <c r="C36" s="68" t="s">
        <v>3129</v>
      </c>
      <c r="D36" s="68" t="s">
        <v>2809</v>
      </c>
      <c r="E36" s="68" t="s">
        <v>3053</v>
      </c>
      <c r="F36" s="68" t="s">
        <v>3104</v>
      </c>
      <c r="G36" s="68" t="s">
        <v>3048</v>
      </c>
      <c r="H36" s="68" t="s">
        <v>3075</v>
      </c>
      <c r="I36" s="68" t="s">
        <v>3050</v>
      </c>
      <c r="J36" s="68" t="s">
        <v>3059</v>
      </c>
      <c r="K36" s="69" t="s">
        <v>3059</v>
      </c>
      <c r="L36" s="69" t="str">
        <f>VLOOKUP(LinkTable6789[[#This Row],[Coluna1]],[4]AlarmCatalog!$A:$M,11,FALSE)</f>
        <v>Severidade 2</v>
      </c>
    </row>
    <row r="37" spans="1:12" s="67" customFormat="1" ht="16.5" customHeight="1" x14ac:dyDescent="0.25">
      <c r="A37" s="68" t="s">
        <v>3130</v>
      </c>
      <c r="B37" s="68" t="s">
        <v>2349</v>
      </c>
      <c r="C37" s="68" t="s">
        <v>2985</v>
      </c>
      <c r="D37" s="68" t="s">
        <v>2809</v>
      </c>
      <c r="E37" s="68" t="s">
        <v>3053</v>
      </c>
      <c r="F37" s="68" t="s">
        <v>3131</v>
      </c>
      <c r="G37" s="68" t="s">
        <v>3048</v>
      </c>
      <c r="H37" s="68" t="s">
        <v>3058</v>
      </c>
      <c r="I37" s="68" t="s">
        <v>3050</v>
      </c>
      <c r="J37" s="68" t="s">
        <v>3125</v>
      </c>
      <c r="K37" s="69" t="s">
        <v>3059</v>
      </c>
      <c r="L37" s="69" t="str">
        <f>VLOOKUP(LinkTable6789[[#This Row],[Coluna1]],[4]AlarmCatalog!$A:$M,11,FALSE)</f>
        <v>Severidade 2</v>
      </c>
    </row>
    <row r="38" spans="1:12" s="67" customFormat="1" ht="16.5" customHeight="1" x14ac:dyDescent="0.25">
      <c r="A38" s="68" t="s">
        <v>3132</v>
      </c>
      <c r="B38" s="68" t="s">
        <v>2349</v>
      </c>
      <c r="C38" s="68" t="s">
        <v>2985</v>
      </c>
      <c r="D38" s="68" t="s">
        <v>2809</v>
      </c>
      <c r="E38" s="68" t="s">
        <v>3053</v>
      </c>
      <c r="F38" s="68" t="s">
        <v>3131</v>
      </c>
      <c r="G38" s="68" t="s">
        <v>3048</v>
      </c>
      <c r="H38" s="68" t="s">
        <v>3058</v>
      </c>
      <c r="I38" s="68" t="s">
        <v>3050</v>
      </c>
      <c r="J38" s="68" t="s">
        <v>3059</v>
      </c>
      <c r="K38" s="69" t="s">
        <v>3059</v>
      </c>
      <c r="L38" s="69" t="str">
        <f>VLOOKUP(LinkTable6789[[#This Row],[Coluna1]],[4]AlarmCatalog!$A:$M,11,FALSE)</f>
        <v>Severidade 2</v>
      </c>
    </row>
    <row r="39" spans="1:12" s="67" customFormat="1" ht="16.5" customHeight="1" x14ac:dyDescent="0.25">
      <c r="A39" s="68" t="s">
        <v>3133</v>
      </c>
      <c r="B39" s="68" t="s">
        <v>2349</v>
      </c>
      <c r="C39" s="68" t="s">
        <v>2992</v>
      </c>
      <c r="D39" s="68" t="s">
        <v>2990</v>
      </c>
      <c r="E39" s="68" t="s">
        <v>2990</v>
      </c>
      <c r="F39" s="68" t="s">
        <v>3134</v>
      </c>
      <c r="G39" s="68" t="s">
        <v>3057</v>
      </c>
      <c r="H39" s="68" t="s">
        <v>3135</v>
      </c>
      <c r="I39" s="68" t="s">
        <v>3050</v>
      </c>
      <c r="J39" s="68" t="s">
        <v>3125</v>
      </c>
      <c r="K39" s="69" t="s">
        <v>3125</v>
      </c>
      <c r="L39" s="69" t="str">
        <f>VLOOKUP(LinkTable6789[[#This Row],[Coluna1]],[4]AlarmCatalog!$A:$M,11,FALSE)</f>
        <v>Severidade 8</v>
      </c>
    </row>
    <row r="40" spans="1:12" s="67" customFormat="1" ht="16.5" customHeight="1" x14ac:dyDescent="0.25">
      <c r="A40" s="68" t="s">
        <v>3136</v>
      </c>
      <c r="B40" s="68" t="s">
        <v>2349</v>
      </c>
      <c r="C40" s="68" t="s">
        <v>3063</v>
      </c>
      <c r="D40" s="68" t="s">
        <v>2809</v>
      </c>
      <c r="E40" s="68" t="s">
        <v>3046</v>
      </c>
      <c r="F40" s="68" t="s">
        <v>3095</v>
      </c>
      <c r="G40" s="68" t="s">
        <v>3048</v>
      </c>
      <c r="H40" s="68" t="s">
        <v>3075</v>
      </c>
      <c r="I40" s="68" t="s">
        <v>3050</v>
      </c>
      <c r="J40" s="68" t="s">
        <v>3059</v>
      </c>
      <c r="K40" s="69" t="s">
        <v>3059</v>
      </c>
      <c r="L40" s="69" t="str">
        <f>VLOOKUP(LinkTable6789[[#This Row],[Coluna1]],[4]AlarmCatalog!$A:$M,11,FALSE)</f>
        <v>Severidade 2</v>
      </c>
    </row>
    <row r="41" spans="1:12" s="67" customFormat="1" ht="16.5" customHeight="1" x14ac:dyDescent="0.25">
      <c r="A41" s="68" t="s">
        <v>3137</v>
      </c>
      <c r="B41" s="68" t="s">
        <v>2349</v>
      </c>
      <c r="C41" s="68" t="s">
        <v>3138</v>
      </c>
      <c r="D41" s="68" t="s">
        <v>2809</v>
      </c>
      <c r="E41" s="68" t="s">
        <v>3053</v>
      </c>
      <c r="F41" s="68" t="s">
        <v>3139</v>
      </c>
      <c r="G41" s="68" t="s">
        <v>3048</v>
      </c>
      <c r="H41" s="68" t="s">
        <v>3075</v>
      </c>
      <c r="I41" s="68" t="s">
        <v>3050</v>
      </c>
      <c r="J41" s="68" t="s">
        <v>3059</v>
      </c>
      <c r="K41" s="69" t="s">
        <v>3059</v>
      </c>
      <c r="L41" s="69" t="str">
        <f>VLOOKUP(LinkTable6789[[#This Row],[Coluna1]],[4]AlarmCatalog!$A:$M,11,FALSE)</f>
        <v>Severidade 2</v>
      </c>
    </row>
    <row r="42" spans="1:12" s="67" customFormat="1" ht="16.5" customHeight="1" x14ac:dyDescent="0.25">
      <c r="A42" s="68" t="s">
        <v>3140</v>
      </c>
      <c r="B42" s="68" t="s">
        <v>2349</v>
      </c>
      <c r="C42" s="68" t="s">
        <v>2985</v>
      </c>
      <c r="D42" s="68" t="s">
        <v>2809</v>
      </c>
      <c r="E42" s="68" t="s">
        <v>3053</v>
      </c>
      <c r="F42" s="68" t="s">
        <v>3047</v>
      </c>
      <c r="G42" s="68" t="s">
        <v>3048</v>
      </c>
      <c r="H42" s="68" t="s">
        <v>3058</v>
      </c>
      <c r="I42" s="68" t="s">
        <v>3050</v>
      </c>
      <c r="J42" s="68" t="s">
        <v>3059</v>
      </c>
      <c r="K42" s="69" t="s">
        <v>3059</v>
      </c>
      <c r="L42" s="69" t="str">
        <f>VLOOKUP(LinkTable6789[[#This Row],[Coluna1]],[4]AlarmCatalog!$A:$M,11,FALSE)</f>
        <v>Severidade 2</v>
      </c>
    </row>
    <row r="43" spans="1:12" s="67" customFormat="1" ht="16.5" customHeight="1" x14ac:dyDescent="0.25">
      <c r="A43" s="68" t="s">
        <v>3141</v>
      </c>
      <c r="B43" s="68" t="s">
        <v>2349</v>
      </c>
      <c r="C43" s="68" t="s">
        <v>2985</v>
      </c>
      <c r="D43" s="68" t="s">
        <v>2809</v>
      </c>
      <c r="E43" s="68" t="s">
        <v>3046</v>
      </c>
      <c r="F43" s="68" t="s">
        <v>3047</v>
      </c>
      <c r="G43" s="68" t="s">
        <v>3048</v>
      </c>
      <c r="H43" s="68" t="s">
        <v>3058</v>
      </c>
      <c r="I43" s="68" t="s">
        <v>3050</v>
      </c>
      <c r="J43" s="68" t="s">
        <v>3059</v>
      </c>
      <c r="K43" s="69" t="s">
        <v>3059</v>
      </c>
      <c r="L43" s="69" t="str">
        <f>VLOOKUP(LinkTable6789[[#This Row],[Coluna1]],[4]AlarmCatalog!$A:$M,11,FALSE)</f>
        <v>Severidade 2</v>
      </c>
    </row>
    <row r="44" spans="1:12" s="67" customFormat="1" ht="16.5" customHeight="1" x14ac:dyDescent="0.25">
      <c r="A44" s="68" t="s">
        <v>3142</v>
      </c>
      <c r="B44" s="68" t="s">
        <v>2349</v>
      </c>
      <c r="C44" s="68" t="s">
        <v>3106</v>
      </c>
      <c r="D44" s="68" t="s">
        <v>2990</v>
      </c>
      <c r="E44" s="68" t="s">
        <v>3046</v>
      </c>
      <c r="F44" s="68" t="s">
        <v>3107</v>
      </c>
      <c r="G44" s="68" t="s">
        <v>3048</v>
      </c>
      <c r="H44" s="68" t="s">
        <v>3058</v>
      </c>
      <c r="I44" s="68" t="s">
        <v>3050</v>
      </c>
      <c r="J44" s="68" t="s">
        <v>3059</v>
      </c>
      <c r="K44" s="69" t="s">
        <v>3059</v>
      </c>
      <c r="L44" s="69" t="str">
        <f>VLOOKUP(LinkTable6789[[#This Row],[Coluna1]],[4]AlarmCatalog!$A:$M,11,FALSE)</f>
        <v>Severidade 2</v>
      </c>
    </row>
    <row r="45" spans="1:12" s="67" customFormat="1" ht="16.5" customHeight="1" x14ac:dyDescent="0.25">
      <c r="A45" s="68" t="s">
        <v>3143</v>
      </c>
      <c r="B45" s="68" t="s">
        <v>2349</v>
      </c>
      <c r="C45" s="68" t="s">
        <v>3144</v>
      </c>
      <c r="D45" s="68" t="s">
        <v>2809</v>
      </c>
      <c r="E45" s="68" t="s">
        <v>3053</v>
      </c>
      <c r="F45" s="68" t="s">
        <v>3145</v>
      </c>
      <c r="G45" s="68" t="s">
        <v>3048</v>
      </c>
      <c r="H45" s="68" t="s">
        <v>3075</v>
      </c>
      <c r="I45" s="68" t="s">
        <v>3050</v>
      </c>
      <c r="J45" s="68" t="s">
        <v>3059</v>
      </c>
      <c r="K45" s="69" t="s">
        <v>3059</v>
      </c>
      <c r="L45" s="69" t="str">
        <f>VLOOKUP(LinkTable6789[[#This Row],[Coluna1]],[4]AlarmCatalog!$A:$M,11,FALSE)</f>
        <v>Severidade 2</v>
      </c>
    </row>
    <row r="46" spans="1:12" s="67" customFormat="1" ht="16.5" customHeight="1" x14ac:dyDescent="0.25">
      <c r="A46" s="68" t="s">
        <v>3146</v>
      </c>
      <c r="B46" s="68" t="s">
        <v>2349</v>
      </c>
      <c r="C46" s="68" t="s">
        <v>3147</v>
      </c>
      <c r="D46" s="68" t="s">
        <v>2990</v>
      </c>
      <c r="E46" s="68" t="s">
        <v>3046</v>
      </c>
      <c r="F46" s="68" t="s">
        <v>3148</v>
      </c>
      <c r="G46" s="68" t="s">
        <v>3048</v>
      </c>
      <c r="H46" s="68" t="s">
        <v>3058</v>
      </c>
      <c r="I46" s="68" t="s">
        <v>3050</v>
      </c>
      <c r="J46" s="68" t="s">
        <v>3059</v>
      </c>
      <c r="K46" s="69" t="s">
        <v>3059</v>
      </c>
      <c r="L46" s="69" t="str">
        <f>VLOOKUP(LinkTable6789[[#This Row],[Coluna1]],[4]AlarmCatalog!$A:$M,11,FALSE)</f>
        <v>Severidade 2</v>
      </c>
    </row>
    <row r="47" spans="1:12" s="67" customFormat="1" ht="16.5" customHeight="1" x14ac:dyDescent="0.25">
      <c r="A47" s="68" t="s">
        <v>1188</v>
      </c>
      <c r="B47" s="68" t="s">
        <v>2349</v>
      </c>
      <c r="C47" s="68" t="s">
        <v>3149</v>
      </c>
      <c r="D47" s="68" t="s">
        <v>2809</v>
      </c>
      <c r="E47" s="68" t="s">
        <v>2809</v>
      </c>
      <c r="F47" s="68" t="s">
        <v>3150</v>
      </c>
      <c r="G47" s="68" t="s">
        <v>3122</v>
      </c>
      <c r="H47" s="68" t="s">
        <v>3123</v>
      </c>
      <c r="I47" s="68" t="s">
        <v>3124</v>
      </c>
      <c r="J47" s="68" t="s">
        <v>3059</v>
      </c>
      <c r="K47" s="69" t="s">
        <v>3059</v>
      </c>
      <c r="L47" s="69" t="str">
        <f>VLOOKUP(LinkTable6789[[#This Row],[Coluna1]],[4]AlarmCatalog!$A:$M,11,FALSE)</f>
        <v>Severidade 2</v>
      </c>
    </row>
    <row r="48" spans="1:12" s="67" customFormat="1" ht="16.5" customHeight="1" x14ac:dyDescent="0.25">
      <c r="A48" s="68" t="s">
        <v>3151</v>
      </c>
      <c r="B48" s="68" t="s">
        <v>2349</v>
      </c>
      <c r="C48" s="68" t="s">
        <v>3152</v>
      </c>
      <c r="D48" s="68" t="s">
        <v>2809</v>
      </c>
      <c r="E48" s="68" t="s">
        <v>3053</v>
      </c>
      <c r="F48" s="68" t="s">
        <v>3153</v>
      </c>
      <c r="G48" s="68" t="s">
        <v>3048</v>
      </c>
      <c r="H48" s="68" t="s">
        <v>3058</v>
      </c>
      <c r="I48" s="68" t="s">
        <v>3050</v>
      </c>
      <c r="J48" s="68" t="s">
        <v>3059</v>
      </c>
      <c r="K48" s="69" t="s">
        <v>3059</v>
      </c>
      <c r="L48" s="69" t="str">
        <f>VLOOKUP(LinkTable6789[[#This Row],[Coluna1]],[4]AlarmCatalog!$A:$M,11,FALSE)</f>
        <v>Severidade 2</v>
      </c>
    </row>
    <row r="49" spans="1:12" s="67" customFormat="1" ht="16.5" customHeight="1" x14ac:dyDescent="0.25">
      <c r="A49" s="68" t="s">
        <v>3154</v>
      </c>
      <c r="B49" s="68" t="s">
        <v>2349</v>
      </c>
      <c r="C49" s="68" t="s">
        <v>3155</v>
      </c>
      <c r="D49" s="68" t="s">
        <v>2809</v>
      </c>
      <c r="E49" s="68" t="s">
        <v>3053</v>
      </c>
      <c r="F49" s="68" t="s">
        <v>3131</v>
      </c>
      <c r="G49" s="68" t="s">
        <v>3048</v>
      </c>
      <c r="H49" s="68" t="s">
        <v>3058</v>
      </c>
      <c r="I49" s="68" t="s">
        <v>3050</v>
      </c>
      <c r="J49" s="68" t="s">
        <v>3059</v>
      </c>
      <c r="K49" s="69" t="s">
        <v>3059</v>
      </c>
      <c r="L49" s="69" t="str">
        <f>VLOOKUP(LinkTable6789[[#This Row],[Coluna1]],[4]AlarmCatalog!$A:$M,11,FALSE)</f>
        <v>Severidade 2</v>
      </c>
    </row>
    <row r="50" spans="1:12" s="67" customFormat="1" ht="16.5" customHeight="1" x14ac:dyDescent="0.25">
      <c r="A50" s="68" t="s">
        <v>3156</v>
      </c>
      <c r="B50" s="68" t="s">
        <v>2349</v>
      </c>
      <c r="C50" s="68" t="s">
        <v>3157</v>
      </c>
      <c r="D50" s="68" t="s">
        <v>2809</v>
      </c>
      <c r="E50" s="68" t="s">
        <v>3046</v>
      </c>
      <c r="F50" s="68" t="s">
        <v>3047</v>
      </c>
      <c r="G50" s="68" t="s">
        <v>3048</v>
      </c>
      <c r="H50" s="68" t="s">
        <v>3058</v>
      </c>
      <c r="I50" s="68" t="s">
        <v>3050</v>
      </c>
      <c r="J50" s="68" t="s">
        <v>3059</v>
      </c>
      <c r="K50" s="69" t="s">
        <v>3059</v>
      </c>
      <c r="L50" s="69" t="str">
        <f>VLOOKUP(LinkTable6789[[#This Row],[Coluna1]],[4]AlarmCatalog!$A:$M,11,FALSE)</f>
        <v>Severidade 2</v>
      </c>
    </row>
    <row r="51" spans="1:12" s="67" customFormat="1" ht="16.5" customHeight="1" x14ac:dyDescent="0.25">
      <c r="A51" s="68" t="s">
        <v>3158</v>
      </c>
      <c r="B51" s="68" t="s">
        <v>2349</v>
      </c>
      <c r="C51" s="68" t="s">
        <v>2992</v>
      </c>
      <c r="D51" s="68" t="s">
        <v>2809</v>
      </c>
      <c r="E51" s="68" t="s">
        <v>3046</v>
      </c>
      <c r="F51" s="68" t="s">
        <v>3047</v>
      </c>
      <c r="G51" s="68" t="s">
        <v>3048</v>
      </c>
      <c r="H51" s="68" t="s">
        <v>3159</v>
      </c>
      <c r="I51" s="68" t="s">
        <v>3050</v>
      </c>
      <c r="J51" s="68" t="s">
        <v>3160</v>
      </c>
      <c r="K51" s="69" t="s">
        <v>3160</v>
      </c>
      <c r="L51" s="69" t="str">
        <f>VLOOKUP(LinkTable6789[[#This Row],[Coluna1]],[4]AlarmCatalog!$A:$M,11,FALSE)</f>
        <v>Severidade 8</v>
      </c>
    </row>
    <row r="52" spans="1:12" s="67" customFormat="1" ht="16.5" customHeight="1" x14ac:dyDescent="0.25">
      <c r="A52" s="68" t="s">
        <v>3161</v>
      </c>
      <c r="B52" s="68" t="s">
        <v>2349</v>
      </c>
      <c r="C52" s="68" t="s">
        <v>2986</v>
      </c>
      <c r="D52" s="68" t="s">
        <v>2990</v>
      </c>
      <c r="E52" s="68" t="s">
        <v>3046</v>
      </c>
      <c r="F52" s="68" t="s">
        <v>3047</v>
      </c>
      <c r="G52" s="68" t="s">
        <v>3057</v>
      </c>
      <c r="H52" s="68" t="s">
        <v>3068</v>
      </c>
      <c r="I52" s="68" t="s">
        <v>3050</v>
      </c>
      <c r="J52" s="68" t="s">
        <v>3101</v>
      </c>
      <c r="K52" s="69" t="s">
        <v>3101</v>
      </c>
      <c r="L52" s="69" t="str">
        <f>VLOOKUP(LinkTable6789[[#This Row],[Coluna1]],[4]AlarmCatalog!$A:$M,11,FALSE)</f>
        <v>Severidade 8</v>
      </c>
    </row>
    <row r="53" spans="1:12" s="67" customFormat="1" ht="16.5" customHeight="1" x14ac:dyDescent="0.25">
      <c r="A53" s="68" t="s">
        <v>3162</v>
      </c>
      <c r="B53" s="68" t="s">
        <v>2349</v>
      </c>
      <c r="C53" s="68" t="s">
        <v>2991</v>
      </c>
      <c r="D53" s="68" t="s">
        <v>2809</v>
      </c>
      <c r="E53" s="68" t="s">
        <v>3053</v>
      </c>
      <c r="F53" s="68" t="s">
        <v>3163</v>
      </c>
      <c r="G53" s="68" t="s">
        <v>3048</v>
      </c>
      <c r="H53" s="68" t="s">
        <v>3058</v>
      </c>
      <c r="I53" s="68" t="s">
        <v>3050</v>
      </c>
      <c r="J53" s="68" t="s">
        <v>3059</v>
      </c>
      <c r="K53" s="69" t="s">
        <v>3059</v>
      </c>
      <c r="L53" s="69" t="str">
        <f>VLOOKUP(LinkTable6789[[#This Row],[Coluna1]],[4]AlarmCatalog!$A:$M,11,FALSE)</f>
        <v>Severidade 2</v>
      </c>
    </row>
    <row r="54" spans="1:12" s="67" customFormat="1" ht="16.5" customHeight="1" x14ac:dyDescent="0.25">
      <c r="A54" s="68" t="s">
        <v>3164</v>
      </c>
      <c r="B54" s="68" t="s">
        <v>2349</v>
      </c>
      <c r="C54" s="68" t="s">
        <v>3165</v>
      </c>
      <c r="D54" s="68" t="s">
        <v>2809</v>
      </c>
      <c r="E54" s="68" t="s">
        <v>2809</v>
      </c>
      <c r="F54" s="68" t="s">
        <v>3165</v>
      </c>
      <c r="G54" s="68" t="s">
        <v>3122</v>
      </c>
      <c r="H54" s="68" t="s">
        <v>3123</v>
      </c>
      <c r="I54" s="68" t="s">
        <v>3124</v>
      </c>
      <c r="J54" s="68" t="s">
        <v>3059</v>
      </c>
      <c r="K54" s="69" t="s">
        <v>3059</v>
      </c>
      <c r="L54" s="69" t="str">
        <f>VLOOKUP(LinkTable6789[[#This Row],[Coluna1]],[4]AlarmCatalog!$A:$M,11,FALSE)</f>
        <v>Severidade 2</v>
      </c>
    </row>
    <row r="55" spans="1:12" s="67" customFormat="1" ht="16.5" customHeight="1" x14ac:dyDescent="0.25">
      <c r="A55" s="68" t="s">
        <v>3166</v>
      </c>
      <c r="B55" s="68" t="s">
        <v>2349</v>
      </c>
      <c r="C55" s="68" t="s">
        <v>2986</v>
      </c>
      <c r="D55" s="68" t="s">
        <v>2990</v>
      </c>
      <c r="E55" s="68" t="s">
        <v>3046</v>
      </c>
      <c r="F55" s="68" t="s">
        <v>3047</v>
      </c>
      <c r="G55" s="68" t="s">
        <v>3057</v>
      </c>
      <c r="H55" s="68" t="s">
        <v>3077</v>
      </c>
      <c r="I55" s="68" t="s">
        <v>3050</v>
      </c>
      <c r="J55" s="68" t="s">
        <v>3101</v>
      </c>
      <c r="K55" s="69" t="s">
        <v>3101</v>
      </c>
      <c r="L55" s="69" t="str">
        <f>VLOOKUP(LinkTable6789[[#This Row],[Coluna1]],[4]AlarmCatalog!$A:$M,11,FALSE)</f>
        <v>Severidade 8</v>
      </c>
    </row>
    <row r="56" spans="1:12" s="67" customFormat="1" ht="16.5" customHeight="1" x14ac:dyDescent="0.25">
      <c r="A56" s="68" t="s">
        <v>3167</v>
      </c>
      <c r="B56" s="68" t="s">
        <v>2349</v>
      </c>
      <c r="C56" s="68" t="s">
        <v>3138</v>
      </c>
      <c r="D56" s="68" t="s">
        <v>2809</v>
      </c>
      <c r="E56" s="68" t="s">
        <v>3064</v>
      </c>
      <c r="F56" s="68" t="s">
        <v>3139</v>
      </c>
      <c r="G56" s="68" t="s">
        <v>3048</v>
      </c>
      <c r="H56" s="68" t="s">
        <v>3075</v>
      </c>
      <c r="I56" s="68" t="s">
        <v>3050</v>
      </c>
      <c r="J56" s="68" t="s">
        <v>3059</v>
      </c>
      <c r="K56" s="69" t="s">
        <v>3059</v>
      </c>
      <c r="L56" s="69" t="str">
        <f>VLOOKUP(LinkTable6789[[#This Row],[Coluna1]],[4]AlarmCatalog!$A:$M,11,FALSE)</f>
        <v>Severidade 2</v>
      </c>
    </row>
    <row r="57" spans="1:12" s="67" customFormat="1" ht="16.5" customHeight="1" x14ac:dyDescent="0.25">
      <c r="A57" s="68" t="s">
        <v>3168</v>
      </c>
      <c r="B57" s="68" t="s">
        <v>2349</v>
      </c>
      <c r="C57" s="68" t="s">
        <v>3138</v>
      </c>
      <c r="D57" s="68" t="s">
        <v>2809</v>
      </c>
      <c r="E57" s="68" t="s">
        <v>3064</v>
      </c>
      <c r="F57" s="68" t="s">
        <v>3139</v>
      </c>
      <c r="G57" s="68" t="s">
        <v>3048</v>
      </c>
      <c r="H57" s="68" t="s">
        <v>3075</v>
      </c>
      <c r="I57" s="68" t="s">
        <v>3050</v>
      </c>
      <c r="J57" s="68" t="s">
        <v>3059</v>
      </c>
      <c r="K57" s="69" t="s">
        <v>3059</v>
      </c>
      <c r="L57" s="69" t="str">
        <f>VLOOKUP(LinkTable6789[[#This Row],[Coluna1]],[4]AlarmCatalog!$A:$M,11,FALSE)</f>
        <v>Severidade 2</v>
      </c>
    </row>
    <row r="58" spans="1:12" s="67" customFormat="1" ht="16.5" customHeight="1" x14ac:dyDescent="0.25">
      <c r="A58" s="68" t="s">
        <v>3169</v>
      </c>
      <c r="B58" s="68" t="s">
        <v>2349</v>
      </c>
      <c r="C58" s="68" t="s">
        <v>3170</v>
      </c>
      <c r="D58" s="68" t="s">
        <v>2809</v>
      </c>
      <c r="E58" s="68" t="s">
        <v>3053</v>
      </c>
      <c r="F58" s="68" t="s">
        <v>3139</v>
      </c>
      <c r="G58" s="68" t="s">
        <v>3048</v>
      </c>
      <c r="H58" s="68" t="s">
        <v>3075</v>
      </c>
      <c r="I58" s="68" t="s">
        <v>3050</v>
      </c>
      <c r="J58" s="68" t="s">
        <v>3059</v>
      </c>
      <c r="K58" s="69" t="s">
        <v>3059</v>
      </c>
      <c r="L58" s="69" t="str">
        <f>VLOOKUP(LinkTable6789[[#This Row],[Coluna1]],[4]AlarmCatalog!$A:$M,11,FALSE)</f>
        <v>Severidade 2</v>
      </c>
    </row>
    <row r="59" spans="1:12" s="67" customFormat="1" ht="16.5" customHeight="1" x14ac:dyDescent="0.25">
      <c r="A59" s="68" t="s">
        <v>3171</v>
      </c>
      <c r="B59" s="68" t="s">
        <v>2349</v>
      </c>
      <c r="C59" s="68" t="s">
        <v>3172</v>
      </c>
      <c r="D59" s="68" t="s">
        <v>2809</v>
      </c>
      <c r="E59" s="68" t="s">
        <v>3046</v>
      </c>
      <c r="F59" s="68" t="s">
        <v>3173</v>
      </c>
      <c r="G59" s="68" t="s">
        <v>3048</v>
      </c>
      <c r="H59" s="68" t="s">
        <v>3075</v>
      </c>
      <c r="I59" s="68" t="s">
        <v>3050</v>
      </c>
      <c r="J59" s="68" t="s">
        <v>3059</v>
      </c>
      <c r="K59" s="69" t="s">
        <v>3059</v>
      </c>
      <c r="L59" s="69" t="str">
        <f>VLOOKUP(LinkTable6789[[#This Row],[Coluna1]],[4]AlarmCatalog!$A:$M,11,FALSE)</f>
        <v>Severidade 2</v>
      </c>
    </row>
    <row r="60" spans="1:12" s="67" customFormat="1" ht="16.5" customHeight="1" x14ac:dyDescent="0.25">
      <c r="A60" s="68" t="s">
        <v>3174</v>
      </c>
      <c r="B60" s="68" t="s">
        <v>2349</v>
      </c>
      <c r="C60" s="68" t="s">
        <v>3175</v>
      </c>
      <c r="D60" s="68" t="s">
        <v>2809</v>
      </c>
      <c r="E60" s="68" t="s">
        <v>3053</v>
      </c>
      <c r="F60" s="68" t="s">
        <v>3176</v>
      </c>
      <c r="G60" s="68" t="s">
        <v>3048</v>
      </c>
      <c r="H60" s="68" t="s">
        <v>3075</v>
      </c>
      <c r="I60" s="68" t="s">
        <v>3050</v>
      </c>
      <c r="J60" s="68" t="s">
        <v>3059</v>
      </c>
      <c r="K60" s="69" t="s">
        <v>3059</v>
      </c>
      <c r="L60" s="69" t="str">
        <f>VLOOKUP(LinkTable6789[[#This Row],[Coluna1]],[4]AlarmCatalog!$A:$M,11,FALSE)</f>
        <v>Severidade 2</v>
      </c>
    </row>
    <row r="61" spans="1:12" s="67" customFormat="1" ht="16.5" customHeight="1" x14ac:dyDescent="0.25">
      <c r="A61" s="68" t="s">
        <v>3177</v>
      </c>
      <c r="B61" s="68" t="s">
        <v>2349</v>
      </c>
      <c r="C61" s="68" t="s">
        <v>3172</v>
      </c>
      <c r="D61" s="68" t="s">
        <v>2809</v>
      </c>
      <c r="E61" s="68" t="s">
        <v>3053</v>
      </c>
      <c r="F61" s="68" t="s">
        <v>3173</v>
      </c>
      <c r="G61" s="68" t="s">
        <v>3048</v>
      </c>
      <c r="H61" s="68" t="s">
        <v>3075</v>
      </c>
      <c r="I61" s="68" t="s">
        <v>3050</v>
      </c>
      <c r="J61" s="68" t="s">
        <v>3059</v>
      </c>
      <c r="K61" s="69" t="s">
        <v>3059</v>
      </c>
      <c r="L61" s="69" t="str">
        <f>VLOOKUP(LinkTable6789[[#This Row],[Coluna1]],[4]AlarmCatalog!$A:$M,11,FALSE)</f>
        <v>Severidade 2</v>
      </c>
    </row>
    <row r="62" spans="1:12" s="67" customFormat="1" ht="16.5" customHeight="1" x14ac:dyDescent="0.25">
      <c r="A62" s="68" t="s">
        <v>3178</v>
      </c>
      <c r="B62" s="68" t="s">
        <v>2349</v>
      </c>
      <c r="C62" s="68" t="s">
        <v>3071</v>
      </c>
      <c r="D62" s="68" t="s">
        <v>2809</v>
      </c>
      <c r="E62" s="68" t="s">
        <v>3046</v>
      </c>
      <c r="F62" s="68" t="s">
        <v>3098</v>
      </c>
      <c r="G62" s="68" t="s">
        <v>3048</v>
      </c>
      <c r="H62" s="68" t="s">
        <v>3058</v>
      </c>
      <c r="I62" s="68" t="s">
        <v>3050</v>
      </c>
      <c r="J62" s="68" t="s">
        <v>3059</v>
      </c>
      <c r="K62" s="69" t="s">
        <v>3059</v>
      </c>
      <c r="L62" s="69" t="str">
        <f>VLOOKUP(LinkTable6789[[#This Row],[Coluna1]],[4]AlarmCatalog!$A:$M,11,FALSE)</f>
        <v>Severidade 2</v>
      </c>
    </row>
    <row r="63" spans="1:12" s="67" customFormat="1" ht="16.5" customHeight="1" x14ac:dyDescent="0.25">
      <c r="A63" s="68" t="s">
        <v>3179</v>
      </c>
      <c r="B63" s="68" t="s">
        <v>2349</v>
      </c>
      <c r="C63" s="68" t="s">
        <v>3094</v>
      </c>
      <c r="D63" s="68" t="s">
        <v>2809</v>
      </c>
      <c r="E63" s="68" t="s">
        <v>2990</v>
      </c>
      <c r="F63" s="68" t="s">
        <v>3180</v>
      </c>
      <c r="G63" s="68" t="s">
        <v>3048</v>
      </c>
      <c r="H63" s="68" t="s">
        <v>3066</v>
      </c>
      <c r="I63" s="68" t="s">
        <v>3050</v>
      </c>
      <c r="J63" s="68" t="s">
        <v>3181</v>
      </c>
      <c r="K63" s="69" t="s">
        <v>3181</v>
      </c>
      <c r="L63" s="69" t="str">
        <f>VLOOKUP(LinkTable6789[[#This Row],[Coluna1]],[4]AlarmCatalog!$A:$M,11,FALSE)</f>
        <v>Severidade 2</v>
      </c>
    </row>
    <row r="64" spans="1:12" s="67" customFormat="1" ht="16.5" customHeight="1" x14ac:dyDescent="0.25">
      <c r="A64" s="68" t="s">
        <v>3182</v>
      </c>
      <c r="B64" s="68" t="s">
        <v>2349</v>
      </c>
      <c r="C64" s="68" t="s">
        <v>3094</v>
      </c>
      <c r="D64" s="68" t="s">
        <v>2809</v>
      </c>
      <c r="E64" s="68" t="s">
        <v>3053</v>
      </c>
      <c r="F64" s="68" t="s">
        <v>3047</v>
      </c>
      <c r="G64" s="68" t="s">
        <v>3048</v>
      </c>
      <c r="H64" s="68" t="s">
        <v>3058</v>
      </c>
      <c r="I64" s="68" t="s">
        <v>3050</v>
      </c>
      <c r="J64" s="68" t="s">
        <v>3183</v>
      </c>
      <c r="K64" s="69" t="s">
        <v>3183</v>
      </c>
      <c r="L64" s="69" t="str">
        <f>VLOOKUP(LinkTable6789[[#This Row],[Coluna1]],[4]AlarmCatalog!$A:$M,11,FALSE)</f>
        <v>Severidade 2</v>
      </c>
    </row>
    <row r="65" spans="1:12" s="67" customFormat="1" ht="16.5" customHeight="1" x14ac:dyDescent="0.25">
      <c r="A65" s="68" t="s">
        <v>3184</v>
      </c>
      <c r="B65" s="68" t="s">
        <v>2349</v>
      </c>
      <c r="C65" s="68" t="s">
        <v>3094</v>
      </c>
      <c r="D65" s="68" t="s">
        <v>2809</v>
      </c>
      <c r="E65" s="68" t="s">
        <v>2990</v>
      </c>
      <c r="F65" s="68" t="s">
        <v>3180</v>
      </c>
      <c r="G65" s="68" t="s">
        <v>3048</v>
      </c>
      <c r="H65" s="68" t="s">
        <v>3058</v>
      </c>
      <c r="I65" s="68" t="s">
        <v>3050</v>
      </c>
      <c r="J65" s="68" t="s">
        <v>3181</v>
      </c>
      <c r="K65" s="69" t="s">
        <v>3181</v>
      </c>
      <c r="L65" s="69" t="str">
        <f>VLOOKUP(LinkTable6789[[#This Row],[Coluna1]],[4]AlarmCatalog!$A:$M,11,FALSE)</f>
        <v>Severidade 2</v>
      </c>
    </row>
    <row r="66" spans="1:12" s="67" customFormat="1" ht="16.5" customHeight="1" x14ac:dyDescent="0.25">
      <c r="A66" s="68" t="s">
        <v>3185</v>
      </c>
      <c r="B66" s="68" t="s">
        <v>2349</v>
      </c>
      <c r="C66" s="68" t="s">
        <v>3097</v>
      </c>
      <c r="D66" s="68" t="s">
        <v>2809</v>
      </c>
      <c r="E66" s="68" t="s">
        <v>2809</v>
      </c>
      <c r="F66" s="68" t="s">
        <v>3098</v>
      </c>
      <c r="G66" s="68" t="s">
        <v>3048</v>
      </c>
      <c r="H66" s="68" t="s">
        <v>3058</v>
      </c>
      <c r="I66" s="68" t="s">
        <v>3050</v>
      </c>
      <c r="J66" s="68" t="s">
        <v>3186</v>
      </c>
      <c r="K66" s="69" t="s">
        <v>3186</v>
      </c>
      <c r="L66" s="69" t="str">
        <f>VLOOKUP(LinkTable6789[[#This Row],[Coluna1]],[4]AlarmCatalog!$A:$M,11,FALSE)</f>
        <v>Severidade 2</v>
      </c>
    </row>
    <row r="67" spans="1:12" s="67" customFormat="1" ht="16.5" customHeight="1" x14ac:dyDescent="0.25">
      <c r="A67" s="68" t="s">
        <v>3187</v>
      </c>
      <c r="B67" s="68" t="s">
        <v>2349</v>
      </c>
      <c r="C67" s="68" t="s">
        <v>3155</v>
      </c>
      <c r="D67" s="68" t="s">
        <v>2809</v>
      </c>
      <c r="E67" s="68" t="s">
        <v>3053</v>
      </c>
      <c r="F67" s="68" t="s">
        <v>3047</v>
      </c>
      <c r="G67" s="68" t="s">
        <v>3048</v>
      </c>
      <c r="H67" s="68" t="s">
        <v>3058</v>
      </c>
      <c r="I67" s="68" t="s">
        <v>3050</v>
      </c>
      <c r="J67" s="68" t="s">
        <v>3059</v>
      </c>
      <c r="K67" s="69" t="s">
        <v>3059</v>
      </c>
      <c r="L67" s="69" t="str">
        <f>VLOOKUP(LinkTable6789[[#This Row],[Coluna1]],[4]AlarmCatalog!$A:$M,11,FALSE)</f>
        <v>Severidade 2</v>
      </c>
    </row>
    <row r="68" spans="1:12" s="67" customFormat="1" ht="16.5" customHeight="1" x14ac:dyDescent="0.25">
      <c r="A68" s="68" t="s">
        <v>3188</v>
      </c>
      <c r="B68" s="68" t="s">
        <v>2349</v>
      </c>
      <c r="C68" s="68" t="s">
        <v>3149</v>
      </c>
      <c r="D68" s="68" t="s">
        <v>2809</v>
      </c>
      <c r="E68" s="68" t="s">
        <v>2809</v>
      </c>
      <c r="F68" s="68" t="s">
        <v>3150</v>
      </c>
      <c r="G68" s="68" t="s">
        <v>3122</v>
      </c>
      <c r="H68" s="68" t="s">
        <v>3123</v>
      </c>
      <c r="I68" s="68" t="s">
        <v>3124</v>
      </c>
      <c r="J68" s="68" t="s">
        <v>3059</v>
      </c>
      <c r="K68" s="69" t="s">
        <v>3059</v>
      </c>
      <c r="L68" s="69" t="str">
        <f>VLOOKUP(LinkTable6789[[#This Row],[Coluna1]],[4]AlarmCatalog!$A:$M,11,FALSE)</f>
        <v>Severidade 2</v>
      </c>
    </row>
    <row r="69" spans="1:12" s="67" customFormat="1" ht="16.5" customHeight="1" x14ac:dyDescent="0.25">
      <c r="A69" s="68" t="s">
        <v>3189</v>
      </c>
      <c r="B69" s="68" t="s">
        <v>2349</v>
      </c>
      <c r="C69" s="68" t="s">
        <v>3149</v>
      </c>
      <c r="D69" s="68" t="s">
        <v>3053</v>
      </c>
      <c r="E69" s="68" t="s">
        <v>2990</v>
      </c>
      <c r="F69" s="68" t="s">
        <v>3150</v>
      </c>
      <c r="G69" s="68" t="s">
        <v>3190</v>
      </c>
      <c r="H69" s="68" t="s">
        <v>3191</v>
      </c>
      <c r="I69" s="68" t="s">
        <v>3124</v>
      </c>
      <c r="J69" s="68" t="s">
        <v>3125</v>
      </c>
      <c r="K69" s="69" t="s">
        <v>3125</v>
      </c>
      <c r="L69" s="69" t="str">
        <f>VLOOKUP(LinkTable6789[[#This Row],[Coluna1]],[4]AlarmCatalog!$A:$M,11,FALSE)</f>
        <v>Severidade 8</v>
      </c>
    </row>
    <row r="70" spans="1:12" s="67" customFormat="1" ht="16.5" customHeight="1" x14ac:dyDescent="0.25">
      <c r="A70" s="68" t="s">
        <v>3192</v>
      </c>
      <c r="B70" s="68" t="s">
        <v>2349</v>
      </c>
      <c r="C70" s="68" t="s">
        <v>2986</v>
      </c>
      <c r="D70" s="68" t="s">
        <v>2809</v>
      </c>
      <c r="E70" s="68" t="s">
        <v>3046</v>
      </c>
      <c r="F70" s="68" t="s">
        <v>3056</v>
      </c>
      <c r="G70" s="68" t="s">
        <v>3057</v>
      </c>
      <c r="H70" s="68" t="s">
        <v>3058</v>
      </c>
      <c r="I70" s="68" t="s">
        <v>3050</v>
      </c>
      <c r="J70" s="68" t="s">
        <v>3059</v>
      </c>
      <c r="K70" s="69" t="s">
        <v>3059</v>
      </c>
      <c r="L70" s="69" t="str">
        <f>VLOOKUP(LinkTable6789[[#This Row],[Coluna1]],[4]AlarmCatalog!$A:$M,11,FALSE)</f>
        <v>Severidade 2</v>
      </c>
    </row>
    <row r="71" spans="1:12" s="67" customFormat="1" ht="16.5" customHeight="1" x14ac:dyDescent="0.25">
      <c r="A71" s="68" t="s">
        <v>3193</v>
      </c>
      <c r="B71" s="68" t="s">
        <v>2349</v>
      </c>
      <c r="C71" s="68" t="s">
        <v>3106</v>
      </c>
      <c r="D71" s="68" t="s">
        <v>2809</v>
      </c>
      <c r="E71" s="68" t="s">
        <v>3053</v>
      </c>
      <c r="F71" s="68" t="s">
        <v>3107</v>
      </c>
      <c r="G71" s="68" t="s">
        <v>3048</v>
      </c>
      <c r="H71" s="68" t="s">
        <v>3058</v>
      </c>
      <c r="I71" s="68" t="s">
        <v>3050</v>
      </c>
      <c r="J71" s="68" t="s">
        <v>3059</v>
      </c>
      <c r="K71" s="69" t="s">
        <v>3059</v>
      </c>
      <c r="L71" s="69" t="str">
        <f>VLOOKUP(LinkTable6789[[#This Row],[Coluna1]],[4]AlarmCatalog!$A:$M,11,FALSE)</f>
        <v>Severidade 2</v>
      </c>
    </row>
    <row r="72" spans="1:12" s="67" customFormat="1" ht="16.5" customHeight="1" x14ac:dyDescent="0.25">
      <c r="A72" s="68" t="s">
        <v>3194</v>
      </c>
      <c r="B72" s="68" t="s">
        <v>2349</v>
      </c>
      <c r="C72" s="68" t="s">
        <v>3094</v>
      </c>
      <c r="D72" s="68" t="s">
        <v>2809</v>
      </c>
      <c r="E72" s="68" t="s">
        <v>3046</v>
      </c>
      <c r="F72" s="68" t="s">
        <v>3180</v>
      </c>
      <c r="G72" s="68" t="s">
        <v>3048</v>
      </c>
      <c r="H72" s="68" t="s">
        <v>3058</v>
      </c>
      <c r="I72" s="68" t="s">
        <v>3050</v>
      </c>
      <c r="J72" s="68" t="s">
        <v>3059</v>
      </c>
      <c r="K72" s="69" t="s">
        <v>3059</v>
      </c>
      <c r="L72" s="69" t="str">
        <f>VLOOKUP(LinkTable6789[[#This Row],[Coluna1]],[4]AlarmCatalog!$A:$M,11,FALSE)</f>
        <v>Severidade 2</v>
      </c>
    </row>
    <row r="73" spans="1:12" s="67" customFormat="1" ht="16.5" customHeight="1" x14ac:dyDescent="0.25">
      <c r="A73" s="68" t="s">
        <v>3195</v>
      </c>
      <c r="B73" s="68" t="s">
        <v>2349</v>
      </c>
      <c r="C73" s="68" t="s">
        <v>3129</v>
      </c>
      <c r="D73" s="68" t="s">
        <v>2809</v>
      </c>
      <c r="E73" s="68" t="s">
        <v>3053</v>
      </c>
      <c r="F73" s="68" t="s">
        <v>3145</v>
      </c>
      <c r="G73" s="68" t="s">
        <v>3048</v>
      </c>
      <c r="H73" s="68" t="s">
        <v>3058</v>
      </c>
      <c r="I73" s="68" t="s">
        <v>3050</v>
      </c>
      <c r="J73" s="68" t="s">
        <v>3059</v>
      </c>
      <c r="K73" s="69" t="s">
        <v>3059</v>
      </c>
      <c r="L73" s="69" t="str">
        <f>VLOOKUP(LinkTable6789[[#This Row],[Coluna1]],[4]AlarmCatalog!$A:$M,11,FALSE)</f>
        <v>Severidade 2</v>
      </c>
    </row>
    <row r="74" spans="1:12" s="67" customFormat="1" ht="16.5" customHeight="1" x14ac:dyDescent="0.25">
      <c r="A74" s="68" t="s">
        <v>3196</v>
      </c>
      <c r="B74" s="68" t="s">
        <v>2349</v>
      </c>
      <c r="C74" s="68" t="s">
        <v>2992</v>
      </c>
      <c r="D74" s="68" t="s">
        <v>2809</v>
      </c>
      <c r="E74" s="68" t="s">
        <v>3046</v>
      </c>
      <c r="F74" s="68" t="s">
        <v>3134</v>
      </c>
      <c r="G74" s="68" t="s">
        <v>3048</v>
      </c>
      <c r="H74" s="68" t="s">
        <v>3058</v>
      </c>
      <c r="I74" s="68" t="s">
        <v>3050</v>
      </c>
      <c r="J74" s="68" t="s">
        <v>3059</v>
      </c>
      <c r="K74" s="69" t="s">
        <v>3059</v>
      </c>
      <c r="L74" s="69" t="str">
        <f>VLOOKUP(LinkTable6789[[#This Row],[Coluna1]],[4]AlarmCatalog!$A:$M,11,FALSE)</f>
        <v>Severidade 2</v>
      </c>
    </row>
    <row r="75" spans="1:12" s="67" customFormat="1" ht="16.5" customHeight="1" x14ac:dyDescent="0.25">
      <c r="A75" s="68" t="s">
        <v>3197</v>
      </c>
      <c r="B75" s="68" t="s">
        <v>2349</v>
      </c>
      <c r="C75" s="68" t="s">
        <v>3094</v>
      </c>
      <c r="D75" s="68" t="s">
        <v>2809</v>
      </c>
      <c r="E75" s="68" t="s">
        <v>2990</v>
      </c>
      <c r="F75" s="68" t="s">
        <v>3180</v>
      </c>
      <c r="G75" s="68" t="s">
        <v>3048</v>
      </c>
      <c r="H75" s="68" t="s">
        <v>3198</v>
      </c>
      <c r="I75" s="68" t="s">
        <v>3050</v>
      </c>
      <c r="J75" s="68" t="s">
        <v>3059</v>
      </c>
      <c r="K75" s="69" t="s">
        <v>3059</v>
      </c>
      <c r="L75" s="69" t="str">
        <f>VLOOKUP(LinkTable6789[[#This Row],[Coluna1]],[4]AlarmCatalog!$A:$M,11,FALSE)</f>
        <v>Severidade 2</v>
      </c>
    </row>
    <row r="76" spans="1:12" s="67" customFormat="1" ht="16.5" customHeight="1" x14ac:dyDescent="0.25">
      <c r="A76" s="68" t="s">
        <v>3199</v>
      </c>
      <c r="B76" s="68" t="s">
        <v>2349</v>
      </c>
      <c r="C76" s="68" t="s">
        <v>3094</v>
      </c>
      <c r="D76" s="68" t="s">
        <v>2809</v>
      </c>
      <c r="E76" s="68" t="s">
        <v>2809</v>
      </c>
      <c r="F76" s="68" t="s">
        <v>3180</v>
      </c>
      <c r="G76" s="68" t="s">
        <v>3048</v>
      </c>
      <c r="H76" s="68" t="s">
        <v>3058</v>
      </c>
      <c r="I76" s="68" t="s">
        <v>3050</v>
      </c>
      <c r="J76" s="68" t="s">
        <v>3059</v>
      </c>
      <c r="K76" s="69" t="s">
        <v>3059</v>
      </c>
      <c r="L76" s="69" t="str">
        <f>VLOOKUP(LinkTable6789[[#This Row],[Coluna1]],[4]AlarmCatalog!$A:$M,11,FALSE)</f>
        <v>Severidade 2</v>
      </c>
    </row>
    <row r="77" spans="1:12" s="67" customFormat="1" ht="16.5" customHeight="1" x14ac:dyDescent="0.25">
      <c r="A77" s="68" t="s">
        <v>3200</v>
      </c>
      <c r="B77" s="68" t="s">
        <v>2349</v>
      </c>
      <c r="C77" s="68" t="s">
        <v>2992</v>
      </c>
      <c r="D77" s="68" t="s">
        <v>2809</v>
      </c>
      <c r="E77" s="68" t="s">
        <v>3046</v>
      </c>
      <c r="F77" s="68" t="s">
        <v>3134</v>
      </c>
      <c r="G77" s="68" t="s">
        <v>3048</v>
      </c>
      <c r="H77" s="68" t="s">
        <v>3058</v>
      </c>
      <c r="I77" s="68" t="s">
        <v>3050</v>
      </c>
      <c r="J77" s="68" t="s">
        <v>3125</v>
      </c>
      <c r="K77" s="69" t="s">
        <v>3125</v>
      </c>
      <c r="L77" s="69" t="str">
        <f>VLOOKUP(LinkTable6789[[#This Row],[Coluna1]],[4]AlarmCatalog!$A:$M,11,FALSE)</f>
        <v>Severidade 8</v>
      </c>
    </row>
    <row r="78" spans="1:12" s="67" customFormat="1" ht="16.5" customHeight="1" x14ac:dyDescent="0.25">
      <c r="A78" s="68" t="s">
        <v>3201</v>
      </c>
      <c r="B78" s="68" t="s">
        <v>2349</v>
      </c>
      <c r="C78" s="68" t="s">
        <v>3094</v>
      </c>
      <c r="D78" s="68" t="s">
        <v>2809</v>
      </c>
      <c r="E78" s="68" t="s">
        <v>3053</v>
      </c>
      <c r="F78" s="68" t="s">
        <v>3180</v>
      </c>
      <c r="G78" s="68" t="s">
        <v>3048</v>
      </c>
      <c r="H78" s="68" t="s">
        <v>3058</v>
      </c>
      <c r="I78" s="68" t="s">
        <v>3124</v>
      </c>
      <c r="J78" s="68" t="s">
        <v>3059</v>
      </c>
      <c r="K78" s="69" t="s">
        <v>3059</v>
      </c>
      <c r="L78" s="69" t="str">
        <f>VLOOKUP(LinkTable6789[[#This Row],[Coluna1]],[4]AlarmCatalog!$A:$M,11,FALSE)</f>
        <v>Severidade 2</v>
      </c>
    </row>
    <row r="79" spans="1:12" s="67" customFormat="1" ht="16.5" customHeight="1" x14ac:dyDescent="0.25">
      <c r="A79" s="68" t="s">
        <v>3202</v>
      </c>
      <c r="B79" s="68" t="s">
        <v>2349</v>
      </c>
      <c r="C79" s="68" t="s">
        <v>3203</v>
      </c>
      <c r="D79" s="68" t="s">
        <v>2809</v>
      </c>
      <c r="E79" s="68" t="s">
        <v>3046</v>
      </c>
      <c r="F79" s="68" t="s">
        <v>3204</v>
      </c>
      <c r="G79" s="68" t="s">
        <v>3048</v>
      </c>
      <c r="H79" s="68" t="s">
        <v>3058</v>
      </c>
      <c r="I79" s="68" t="s">
        <v>3050</v>
      </c>
      <c r="J79" s="68" t="s">
        <v>3125</v>
      </c>
      <c r="K79" s="69" t="s">
        <v>3125</v>
      </c>
      <c r="L79" s="69" t="str">
        <f>VLOOKUP(LinkTable6789[[#This Row],[Coluna1]],[4]AlarmCatalog!$A:$M,11,FALSE)</f>
        <v>Severidade 8</v>
      </c>
    </row>
    <row r="80" spans="1:12" s="67" customFormat="1" ht="16.5" customHeight="1" x14ac:dyDescent="0.25">
      <c r="A80" s="68" t="s">
        <v>3205</v>
      </c>
      <c r="B80" s="68" t="s">
        <v>2349</v>
      </c>
      <c r="C80" s="68" t="s">
        <v>3094</v>
      </c>
      <c r="D80" s="68" t="s">
        <v>2809</v>
      </c>
      <c r="E80" s="68" t="s">
        <v>3053</v>
      </c>
      <c r="F80" s="68" t="s">
        <v>3180</v>
      </c>
      <c r="G80" s="68" t="s">
        <v>3048</v>
      </c>
      <c r="H80" s="68" t="s">
        <v>3198</v>
      </c>
      <c r="I80" s="68" t="s">
        <v>3050</v>
      </c>
      <c r="J80" s="68" t="s">
        <v>3059</v>
      </c>
      <c r="K80" s="69" t="s">
        <v>3059</v>
      </c>
      <c r="L80" s="69" t="str">
        <f>VLOOKUP(LinkTable6789[[#This Row],[Coluna1]],[4]AlarmCatalog!$A:$M,11,FALSE)</f>
        <v>Severidade 2</v>
      </c>
    </row>
    <row r="81" spans="1:12" s="67" customFormat="1" ht="16.5" customHeight="1" x14ac:dyDescent="0.25">
      <c r="A81" s="68" t="s">
        <v>3206</v>
      </c>
      <c r="B81" s="68" t="s">
        <v>2349</v>
      </c>
      <c r="C81" s="68" t="s">
        <v>3094</v>
      </c>
      <c r="D81" s="68" t="s">
        <v>2809</v>
      </c>
      <c r="E81" s="68" t="s">
        <v>3053</v>
      </c>
      <c r="F81" s="68" t="s">
        <v>3180</v>
      </c>
      <c r="G81" s="68" t="s">
        <v>3048</v>
      </c>
      <c r="H81" s="68" t="s">
        <v>3058</v>
      </c>
      <c r="I81" s="68" t="s">
        <v>3050</v>
      </c>
      <c r="J81" s="68" t="s">
        <v>3059</v>
      </c>
      <c r="K81" s="69" t="s">
        <v>3059</v>
      </c>
      <c r="L81" s="69" t="str">
        <f>VLOOKUP(LinkTable6789[[#This Row],[Coluna1]],[4]AlarmCatalog!$A:$M,11,FALSE)</f>
        <v>Severidade 2</v>
      </c>
    </row>
    <row r="82" spans="1:12" s="67" customFormat="1" ht="16.5" customHeight="1" x14ac:dyDescent="0.25">
      <c r="A82" s="68" t="s">
        <v>3207</v>
      </c>
      <c r="B82" s="68" t="s">
        <v>2349</v>
      </c>
      <c r="C82" s="68" t="s">
        <v>2986</v>
      </c>
      <c r="D82" s="68" t="s">
        <v>2809</v>
      </c>
      <c r="E82" s="68" t="s">
        <v>3046</v>
      </c>
      <c r="F82" s="68" t="s">
        <v>3056</v>
      </c>
      <c r="G82" s="68" t="s">
        <v>3057</v>
      </c>
      <c r="H82" s="68" t="s">
        <v>3058</v>
      </c>
      <c r="I82" s="68" t="s">
        <v>3050</v>
      </c>
      <c r="J82" s="68" t="s">
        <v>3061</v>
      </c>
      <c r="K82" s="69" t="s">
        <v>3061</v>
      </c>
      <c r="L82" s="69" t="str">
        <f>VLOOKUP(LinkTable6789[[#This Row],[Coluna1]],[4]AlarmCatalog!$A:$M,11,FALSE)</f>
        <v>Severidade 8</v>
      </c>
    </row>
    <row r="83" spans="1:12" s="67" customFormat="1" ht="16.5" customHeight="1" x14ac:dyDescent="0.25">
      <c r="A83" s="68" t="s">
        <v>3208</v>
      </c>
      <c r="B83" s="68" t="s">
        <v>2349</v>
      </c>
      <c r="C83" s="68" t="s">
        <v>2985</v>
      </c>
      <c r="D83" s="68" t="s">
        <v>2809</v>
      </c>
      <c r="E83" s="68" t="s">
        <v>3053</v>
      </c>
      <c r="F83" s="68" t="s">
        <v>3209</v>
      </c>
      <c r="G83" s="68" t="s">
        <v>3048</v>
      </c>
      <c r="H83" s="68" t="s">
        <v>3058</v>
      </c>
      <c r="I83" s="68" t="s">
        <v>3050</v>
      </c>
      <c r="J83" s="68" t="s">
        <v>3059</v>
      </c>
      <c r="K83" s="69" t="s">
        <v>3059</v>
      </c>
      <c r="L83" s="69" t="str">
        <f>VLOOKUP(LinkTable6789[[#This Row],[Coluna1]],[4]AlarmCatalog!$A:$M,11,FALSE)</f>
        <v>Severidade 2</v>
      </c>
    </row>
    <row r="84" spans="1:12" s="67" customFormat="1" ht="16.5" customHeight="1" x14ac:dyDescent="0.25">
      <c r="A84" s="68" t="s">
        <v>3210</v>
      </c>
      <c r="B84" s="68" t="s">
        <v>2349</v>
      </c>
      <c r="C84" s="68" t="s">
        <v>3094</v>
      </c>
      <c r="D84" s="68" t="s">
        <v>2809</v>
      </c>
      <c r="E84" s="68" t="s">
        <v>3046</v>
      </c>
      <c r="F84" s="68" t="s">
        <v>3180</v>
      </c>
      <c r="G84" s="68" t="s">
        <v>3048</v>
      </c>
      <c r="H84" s="68" t="s">
        <v>3075</v>
      </c>
      <c r="I84" s="68" t="s">
        <v>3050</v>
      </c>
      <c r="J84" s="68" t="s">
        <v>3059</v>
      </c>
      <c r="K84" s="69" t="s">
        <v>3059</v>
      </c>
      <c r="L84" s="69" t="str">
        <f>VLOOKUP(LinkTable6789[[#This Row],[Coluna1]],[4]AlarmCatalog!$A:$M,11,FALSE)</f>
        <v>Severidade 2</v>
      </c>
    </row>
    <row r="85" spans="1:12" s="67" customFormat="1" ht="16.5" customHeight="1" x14ac:dyDescent="0.25">
      <c r="A85" s="68" t="s">
        <v>3211</v>
      </c>
      <c r="B85" s="68" t="s">
        <v>2349</v>
      </c>
      <c r="C85" s="68" t="s">
        <v>3212</v>
      </c>
      <c r="D85" s="68" t="s">
        <v>2809</v>
      </c>
      <c r="E85" s="68" t="s">
        <v>3053</v>
      </c>
      <c r="F85" s="68" t="s">
        <v>3213</v>
      </c>
      <c r="G85" s="68" t="s">
        <v>3048</v>
      </c>
      <c r="H85" s="68" t="s">
        <v>3075</v>
      </c>
      <c r="I85" s="68" t="s">
        <v>3050</v>
      </c>
      <c r="J85" s="68" t="s">
        <v>3059</v>
      </c>
      <c r="K85" s="69" t="s">
        <v>3059</v>
      </c>
      <c r="L85" s="69" t="str">
        <f>VLOOKUP(LinkTable6789[[#This Row],[Coluna1]],[4]AlarmCatalog!$A:$M,11,FALSE)</f>
        <v>Severidade 2</v>
      </c>
    </row>
    <row r="86" spans="1:12" s="67" customFormat="1" ht="16.5" customHeight="1" x14ac:dyDescent="0.25">
      <c r="A86" s="68" t="s">
        <v>3214</v>
      </c>
      <c r="B86" s="68" t="s">
        <v>2349</v>
      </c>
      <c r="C86" s="68" t="s">
        <v>3215</v>
      </c>
      <c r="D86" s="68" t="s">
        <v>2809</v>
      </c>
      <c r="E86" s="68" t="s">
        <v>3053</v>
      </c>
      <c r="F86" s="68" t="s">
        <v>3216</v>
      </c>
      <c r="G86" s="68" t="s">
        <v>3048</v>
      </c>
      <c r="H86" s="68" t="s">
        <v>3058</v>
      </c>
      <c r="I86" s="68" t="s">
        <v>3050</v>
      </c>
      <c r="J86" s="68" t="s">
        <v>3059</v>
      </c>
      <c r="K86" s="69" t="s">
        <v>3059</v>
      </c>
      <c r="L86" s="69" t="str">
        <f>VLOOKUP(LinkTable6789[[#This Row],[Coluna1]],[4]AlarmCatalog!$A:$M,11,FALSE)</f>
        <v>Severidade 2</v>
      </c>
    </row>
    <row r="87" spans="1:12" s="67" customFormat="1" ht="16.5" customHeight="1" x14ac:dyDescent="0.25">
      <c r="A87" s="68" t="s">
        <v>3217</v>
      </c>
      <c r="B87" s="68" t="s">
        <v>2349</v>
      </c>
      <c r="C87" s="68" t="s">
        <v>3218</v>
      </c>
      <c r="D87" s="68" t="s">
        <v>2809</v>
      </c>
      <c r="E87" s="68" t="s">
        <v>2809</v>
      </c>
      <c r="F87" s="68" t="s">
        <v>3047</v>
      </c>
      <c r="G87" s="68" t="s">
        <v>3190</v>
      </c>
      <c r="H87" s="68" t="s">
        <v>3123</v>
      </c>
      <c r="I87" s="68" t="s">
        <v>3124</v>
      </c>
      <c r="J87" s="68" t="s">
        <v>3125</v>
      </c>
      <c r="K87" s="69" t="s">
        <v>3059</v>
      </c>
      <c r="L87" s="69" t="str">
        <f>VLOOKUP(LinkTable6789[[#This Row],[Coluna1]],[4]AlarmCatalog!$A:$M,11,FALSE)</f>
        <v>Severidade 2</v>
      </c>
    </row>
    <row r="88" spans="1:12" s="67" customFormat="1" ht="16.5" customHeight="1" x14ac:dyDescent="0.25">
      <c r="A88" s="68" t="s">
        <v>3219</v>
      </c>
      <c r="B88" s="68" t="s">
        <v>2349</v>
      </c>
      <c r="C88" s="68" t="s">
        <v>3220</v>
      </c>
      <c r="D88" s="68" t="s">
        <v>2809</v>
      </c>
      <c r="E88" s="68" t="s">
        <v>3053</v>
      </c>
      <c r="F88" s="68" t="s">
        <v>3221</v>
      </c>
      <c r="G88" s="68" t="s">
        <v>3048</v>
      </c>
      <c r="H88" s="68" t="s">
        <v>3075</v>
      </c>
      <c r="I88" s="68" t="s">
        <v>3050</v>
      </c>
      <c r="J88" s="68" t="s">
        <v>3059</v>
      </c>
      <c r="K88" s="69" t="s">
        <v>3059</v>
      </c>
      <c r="L88" s="69" t="str">
        <f>VLOOKUP(LinkTable6789[[#This Row],[Coluna1]],[4]AlarmCatalog!$A:$M,11,FALSE)</f>
        <v>Severidade 2</v>
      </c>
    </row>
    <row r="89" spans="1:12" s="67" customFormat="1" ht="16.5" customHeight="1" x14ac:dyDescent="0.25">
      <c r="A89" s="68" t="s">
        <v>3222</v>
      </c>
      <c r="B89" s="68" t="s">
        <v>2349</v>
      </c>
      <c r="C89" s="68" t="s">
        <v>3215</v>
      </c>
      <c r="D89" s="68" t="s">
        <v>2809</v>
      </c>
      <c r="E89" s="68" t="s">
        <v>3046</v>
      </c>
      <c r="F89" s="68" t="s">
        <v>3216</v>
      </c>
      <c r="G89" s="68" t="s">
        <v>3048</v>
      </c>
      <c r="H89" s="68" t="s">
        <v>3058</v>
      </c>
      <c r="I89" s="68" t="s">
        <v>3050</v>
      </c>
      <c r="J89" s="68" t="s">
        <v>3059</v>
      </c>
      <c r="K89" s="69" t="s">
        <v>3059</v>
      </c>
      <c r="L89" s="69" t="str">
        <f>VLOOKUP(LinkTable6789[[#This Row],[Coluna1]],[4]AlarmCatalog!$A:$M,11,FALSE)</f>
        <v>Severidade 2</v>
      </c>
    </row>
    <row r="90" spans="1:12" s="67" customFormat="1" ht="16.5" customHeight="1" x14ac:dyDescent="0.25">
      <c r="A90" s="68" t="s">
        <v>3223</v>
      </c>
      <c r="B90" s="68" t="s">
        <v>2349</v>
      </c>
      <c r="C90" s="68" t="s">
        <v>3103</v>
      </c>
      <c r="D90" s="68" t="s">
        <v>2809</v>
      </c>
      <c r="E90" s="68" t="s">
        <v>3053</v>
      </c>
      <c r="F90" s="68" t="s">
        <v>3145</v>
      </c>
      <c r="G90" s="68" t="s">
        <v>3048</v>
      </c>
      <c r="H90" s="68" t="s">
        <v>3075</v>
      </c>
      <c r="I90" s="68" t="s">
        <v>3050</v>
      </c>
      <c r="J90" s="68" t="s">
        <v>3059</v>
      </c>
      <c r="K90" s="69" t="s">
        <v>3059</v>
      </c>
      <c r="L90" s="69" t="str">
        <f>VLOOKUP(LinkTable6789[[#This Row],[Coluna1]],[4]AlarmCatalog!$A:$M,11,FALSE)</f>
        <v>Severidade 2</v>
      </c>
    </row>
    <row r="91" spans="1:12" s="67" customFormat="1" ht="16.5" customHeight="1" x14ac:dyDescent="0.25">
      <c r="A91" s="68" t="s">
        <v>3224</v>
      </c>
      <c r="B91" s="68" t="s">
        <v>2349</v>
      </c>
      <c r="C91" s="68" t="s">
        <v>2985</v>
      </c>
      <c r="D91" s="68" t="s">
        <v>2809</v>
      </c>
      <c r="E91" s="68" t="s">
        <v>3046</v>
      </c>
      <c r="F91" s="68" t="s">
        <v>3209</v>
      </c>
      <c r="G91" s="68" t="s">
        <v>3048</v>
      </c>
      <c r="H91" s="68" t="s">
        <v>3058</v>
      </c>
      <c r="I91" s="68" t="s">
        <v>3050</v>
      </c>
      <c r="J91" s="68" t="s">
        <v>3059</v>
      </c>
      <c r="K91" s="69" t="s">
        <v>3059</v>
      </c>
      <c r="L91" s="69" t="str">
        <f>VLOOKUP(LinkTable6789[[#This Row],[Coluna1]],[4]AlarmCatalog!$A:$M,11,FALSE)</f>
        <v>Severidade 2</v>
      </c>
    </row>
    <row r="92" spans="1:12" s="67" customFormat="1" ht="16.5" customHeight="1" x14ac:dyDescent="0.25">
      <c r="A92" s="68" t="s">
        <v>3225</v>
      </c>
      <c r="B92" s="68" t="s">
        <v>2349</v>
      </c>
      <c r="C92" s="68" t="s">
        <v>2993</v>
      </c>
      <c r="D92" s="68" t="s">
        <v>2809</v>
      </c>
      <c r="E92" s="68" t="s">
        <v>3046</v>
      </c>
      <c r="F92" s="68" t="s">
        <v>3148</v>
      </c>
      <c r="G92" s="68" t="s">
        <v>3048</v>
      </c>
      <c r="H92" s="68" t="s">
        <v>3058</v>
      </c>
      <c r="I92" s="68" t="s">
        <v>3050</v>
      </c>
      <c r="J92" s="68" t="s">
        <v>3059</v>
      </c>
      <c r="K92" s="69" t="s">
        <v>3059</v>
      </c>
      <c r="L92" s="69" t="str">
        <f>VLOOKUP(LinkTable6789[[#This Row],[Coluna1]],[4]AlarmCatalog!$A:$M,11,FALSE)</f>
        <v>Severidade 2</v>
      </c>
    </row>
    <row r="93" spans="1:12" s="67" customFormat="1" ht="16.5" customHeight="1" x14ac:dyDescent="0.25">
      <c r="A93" s="68" t="s">
        <v>3226</v>
      </c>
      <c r="B93" s="68" t="s">
        <v>2349</v>
      </c>
      <c r="C93" s="68" t="s">
        <v>2986</v>
      </c>
      <c r="D93" s="68" t="s">
        <v>2809</v>
      </c>
      <c r="E93" s="68" t="s">
        <v>3046</v>
      </c>
      <c r="F93" s="68" t="s">
        <v>3047</v>
      </c>
      <c r="G93" s="68" t="s">
        <v>3057</v>
      </c>
      <c r="H93" s="68" t="s">
        <v>3058</v>
      </c>
      <c r="I93" s="68" t="s">
        <v>3050</v>
      </c>
      <c r="J93" s="68" t="s">
        <v>3101</v>
      </c>
      <c r="K93" s="69" t="s">
        <v>3101</v>
      </c>
      <c r="L93" s="69" t="str">
        <f>VLOOKUP(LinkTable6789[[#This Row],[Coluna1]],[4]AlarmCatalog!$A:$M,11,FALSE)</f>
        <v>Severidade 8</v>
      </c>
    </row>
    <row r="94" spans="1:12" s="67" customFormat="1" ht="16.5" customHeight="1" x14ac:dyDescent="0.25">
      <c r="A94" s="68" t="s">
        <v>3227</v>
      </c>
      <c r="B94" s="68" t="s">
        <v>2349</v>
      </c>
      <c r="C94" s="68" t="s">
        <v>2986</v>
      </c>
      <c r="D94" s="68" t="s">
        <v>2809</v>
      </c>
      <c r="E94" s="68" t="s">
        <v>3053</v>
      </c>
      <c r="F94" s="68" t="s">
        <v>3056</v>
      </c>
      <c r="G94" s="68" t="s">
        <v>3057</v>
      </c>
      <c r="H94" s="68" t="s">
        <v>3058</v>
      </c>
      <c r="I94" s="68" t="s">
        <v>3050</v>
      </c>
      <c r="J94" s="68" t="s">
        <v>3059</v>
      </c>
      <c r="K94" s="69" t="s">
        <v>3059</v>
      </c>
      <c r="L94" s="69" t="str">
        <f>VLOOKUP(LinkTable6789[[#This Row],[Coluna1]],[4]AlarmCatalog!$A:$M,11,FALSE)</f>
        <v>Severidade 2</v>
      </c>
    </row>
    <row r="95" spans="1:12" s="67" customFormat="1" ht="16.5" customHeight="1" x14ac:dyDescent="0.25">
      <c r="A95" s="68" t="s">
        <v>3228</v>
      </c>
      <c r="B95" s="68" t="s">
        <v>2349</v>
      </c>
      <c r="C95" s="68" t="s">
        <v>3094</v>
      </c>
      <c r="D95" s="68" t="s">
        <v>2809</v>
      </c>
      <c r="E95" s="68" t="s">
        <v>3053</v>
      </c>
      <c r="F95" s="68" t="s">
        <v>3180</v>
      </c>
      <c r="G95" s="68" t="s">
        <v>3048</v>
      </c>
      <c r="H95" s="68" t="s">
        <v>3058</v>
      </c>
      <c r="I95" s="68" t="s">
        <v>3050</v>
      </c>
      <c r="J95" s="68" t="s">
        <v>3059</v>
      </c>
      <c r="K95" s="69" t="s">
        <v>3059</v>
      </c>
      <c r="L95" s="69" t="str">
        <f>VLOOKUP(LinkTable6789[[#This Row],[Coluna1]],[4]AlarmCatalog!$A:$M,11,FALSE)</f>
        <v>Severidade 2</v>
      </c>
    </row>
    <row r="96" spans="1:12" s="67" customFormat="1" ht="16.5" customHeight="1" x14ac:dyDescent="0.25">
      <c r="A96" s="68" t="s">
        <v>3229</v>
      </c>
      <c r="B96" s="68" t="s">
        <v>2349</v>
      </c>
      <c r="C96" s="68" t="s">
        <v>3230</v>
      </c>
      <c r="D96" s="68" t="s">
        <v>2809</v>
      </c>
      <c r="E96" s="68" t="s">
        <v>3046</v>
      </c>
      <c r="F96" s="68" t="s">
        <v>3231</v>
      </c>
      <c r="G96" s="68" t="s">
        <v>3048</v>
      </c>
      <c r="H96" s="68" t="s">
        <v>3058</v>
      </c>
      <c r="I96" s="68" t="s">
        <v>3050</v>
      </c>
      <c r="J96" s="68" t="s">
        <v>3059</v>
      </c>
      <c r="K96" s="69" t="s">
        <v>3059</v>
      </c>
      <c r="L96" s="69" t="str">
        <f>VLOOKUP(LinkTable6789[[#This Row],[Coluna1]],[4]AlarmCatalog!$A:$M,11,FALSE)</f>
        <v>Severidade 2</v>
      </c>
    </row>
    <row r="97" spans="1:12" s="67" customFormat="1" ht="16.5" customHeight="1" x14ac:dyDescent="0.25">
      <c r="A97" s="68" t="s">
        <v>3232</v>
      </c>
      <c r="B97" s="68" t="s">
        <v>2349</v>
      </c>
      <c r="C97" s="68" t="s">
        <v>3203</v>
      </c>
      <c r="D97" s="68" t="s">
        <v>2809</v>
      </c>
      <c r="E97" s="68" t="s">
        <v>3053</v>
      </c>
      <c r="F97" s="68" t="s">
        <v>3233</v>
      </c>
      <c r="G97" s="68" t="s">
        <v>3048</v>
      </c>
      <c r="H97" s="68" t="s">
        <v>3075</v>
      </c>
      <c r="I97" s="68" t="s">
        <v>3050</v>
      </c>
      <c r="J97" s="68" t="s">
        <v>3059</v>
      </c>
      <c r="K97" s="69" t="s">
        <v>3059</v>
      </c>
      <c r="L97" s="69" t="str">
        <f>VLOOKUP(LinkTable6789[[#This Row],[Coluna1]],[4]AlarmCatalog!$A:$M,11,FALSE)</f>
        <v>Severidade 2</v>
      </c>
    </row>
    <row r="98" spans="1:12" s="67" customFormat="1" ht="16.5" customHeight="1" x14ac:dyDescent="0.25">
      <c r="A98" s="68" t="s">
        <v>3234</v>
      </c>
      <c r="B98" s="68" t="s">
        <v>2349</v>
      </c>
      <c r="C98" s="68" t="s">
        <v>3230</v>
      </c>
      <c r="D98" s="68" t="s">
        <v>2809</v>
      </c>
      <c r="E98" s="68" t="s">
        <v>3046</v>
      </c>
      <c r="F98" s="68" t="s">
        <v>3235</v>
      </c>
      <c r="G98" s="68" t="s">
        <v>3048</v>
      </c>
      <c r="H98" s="68" t="s">
        <v>3058</v>
      </c>
      <c r="I98" s="68" t="s">
        <v>3050</v>
      </c>
      <c r="J98" s="68" t="s">
        <v>3059</v>
      </c>
      <c r="K98" s="69" t="s">
        <v>3059</v>
      </c>
      <c r="L98" s="69" t="str">
        <f>VLOOKUP(LinkTable6789[[#This Row],[Coluna1]],[4]AlarmCatalog!$A:$M,11,FALSE)</f>
        <v>Severidade 2</v>
      </c>
    </row>
    <row r="99" spans="1:12" s="67" customFormat="1" ht="16.5" customHeight="1" x14ac:dyDescent="0.25">
      <c r="A99" s="68" t="s">
        <v>3236</v>
      </c>
      <c r="B99" s="68" t="s">
        <v>2349</v>
      </c>
      <c r="C99" s="68" t="s">
        <v>2986</v>
      </c>
      <c r="D99" s="68" t="s">
        <v>2809</v>
      </c>
      <c r="E99" s="68" t="s">
        <v>3053</v>
      </c>
      <c r="F99" s="68" t="s">
        <v>3056</v>
      </c>
      <c r="G99" s="68" t="s">
        <v>3057</v>
      </c>
      <c r="H99" s="68" t="s">
        <v>3058</v>
      </c>
      <c r="I99" s="68" t="s">
        <v>3050</v>
      </c>
      <c r="J99" s="68" t="s">
        <v>3061</v>
      </c>
      <c r="K99" s="69" t="s">
        <v>3061</v>
      </c>
      <c r="L99" s="69" t="str">
        <f>VLOOKUP(LinkTable6789[[#This Row],[Coluna1]],[4]AlarmCatalog!$A:$M,11,FALSE)</f>
        <v>Severidade 8</v>
      </c>
    </row>
    <row r="100" spans="1:12" s="67" customFormat="1" ht="16.5" customHeight="1" x14ac:dyDescent="0.25">
      <c r="A100" s="68" t="s">
        <v>3237</v>
      </c>
      <c r="B100" s="68" t="s">
        <v>2349</v>
      </c>
      <c r="C100" s="68" t="s">
        <v>2986</v>
      </c>
      <c r="D100" s="68" t="s">
        <v>2990</v>
      </c>
      <c r="E100" s="68" t="s">
        <v>3053</v>
      </c>
      <c r="F100" s="68" t="s">
        <v>3056</v>
      </c>
      <c r="G100" s="68" t="s">
        <v>3057</v>
      </c>
      <c r="H100" s="68" t="s">
        <v>3058</v>
      </c>
      <c r="I100" s="68" t="s">
        <v>3050</v>
      </c>
      <c r="J100" s="68" t="s">
        <v>3061</v>
      </c>
      <c r="K100" s="69" t="s">
        <v>3061</v>
      </c>
      <c r="L100" s="69" t="str">
        <f>VLOOKUP(LinkTable6789[[#This Row],[Coluna1]],[4]AlarmCatalog!$A:$M,11,FALSE)</f>
        <v>Severidade 8</v>
      </c>
    </row>
    <row r="101" spans="1:12" s="67" customFormat="1" ht="16.5" customHeight="1" x14ac:dyDescent="0.25">
      <c r="A101" s="68" t="s">
        <v>3238</v>
      </c>
      <c r="B101" s="68" t="s">
        <v>2349</v>
      </c>
      <c r="C101" s="68" t="s">
        <v>3103</v>
      </c>
      <c r="D101" s="68" t="s">
        <v>2809</v>
      </c>
      <c r="E101" s="68" t="s">
        <v>3053</v>
      </c>
      <c r="F101" s="68" t="s">
        <v>3239</v>
      </c>
      <c r="G101" s="68" t="s">
        <v>3048</v>
      </c>
      <c r="H101" s="68" t="s">
        <v>3075</v>
      </c>
      <c r="I101" s="68" t="s">
        <v>3050</v>
      </c>
      <c r="J101" s="68" t="s">
        <v>3059</v>
      </c>
      <c r="K101" s="69" t="s">
        <v>3059</v>
      </c>
      <c r="L101" s="69" t="str">
        <f>VLOOKUP(LinkTable6789[[#This Row],[Coluna1]],[4]AlarmCatalog!$A:$M,11,FALSE)</f>
        <v>Severidade 2</v>
      </c>
    </row>
    <row r="102" spans="1:12" s="67" customFormat="1" ht="16.5" customHeight="1" x14ac:dyDescent="0.25">
      <c r="A102" s="68" t="s">
        <v>3240</v>
      </c>
      <c r="B102" s="68" t="s">
        <v>2349</v>
      </c>
      <c r="C102" s="68" t="s">
        <v>2986</v>
      </c>
      <c r="D102" s="68" t="s">
        <v>2990</v>
      </c>
      <c r="E102" s="68" t="s">
        <v>3053</v>
      </c>
      <c r="F102" s="68" t="s">
        <v>3056</v>
      </c>
      <c r="G102" s="68" t="s">
        <v>3057</v>
      </c>
      <c r="H102" s="68" t="s">
        <v>3068</v>
      </c>
      <c r="I102" s="68" t="s">
        <v>3050</v>
      </c>
      <c r="J102" s="68" t="s">
        <v>3061</v>
      </c>
      <c r="K102" s="69" t="s">
        <v>3061</v>
      </c>
      <c r="L102" s="69" t="str">
        <f>VLOOKUP(LinkTable6789[[#This Row],[Coluna1]],[4]AlarmCatalog!$A:$M,11,FALSE)</f>
        <v>Severidade 8</v>
      </c>
    </row>
    <row r="103" spans="1:12" s="67" customFormat="1" ht="16.5" customHeight="1" x14ac:dyDescent="0.25">
      <c r="A103" s="68" t="s">
        <v>1196</v>
      </c>
      <c r="B103" s="68" t="s">
        <v>2349</v>
      </c>
      <c r="C103" s="68" t="s">
        <v>3094</v>
      </c>
      <c r="D103" s="68" t="s">
        <v>2809</v>
      </c>
      <c r="E103" s="68" t="s">
        <v>2809</v>
      </c>
      <c r="F103" s="68" t="s">
        <v>3180</v>
      </c>
      <c r="G103" s="68" t="s">
        <v>3048</v>
      </c>
      <c r="H103" s="68" t="s">
        <v>3058</v>
      </c>
      <c r="I103" s="68" t="s">
        <v>3241</v>
      </c>
      <c r="J103" s="68" t="s">
        <v>3186</v>
      </c>
      <c r="K103" s="69" t="s">
        <v>3186</v>
      </c>
      <c r="L103" s="69" t="str">
        <f>VLOOKUP(LinkTable6789[[#This Row],[Coluna1]],[4]AlarmCatalog!$A:$M,11,FALSE)</f>
        <v>Severidade 2</v>
      </c>
    </row>
    <row r="104" spans="1:12" s="67" customFormat="1" ht="16.5" customHeight="1" x14ac:dyDescent="0.25">
      <c r="A104" s="68" t="s">
        <v>3242</v>
      </c>
      <c r="B104" s="68" t="s">
        <v>2349</v>
      </c>
      <c r="C104" s="68" t="s">
        <v>3094</v>
      </c>
      <c r="D104" s="68" t="s">
        <v>2809</v>
      </c>
      <c r="E104" s="68" t="s">
        <v>3053</v>
      </c>
      <c r="F104" s="68" t="s">
        <v>3180</v>
      </c>
      <c r="G104" s="68" t="s">
        <v>3048</v>
      </c>
      <c r="H104" s="68" t="s">
        <v>3058</v>
      </c>
      <c r="I104" s="68" t="s">
        <v>3050</v>
      </c>
      <c r="J104" s="68" t="s">
        <v>3186</v>
      </c>
      <c r="K104" s="69" t="s">
        <v>3186</v>
      </c>
      <c r="L104" s="69" t="str">
        <f>VLOOKUP(LinkTable6789[[#This Row],[Coluna1]],[4]AlarmCatalog!$A:$M,11,FALSE)</f>
        <v>Severidade 2</v>
      </c>
    </row>
    <row r="105" spans="1:12" s="67" customFormat="1" ht="16.5" customHeight="1" x14ac:dyDescent="0.25">
      <c r="A105" s="68" t="s">
        <v>3243</v>
      </c>
      <c r="B105" s="68" t="s">
        <v>2349</v>
      </c>
      <c r="C105" s="68" t="s">
        <v>3094</v>
      </c>
      <c r="D105" s="68" t="s">
        <v>2809</v>
      </c>
      <c r="E105" s="68" t="s">
        <v>3053</v>
      </c>
      <c r="F105" s="68" t="s">
        <v>3180</v>
      </c>
      <c r="G105" s="68" t="s">
        <v>3048</v>
      </c>
      <c r="H105" s="68" t="s">
        <v>3244</v>
      </c>
      <c r="I105" s="68" t="s">
        <v>3050</v>
      </c>
      <c r="J105" s="68" t="s">
        <v>3183</v>
      </c>
      <c r="K105" s="69" t="s">
        <v>3183</v>
      </c>
      <c r="L105" s="69" t="str">
        <f>VLOOKUP(LinkTable6789[[#This Row],[Coluna1]],[4]AlarmCatalog!$A:$M,11,FALSE)</f>
        <v>Severidade 2</v>
      </c>
    </row>
    <row r="106" spans="1:12" s="67" customFormat="1" ht="16.5" customHeight="1" x14ac:dyDescent="0.25">
      <c r="A106" s="68" t="s">
        <v>3245</v>
      </c>
      <c r="B106" s="68" t="s">
        <v>2349</v>
      </c>
      <c r="C106" s="68" t="s">
        <v>3094</v>
      </c>
      <c r="D106" s="68" t="s">
        <v>2809</v>
      </c>
      <c r="E106" s="68" t="s">
        <v>2990</v>
      </c>
      <c r="F106" s="68" t="s">
        <v>3180</v>
      </c>
      <c r="G106" s="68" t="s">
        <v>3048</v>
      </c>
      <c r="H106" s="68" t="s">
        <v>3058</v>
      </c>
      <c r="I106" s="68" t="s">
        <v>3050</v>
      </c>
      <c r="J106" s="68" t="s">
        <v>3186</v>
      </c>
      <c r="K106" s="69" t="s">
        <v>3186</v>
      </c>
      <c r="L106" s="69" t="str">
        <f>VLOOKUP(LinkTable6789[[#This Row],[Coluna1]],[4]AlarmCatalog!$A:$M,11,FALSE)</f>
        <v>Severidade 2</v>
      </c>
    </row>
    <row r="107" spans="1:12" s="67" customFormat="1" ht="16.5" customHeight="1" x14ac:dyDescent="0.25">
      <c r="A107" s="68" t="s">
        <v>3246</v>
      </c>
      <c r="B107" s="68" t="s">
        <v>2349</v>
      </c>
      <c r="C107" s="68" t="s">
        <v>3094</v>
      </c>
      <c r="D107" s="68" t="s">
        <v>2809</v>
      </c>
      <c r="E107" s="68" t="s">
        <v>3046</v>
      </c>
      <c r="F107" s="68" t="s">
        <v>3180</v>
      </c>
      <c r="G107" s="68" t="s">
        <v>3048</v>
      </c>
      <c r="H107" s="68" t="s">
        <v>3058</v>
      </c>
      <c r="I107" s="68" t="s">
        <v>3050</v>
      </c>
      <c r="J107" s="68" t="s">
        <v>3186</v>
      </c>
      <c r="K107" s="69" t="s">
        <v>3186</v>
      </c>
      <c r="L107" s="69" t="str">
        <f>VLOOKUP(LinkTable6789[[#This Row],[Coluna1]],[4]AlarmCatalog!$A:$M,11,FALSE)</f>
        <v>Severidade 2</v>
      </c>
    </row>
    <row r="108" spans="1:12" s="67" customFormat="1" ht="16.5" customHeight="1" x14ac:dyDescent="0.25">
      <c r="A108" s="68" t="s">
        <v>3247</v>
      </c>
      <c r="B108" s="68" t="s">
        <v>2349</v>
      </c>
      <c r="C108" s="68" t="s">
        <v>3094</v>
      </c>
      <c r="D108" s="68" t="s">
        <v>2809</v>
      </c>
      <c r="E108" s="68" t="s">
        <v>2809</v>
      </c>
      <c r="F108" s="68" t="s">
        <v>3180</v>
      </c>
      <c r="G108" s="68" t="s">
        <v>3048</v>
      </c>
      <c r="H108" s="68" t="s">
        <v>3058</v>
      </c>
      <c r="I108" s="68" t="s">
        <v>3050</v>
      </c>
      <c r="J108" s="68" t="s">
        <v>3181</v>
      </c>
      <c r="K108" s="69" t="s">
        <v>3181</v>
      </c>
      <c r="L108" s="69" t="str">
        <f>VLOOKUP(LinkTable6789[[#This Row],[Coluna1]],[4]AlarmCatalog!$A:$M,11,FALSE)</f>
        <v>Severidade 2</v>
      </c>
    </row>
    <row r="109" spans="1:12" s="67" customFormat="1" ht="16.5" customHeight="1" x14ac:dyDescent="0.25">
      <c r="A109" s="68" t="s">
        <v>3248</v>
      </c>
      <c r="B109" s="68" t="s">
        <v>2349</v>
      </c>
      <c r="C109" s="68" t="s">
        <v>3094</v>
      </c>
      <c r="D109" s="68" t="s">
        <v>2809</v>
      </c>
      <c r="E109" s="68" t="s">
        <v>3053</v>
      </c>
      <c r="F109" s="68" t="s">
        <v>3180</v>
      </c>
      <c r="G109" s="68" t="s">
        <v>3048</v>
      </c>
      <c r="H109" s="68" t="s">
        <v>3249</v>
      </c>
      <c r="I109" s="68" t="s">
        <v>3050</v>
      </c>
      <c r="J109" s="68" t="s">
        <v>3181</v>
      </c>
      <c r="K109" s="69" t="s">
        <v>3181</v>
      </c>
      <c r="L109" s="69" t="str">
        <f>VLOOKUP(LinkTable6789[[#This Row],[Coluna1]],[4]AlarmCatalog!$A:$M,11,FALSE)</f>
        <v>Severidade 2</v>
      </c>
    </row>
    <row r="110" spans="1:12" s="67" customFormat="1" ht="16.5" customHeight="1" x14ac:dyDescent="0.25">
      <c r="A110" s="68" t="s">
        <v>3250</v>
      </c>
      <c r="B110" s="68" t="s">
        <v>2349</v>
      </c>
      <c r="C110" s="68" t="s">
        <v>3094</v>
      </c>
      <c r="D110" s="68" t="s">
        <v>2809</v>
      </c>
      <c r="E110" s="68" t="s">
        <v>3053</v>
      </c>
      <c r="F110" s="68" t="s">
        <v>3180</v>
      </c>
      <c r="G110" s="68" t="s">
        <v>3048</v>
      </c>
      <c r="H110" s="68" t="s">
        <v>3058</v>
      </c>
      <c r="I110" s="68" t="s">
        <v>3050</v>
      </c>
      <c r="J110" s="68" t="s">
        <v>3181</v>
      </c>
      <c r="K110" s="69" t="s">
        <v>3181</v>
      </c>
      <c r="L110" s="69" t="str">
        <f>VLOOKUP(LinkTable6789[[#This Row],[Coluna1]],[4]AlarmCatalog!$A:$M,11,FALSE)</f>
        <v>Severidade 2</v>
      </c>
    </row>
    <row r="111" spans="1:12" s="67" customFormat="1" ht="16.5" customHeight="1" x14ac:dyDescent="0.25">
      <c r="A111" s="68" t="s">
        <v>1197</v>
      </c>
      <c r="B111" s="68" t="s">
        <v>2349</v>
      </c>
      <c r="C111" s="68" t="s">
        <v>3094</v>
      </c>
      <c r="D111" s="68" t="s">
        <v>2809</v>
      </c>
      <c r="E111" s="68" t="s">
        <v>2809</v>
      </c>
      <c r="F111" s="68" t="s">
        <v>3180</v>
      </c>
      <c r="G111" s="68" t="s">
        <v>3048</v>
      </c>
      <c r="H111" s="68" t="s">
        <v>3058</v>
      </c>
      <c r="I111" s="68" t="s">
        <v>3050</v>
      </c>
      <c r="J111" s="68" t="s">
        <v>3183</v>
      </c>
      <c r="K111" s="69" t="s">
        <v>3183</v>
      </c>
      <c r="L111" s="69" t="str">
        <f>VLOOKUP(LinkTable6789[[#This Row],[Coluna1]],[4]AlarmCatalog!$A:$M,11,FALSE)</f>
        <v>Severidade 2</v>
      </c>
    </row>
    <row r="112" spans="1:12" s="67" customFormat="1" ht="16.5" customHeight="1" x14ac:dyDescent="0.25">
      <c r="A112" s="68" t="s">
        <v>3251</v>
      </c>
      <c r="B112" s="68" t="s">
        <v>2349</v>
      </c>
      <c r="C112" s="68" t="s">
        <v>3097</v>
      </c>
      <c r="D112" s="68" t="s">
        <v>2809</v>
      </c>
      <c r="E112" s="68" t="s">
        <v>2809</v>
      </c>
      <c r="F112" s="68" t="s">
        <v>3047</v>
      </c>
      <c r="G112" s="68" t="s">
        <v>3048</v>
      </c>
      <c r="H112" s="68" t="s">
        <v>3191</v>
      </c>
      <c r="I112" s="68" t="s">
        <v>3050</v>
      </c>
      <c r="J112" s="68" t="s">
        <v>3183</v>
      </c>
      <c r="K112" s="69" t="s">
        <v>3183</v>
      </c>
      <c r="L112" s="69" t="str">
        <f>VLOOKUP(LinkTable6789[[#This Row],[Coluna1]],[4]AlarmCatalog!$A:$M,11,FALSE)</f>
        <v>Severidade 2</v>
      </c>
    </row>
    <row r="113" spans="1:12" s="67" customFormat="1" ht="16.5" customHeight="1" x14ac:dyDescent="0.25">
      <c r="A113" s="68" t="s">
        <v>3252</v>
      </c>
      <c r="B113" s="68" t="s">
        <v>2349</v>
      </c>
      <c r="C113" s="68" t="s">
        <v>3253</v>
      </c>
      <c r="D113" s="68" t="s">
        <v>2809</v>
      </c>
      <c r="E113" s="68" t="s">
        <v>3046</v>
      </c>
      <c r="F113" s="68" t="s">
        <v>3047</v>
      </c>
      <c r="G113" s="68" t="s">
        <v>3048</v>
      </c>
      <c r="H113" s="68" t="s">
        <v>3058</v>
      </c>
      <c r="I113" s="68" t="s">
        <v>3050</v>
      </c>
      <c r="J113" s="68" t="s">
        <v>3183</v>
      </c>
      <c r="K113" s="69" t="s">
        <v>3183</v>
      </c>
      <c r="L113" s="69" t="str">
        <f>VLOOKUP(LinkTable6789[[#This Row],[Coluna1]],[4]AlarmCatalog!$A:$M,11,FALSE)</f>
        <v>Severidade 2</v>
      </c>
    </row>
    <row r="114" spans="1:12" s="67" customFormat="1" ht="16.5" customHeight="1" x14ac:dyDescent="0.25">
      <c r="A114" s="68" t="s">
        <v>3254</v>
      </c>
      <c r="B114" s="68" t="s">
        <v>2349</v>
      </c>
      <c r="C114" s="68" t="s">
        <v>3094</v>
      </c>
      <c r="D114" s="68" t="s">
        <v>2809</v>
      </c>
      <c r="E114" s="68" t="s">
        <v>2990</v>
      </c>
      <c r="F114" s="68" t="s">
        <v>3047</v>
      </c>
      <c r="G114" s="68" t="s">
        <v>3048</v>
      </c>
      <c r="H114" s="68" t="s">
        <v>3058</v>
      </c>
      <c r="I114" s="68" t="s">
        <v>3050</v>
      </c>
      <c r="J114" s="68" t="s">
        <v>3183</v>
      </c>
      <c r="K114" s="69" t="s">
        <v>3183</v>
      </c>
      <c r="L114" s="69" t="str">
        <f>VLOOKUP(LinkTable6789[[#This Row],[Coluna1]],[4]AlarmCatalog!$A:$M,11,FALSE)</f>
        <v>Severidade 2</v>
      </c>
    </row>
    <row r="115" spans="1:12" s="67" customFormat="1" ht="16.5" customHeight="1" x14ac:dyDescent="0.25">
      <c r="A115" s="68" t="s">
        <v>3255</v>
      </c>
      <c r="B115" s="68" t="s">
        <v>2349</v>
      </c>
      <c r="C115" s="68" t="s">
        <v>3094</v>
      </c>
      <c r="D115" s="68" t="s">
        <v>2809</v>
      </c>
      <c r="E115" s="68" t="s">
        <v>3053</v>
      </c>
      <c r="F115" s="68" t="s">
        <v>3180</v>
      </c>
      <c r="G115" s="68" t="s">
        <v>3048</v>
      </c>
      <c r="H115" s="68" t="s">
        <v>3058</v>
      </c>
      <c r="I115" s="68" t="s">
        <v>3050</v>
      </c>
      <c r="J115" s="68" t="s">
        <v>3256</v>
      </c>
      <c r="K115" s="69" t="s">
        <v>3256</v>
      </c>
      <c r="L115" s="69" t="str">
        <f>VLOOKUP(LinkTable6789[[#This Row],[Coluna1]],[4]AlarmCatalog!$A:$M,11,FALSE)</f>
        <v>Severidade 2</v>
      </c>
    </row>
    <row r="116" spans="1:12" s="67" customFormat="1" ht="16.5" customHeight="1" x14ac:dyDescent="0.25">
      <c r="A116" s="68" t="s">
        <v>3257</v>
      </c>
      <c r="B116" s="68" t="s">
        <v>2349</v>
      </c>
      <c r="C116" s="68" t="s">
        <v>3094</v>
      </c>
      <c r="D116" s="68" t="s">
        <v>2809</v>
      </c>
      <c r="E116" s="68" t="s">
        <v>3046</v>
      </c>
      <c r="F116" s="68" t="s">
        <v>3047</v>
      </c>
      <c r="G116" s="68" t="s">
        <v>3048</v>
      </c>
      <c r="H116" s="68" t="s">
        <v>3058</v>
      </c>
      <c r="I116" s="68" t="s">
        <v>3050</v>
      </c>
      <c r="J116" s="68" t="s">
        <v>3183</v>
      </c>
      <c r="K116" s="69" t="s">
        <v>3183</v>
      </c>
      <c r="L116" s="69" t="str">
        <f>VLOOKUP(LinkTable6789[[#This Row],[Coluna1]],[4]AlarmCatalog!$A:$M,11,FALSE)</f>
        <v>Severidade 2</v>
      </c>
    </row>
    <row r="117" spans="1:12" s="67" customFormat="1" ht="16.5" customHeight="1" x14ac:dyDescent="0.25">
      <c r="A117" s="68" t="s">
        <v>3258</v>
      </c>
      <c r="B117" s="68" t="s">
        <v>2349</v>
      </c>
      <c r="C117" s="68" t="s">
        <v>2991</v>
      </c>
      <c r="D117" s="68" t="s">
        <v>2809</v>
      </c>
      <c r="E117" s="68" t="s">
        <v>3053</v>
      </c>
      <c r="F117" s="68" t="s">
        <v>3047</v>
      </c>
      <c r="G117" s="68" t="s">
        <v>3048</v>
      </c>
      <c r="H117" s="68" t="s">
        <v>3075</v>
      </c>
      <c r="I117" s="68" t="s">
        <v>3050</v>
      </c>
      <c r="J117" s="68" t="s">
        <v>3183</v>
      </c>
      <c r="K117" s="69" t="s">
        <v>3183</v>
      </c>
      <c r="L117" s="69" t="str">
        <f>VLOOKUP(LinkTable6789[[#This Row],[Coluna1]],[4]AlarmCatalog!$A:$M,11,FALSE)</f>
        <v>Severidade 2</v>
      </c>
    </row>
    <row r="118" spans="1:12" s="67" customFormat="1" ht="16.5" customHeight="1" x14ac:dyDescent="0.25">
      <c r="A118" s="68" t="s">
        <v>3259</v>
      </c>
      <c r="B118" s="68" t="s">
        <v>2349</v>
      </c>
      <c r="C118" s="68" t="s">
        <v>3094</v>
      </c>
      <c r="D118" s="68" t="s">
        <v>2809</v>
      </c>
      <c r="E118" s="68" t="s">
        <v>3046</v>
      </c>
      <c r="F118" s="68" t="s">
        <v>3047</v>
      </c>
      <c r="G118" s="68" t="s">
        <v>3048</v>
      </c>
      <c r="H118" s="68" t="s">
        <v>3058</v>
      </c>
      <c r="I118" s="68" t="s">
        <v>3050</v>
      </c>
      <c r="J118" s="68" t="s">
        <v>3183</v>
      </c>
      <c r="K118" s="69" t="s">
        <v>3183</v>
      </c>
      <c r="L118" s="69" t="str">
        <f>VLOOKUP(LinkTable6789[[#This Row],[Coluna1]],[4]AlarmCatalog!$A:$M,11,FALSE)</f>
        <v>Severidade 2</v>
      </c>
    </row>
    <row r="119" spans="1:12" s="67" customFormat="1" ht="16.5" customHeight="1" x14ac:dyDescent="0.25">
      <c r="A119" s="68" t="s">
        <v>3260</v>
      </c>
      <c r="B119" s="68" t="s">
        <v>2349</v>
      </c>
      <c r="C119" s="68" t="s">
        <v>2991</v>
      </c>
      <c r="D119" s="68" t="s">
        <v>2809</v>
      </c>
      <c r="E119" s="68" t="s">
        <v>3046</v>
      </c>
      <c r="F119" s="68" t="s">
        <v>3047</v>
      </c>
      <c r="G119" s="68" t="s">
        <v>3048</v>
      </c>
      <c r="H119" s="68" t="s">
        <v>3075</v>
      </c>
      <c r="I119" s="68" t="s">
        <v>3050</v>
      </c>
      <c r="J119" s="68" t="s">
        <v>3183</v>
      </c>
      <c r="K119" s="69" t="s">
        <v>3183</v>
      </c>
      <c r="L119" s="69" t="str">
        <f>VLOOKUP(LinkTable6789[[#This Row],[Coluna1]],[4]AlarmCatalog!$A:$M,11,FALSE)</f>
        <v>Severidade 2</v>
      </c>
    </row>
    <row r="120" spans="1:12" s="67" customFormat="1" ht="16.5" customHeight="1" x14ac:dyDescent="0.25">
      <c r="A120" s="68" t="s">
        <v>3261</v>
      </c>
      <c r="B120" s="68" t="s">
        <v>2349</v>
      </c>
      <c r="C120" s="68" t="s">
        <v>3097</v>
      </c>
      <c r="D120" s="68" t="s">
        <v>2809</v>
      </c>
      <c r="E120" s="68" t="s">
        <v>3053</v>
      </c>
      <c r="F120" s="68" t="s">
        <v>3047</v>
      </c>
      <c r="G120" s="68" t="s">
        <v>3048</v>
      </c>
      <c r="H120" s="68" t="s">
        <v>3058</v>
      </c>
      <c r="I120" s="68" t="s">
        <v>3050</v>
      </c>
      <c r="J120" s="68" t="s">
        <v>3183</v>
      </c>
      <c r="K120" s="69" t="s">
        <v>3183</v>
      </c>
      <c r="L120" s="69" t="str">
        <f>VLOOKUP(LinkTable6789[[#This Row],[Coluna1]],[4]AlarmCatalog!$A:$M,11,FALSE)</f>
        <v>Severidade 2</v>
      </c>
    </row>
    <row r="121" spans="1:12" s="67" customFormat="1" ht="16.5" customHeight="1" x14ac:dyDescent="0.25">
      <c r="A121" s="68" t="s">
        <v>3262</v>
      </c>
      <c r="B121" s="68" t="s">
        <v>2349</v>
      </c>
      <c r="C121" s="68" t="s">
        <v>3263</v>
      </c>
      <c r="D121" s="68" t="s">
        <v>2809</v>
      </c>
      <c r="E121" s="68" t="s">
        <v>3053</v>
      </c>
      <c r="F121" s="68" t="s">
        <v>3047</v>
      </c>
      <c r="G121" s="68" t="s">
        <v>3048</v>
      </c>
      <c r="H121" s="68" t="s">
        <v>3058</v>
      </c>
      <c r="I121" s="68" t="s">
        <v>3050</v>
      </c>
      <c r="J121" s="68" t="s">
        <v>3183</v>
      </c>
      <c r="K121" s="69" t="s">
        <v>3183</v>
      </c>
      <c r="L121" s="69" t="str">
        <f>VLOOKUP(LinkTable6789[[#This Row],[Coluna1]],[4]AlarmCatalog!$A:$M,11,FALSE)</f>
        <v>Severidade 2</v>
      </c>
    </row>
    <row r="122" spans="1:12" s="67" customFormat="1" ht="16.5" customHeight="1" x14ac:dyDescent="0.25">
      <c r="A122" s="68" t="s">
        <v>3264</v>
      </c>
      <c r="B122" s="68" t="s">
        <v>2349</v>
      </c>
      <c r="C122" s="68" t="s">
        <v>3094</v>
      </c>
      <c r="D122" s="68" t="s">
        <v>2809</v>
      </c>
      <c r="E122" s="68" t="s">
        <v>3053</v>
      </c>
      <c r="F122" s="68" t="s">
        <v>3180</v>
      </c>
      <c r="G122" s="68" t="s">
        <v>3048</v>
      </c>
      <c r="H122" s="68" t="s">
        <v>3058</v>
      </c>
      <c r="I122" s="68" t="s">
        <v>3050</v>
      </c>
      <c r="J122" s="68" t="s">
        <v>3186</v>
      </c>
      <c r="K122" s="69" t="s">
        <v>3186</v>
      </c>
      <c r="L122" s="69" t="str">
        <f>VLOOKUP(LinkTable6789[[#This Row],[Coluna1]],[4]AlarmCatalog!$A:$M,11,FALSE)</f>
        <v>Severidade 2</v>
      </c>
    </row>
    <row r="123" spans="1:12" s="67" customFormat="1" ht="16.5" customHeight="1" x14ac:dyDescent="0.25">
      <c r="A123" s="68" t="s">
        <v>3265</v>
      </c>
      <c r="B123" s="68" t="s">
        <v>2349</v>
      </c>
      <c r="C123" s="68" t="s">
        <v>3266</v>
      </c>
      <c r="D123" s="68" t="s">
        <v>2990</v>
      </c>
      <c r="E123" s="68" t="s">
        <v>3046</v>
      </c>
      <c r="F123" s="68" t="s">
        <v>3267</v>
      </c>
      <c r="G123" s="68" t="s">
        <v>3268</v>
      </c>
      <c r="H123" s="68" t="s">
        <v>3269</v>
      </c>
      <c r="I123" s="68" t="s">
        <v>3241</v>
      </c>
      <c r="J123" s="68" t="s">
        <v>3186</v>
      </c>
      <c r="K123" s="69" t="s">
        <v>3186</v>
      </c>
      <c r="L123" s="69" t="str">
        <f>VLOOKUP(LinkTable6789[[#This Row],[Coluna1]],[4]AlarmCatalog!$A:$M,11,FALSE)</f>
        <v>Severidade 2</v>
      </c>
    </row>
    <row r="124" spans="1:12" s="67" customFormat="1" ht="16.5" customHeight="1" x14ac:dyDescent="0.25">
      <c r="A124" s="68" t="s">
        <v>3270</v>
      </c>
      <c r="B124" s="68" t="s">
        <v>2349</v>
      </c>
      <c r="C124" s="68" t="s">
        <v>3271</v>
      </c>
      <c r="D124" s="68" t="s">
        <v>2809</v>
      </c>
      <c r="E124" s="68" t="s">
        <v>3053</v>
      </c>
      <c r="F124" s="68" t="s">
        <v>3272</v>
      </c>
      <c r="G124" s="68" t="s">
        <v>3268</v>
      </c>
      <c r="H124" s="68" t="s">
        <v>3269</v>
      </c>
      <c r="I124" s="68" t="s">
        <v>3241</v>
      </c>
      <c r="J124" s="68" t="s">
        <v>3186</v>
      </c>
      <c r="K124" s="69" t="s">
        <v>3186</v>
      </c>
      <c r="L124" s="69" t="str">
        <f>VLOOKUP(LinkTable6789[[#This Row],[Coluna1]],[4]AlarmCatalog!$A:$M,11,FALSE)</f>
        <v>Severidade 2</v>
      </c>
    </row>
    <row r="125" spans="1:12" s="67" customFormat="1" ht="16.5" customHeight="1" x14ac:dyDescent="0.25">
      <c r="A125" s="68" t="s">
        <v>3273</v>
      </c>
      <c r="B125" s="68" t="s">
        <v>2349</v>
      </c>
      <c r="C125" s="68" t="s">
        <v>2985</v>
      </c>
      <c r="D125" s="68" t="s">
        <v>2809</v>
      </c>
      <c r="E125" s="68" t="s">
        <v>3053</v>
      </c>
      <c r="F125" s="68" t="s">
        <v>3047</v>
      </c>
      <c r="G125" s="68" t="s">
        <v>3048</v>
      </c>
      <c r="H125" s="68" t="s">
        <v>3058</v>
      </c>
      <c r="I125" s="68" t="s">
        <v>3050</v>
      </c>
      <c r="J125" s="68" t="s">
        <v>3125</v>
      </c>
      <c r="K125" s="69" t="s">
        <v>3059</v>
      </c>
      <c r="L125" s="69" t="str">
        <f>VLOOKUP(LinkTable6789[[#This Row],[Coluna1]],[4]AlarmCatalog!$A:$M,11,FALSE)</f>
        <v>Severidade 2</v>
      </c>
    </row>
    <row r="126" spans="1:12" s="67" customFormat="1" ht="16.5" customHeight="1" x14ac:dyDescent="0.25">
      <c r="A126" s="68" t="s">
        <v>3274</v>
      </c>
      <c r="B126" s="68" t="s">
        <v>2349</v>
      </c>
      <c r="C126" s="68" t="s">
        <v>2985</v>
      </c>
      <c r="D126" s="68" t="s">
        <v>2809</v>
      </c>
      <c r="E126" s="68" t="s">
        <v>3053</v>
      </c>
      <c r="F126" s="68" t="s">
        <v>3153</v>
      </c>
      <c r="G126" s="68" t="s">
        <v>3048</v>
      </c>
      <c r="H126" s="68" t="s">
        <v>3058</v>
      </c>
      <c r="I126" s="68" t="s">
        <v>3050</v>
      </c>
      <c r="J126" s="68" t="s">
        <v>3125</v>
      </c>
      <c r="K126" s="69" t="s">
        <v>3059</v>
      </c>
      <c r="L126" s="69" t="str">
        <f>VLOOKUP(LinkTable6789[[#This Row],[Coluna1]],[4]AlarmCatalog!$A:$M,11,FALSE)</f>
        <v>Severidade 2</v>
      </c>
    </row>
    <row r="127" spans="1:12" s="67" customFormat="1" ht="16.5" customHeight="1" x14ac:dyDescent="0.25">
      <c r="A127" s="68" t="s">
        <v>3275</v>
      </c>
      <c r="B127" s="68" t="s">
        <v>2349</v>
      </c>
      <c r="C127" s="68" t="s">
        <v>3094</v>
      </c>
      <c r="D127" s="68" t="s">
        <v>2809</v>
      </c>
      <c r="E127" s="68" t="s">
        <v>2809</v>
      </c>
      <c r="F127" s="68" t="s">
        <v>3180</v>
      </c>
      <c r="G127" s="68" t="s">
        <v>3048</v>
      </c>
      <c r="H127" s="68" t="s">
        <v>3068</v>
      </c>
      <c r="I127" s="68" t="s">
        <v>3050</v>
      </c>
      <c r="J127" s="68" t="s">
        <v>3186</v>
      </c>
      <c r="K127" s="69" t="s">
        <v>3186</v>
      </c>
      <c r="L127" s="69" t="str">
        <f>VLOOKUP(LinkTable6789[[#This Row],[Coluna1]],[4]AlarmCatalog!$A:$M,11,FALSE)</f>
        <v>Severidade 2</v>
      </c>
    </row>
    <row r="128" spans="1:12" s="67" customFormat="1" ht="16.5" customHeight="1" x14ac:dyDescent="0.25">
      <c r="A128" s="68" t="s">
        <v>3276</v>
      </c>
      <c r="B128" s="68" t="s">
        <v>2349</v>
      </c>
      <c r="C128" s="68" t="s">
        <v>3094</v>
      </c>
      <c r="D128" s="68" t="s">
        <v>2809</v>
      </c>
      <c r="E128" s="68" t="s">
        <v>2809</v>
      </c>
      <c r="F128" s="68" t="s">
        <v>3180</v>
      </c>
      <c r="G128" s="68" t="s">
        <v>3048</v>
      </c>
      <c r="H128" s="68" t="s">
        <v>3058</v>
      </c>
      <c r="I128" s="68" t="s">
        <v>3050</v>
      </c>
      <c r="J128" s="68" t="s">
        <v>3256</v>
      </c>
      <c r="K128" s="69" t="s">
        <v>3256</v>
      </c>
      <c r="L128" s="69" t="str">
        <f>VLOOKUP(LinkTable6789[[#This Row],[Coluna1]],[4]AlarmCatalog!$A:$M,11,FALSE)</f>
        <v>Severidade 2</v>
      </c>
    </row>
    <row r="129" spans="1:12" s="67" customFormat="1" ht="16.5" customHeight="1" x14ac:dyDescent="0.25">
      <c r="A129" s="68" t="s">
        <v>3277</v>
      </c>
      <c r="B129" s="68" t="s">
        <v>2349</v>
      </c>
      <c r="C129" s="68" t="s">
        <v>2985</v>
      </c>
      <c r="D129" s="68" t="s">
        <v>2809</v>
      </c>
      <c r="E129" s="68" t="s">
        <v>3046</v>
      </c>
      <c r="F129" s="68" t="s">
        <v>3278</v>
      </c>
      <c r="G129" s="68" t="s">
        <v>3048</v>
      </c>
      <c r="H129" s="68" t="s">
        <v>3058</v>
      </c>
      <c r="I129" s="68" t="s">
        <v>3050</v>
      </c>
      <c r="J129" s="68" t="s">
        <v>3125</v>
      </c>
      <c r="K129" s="69" t="s">
        <v>3059</v>
      </c>
      <c r="L129" s="69" t="str">
        <f>VLOOKUP(LinkTable6789[[#This Row],[Coluna1]],[4]AlarmCatalog!$A:$M,11,FALSE)</f>
        <v>Severidade 2</v>
      </c>
    </row>
    <row r="130" spans="1:12" s="67" customFormat="1" ht="16.5" customHeight="1" x14ac:dyDescent="0.25">
      <c r="A130" s="68" t="s">
        <v>3279</v>
      </c>
      <c r="B130" s="68" t="s">
        <v>2349</v>
      </c>
      <c r="C130" s="68" t="s">
        <v>2985</v>
      </c>
      <c r="D130" s="68" t="s">
        <v>2809</v>
      </c>
      <c r="E130" s="68" t="s">
        <v>3053</v>
      </c>
      <c r="F130" s="68" t="s">
        <v>3280</v>
      </c>
      <c r="G130" s="68" t="s">
        <v>3048</v>
      </c>
      <c r="H130" s="68" t="s">
        <v>3058</v>
      </c>
      <c r="I130" s="68" t="s">
        <v>3050</v>
      </c>
      <c r="J130" s="68" t="s">
        <v>3125</v>
      </c>
      <c r="K130" s="69" t="s">
        <v>3059</v>
      </c>
      <c r="L130" s="69" t="str">
        <f>VLOOKUP(LinkTable6789[[#This Row],[Coluna1]],[4]AlarmCatalog!$A:$M,11,FALSE)</f>
        <v>Severidade 2</v>
      </c>
    </row>
    <row r="131" spans="1:12" s="67" customFormat="1" ht="16.5" customHeight="1" x14ac:dyDescent="0.25">
      <c r="A131" s="68" t="s">
        <v>3281</v>
      </c>
      <c r="B131" s="68" t="s">
        <v>2349</v>
      </c>
      <c r="C131" s="68" t="s">
        <v>2991</v>
      </c>
      <c r="D131" s="68" t="s">
        <v>2809</v>
      </c>
      <c r="E131" s="68" t="s">
        <v>3053</v>
      </c>
      <c r="F131" s="68" t="s">
        <v>3047</v>
      </c>
      <c r="G131" s="68" t="s">
        <v>3048</v>
      </c>
      <c r="H131" s="68" t="s">
        <v>3058</v>
      </c>
      <c r="I131" s="68" t="s">
        <v>3050</v>
      </c>
      <c r="J131" s="68" t="s">
        <v>3282</v>
      </c>
      <c r="K131" s="69" t="s">
        <v>3282</v>
      </c>
      <c r="L131" s="69" t="str">
        <f>VLOOKUP(LinkTable6789[[#This Row],[Coluna1]],[4]AlarmCatalog!$A:$M,11,FALSE)</f>
        <v>Severidade 3</v>
      </c>
    </row>
    <row r="132" spans="1:12" s="67" customFormat="1" ht="16.5" customHeight="1" x14ac:dyDescent="0.25">
      <c r="A132" s="68" t="s">
        <v>3283</v>
      </c>
      <c r="B132" s="68" t="s">
        <v>2349</v>
      </c>
      <c r="C132" s="68" t="s">
        <v>2991</v>
      </c>
      <c r="D132" s="68" t="s">
        <v>2809</v>
      </c>
      <c r="E132" s="68" t="s">
        <v>3053</v>
      </c>
      <c r="F132" s="68" t="s">
        <v>3079</v>
      </c>
      <c r="G132" s="68" t="s">
        <v>3048</v>
      </c>
      <c r="H132" s="68" t="s">
        <v>3058</v>
      </c>
      <c r="I132" s="68" t="s">
        <v>3050</v>
      </c>
      <c r="J132" s="68" t="s">
        <v>3284</v>
      </c>
      <c r="K132" s="69" t="s">
        <v>3284</v>
      </c>
      <c r="L132" s="69" t="str">
        <f>VLOOKUP(LinkTable6789[[#This Row],[Coluna1]],[4]AlarmCatalog!$A:$M,11,FALSE)</f>
        <v>Severidade 3</v>
      </c>
    </row>
    <row r="133" spans="1:12" s="67" customFormat="1" ht="16.5" customHeight="1" x14ac:dyDescent="0.25">
      <c r="A133" s="68" t="s">
        <v>133</v>
      </c>
      <c r="B133" s="68" t="s">
        <v>2349</v>
      </c>
      <c r="C133" s="68" t="s">
        <v>2991</v>
      </c>
      <c r="D133" s="68" t="s">
        <v>2809</v>
      </c>
      <c r="E133" s="68" t="s">
        <v>3053</v>
      </c>
      <c r="F133" s="68" t="s">
        <v>3047</v>
      </c>
      <c r="G133" s="68" t="s">
        <v>3048</v>
      </c>
      <c r="H133" s="68" t="s">
        <v>3058</v>
      </c>
      <c r="I133" s="68" t="s">
        <v>3050</v>
      </c>
      <c r="J133" s="68" t="s">
        <v>3282</v>
      </c>
      <c r="K133" s="69" t="s">
        <v>3282</v>
      </c>
      <c r="L133" s="69" t="str">
        <f>VLOOKUP(LinkTable6789[[#This Row],[Coluna1]],[4]AlarmCatalog!$A:$M,11,FALSE)</f>
        <v>Severidade 3</v>
      </c>
    </row>
    <row r="134" spans="1:12" s="67" customFormat="1" ht="16.5" customHeight="1" x14ac:dyDescent="0.25">
      <c r="A134" s="68" t="s">
        <v>3285</v>
      </c>
      <c r="B134" s="68" t="s">
        <v>2349</v>
      </c>
      <c r="C134" s="68" t="s">
        <v>3286</v>
      </c>
      <c r="D134" s="68" t="s">
        <v>2809</v>
      </c>
      <c r="E134" s="68" t="s">
        <v>3046</v>
      </c>
      <c r="F134" s="68" t="s">
        <v>3047</v>
      </c>
      <c r="G134" s="68" t="s">
        <v>3048</v>
      </c>
      <c r="H134" s="68" t="s">
        <v>3058</v>
      </c>
      <c r="I134" s="68" t="s">
        <v>3050</v>
      </c>
      <c r="J134" s="68" t="s">
        <v>3282</v>
      </c>
      <c r="K134" s="69" t="s">
        <v>3282</v>
      </c>
      <c r="L134" s="69" t="str">
        <f>VLOOKUP(LinkTable6789[[#This Row],[Coluna1]],[4]AlarmCatalog!$A:$M,11,FALSE)</f>
        <v>Severidade 3</v>
      </c>
    </row>
    <row r="135" spans="1:12" s="67" customFormat="1" ht="16.5" customHeight="1" x14ac:dyDescent="0.25">
      <c r="A135" s="68" t="s">
        <v>3287</v>
      </c>
      <c r="B135" s="68" t="s">
        <v>2349</v>
      </c>
      <c r="C135" s="68" t="s">
        <v>3286</v>
      </c>
      <c r="D135" s="68" t="s">
        <v>2809</v>
      </c>
      <c r="E135" s="68" t="s">
        <v>3053</v>
      </c>
      <c r="F135" s="68" t="s">
        <v>3047</v>
      </c>
      <c r="G135" s="68" t="s">
        <v>3048</v>
      </c>
      <c r="H135" s="68" t="s">
        <v>3058</v>
      </c>
      <c r="I135" s="68" t="s">
        <v>3050</v>
      </c>
      <c r="J135" s="68" t="s">
        <v>3282</v>
      </c>
      <c r="K135" s="69" t="s">
        <v>3282</v>
      </c>
      <c r="L135" s="69" t="str">
        <f>VLOOKUP(LinkTable6789[[#This Row],[Coluna1]],[4]AlarmCatalog!$A:$M,11,FALSE)</f>
        <v>Severidade 3</v>
      </c>
    </row>
    <row r="136" spans="1:12" s="67" customFormat="1" ht="16.5" customHeight="1" x14ac:dyDescent="0.25">
      <c r="A136" s="68" t="s">
        <v>3288</v>
      </c>
      <c r="B136" s="68" t="s">
        <v>2349</v>
      </c>
      <c r="C136" s="68" t="s">
        <v>2991</v>
      </c>
      <c r="D136" s="68" t="s">
        <v>2809</v>
      </c>
      <c r="E136" s="68" t="s">
        <v>3046</v>
      </c>
      <c r="F136" s="68" t="s">
        <v>3047</v>
      </c>
      <c r="G136" s="68" t="s">
        <v>3048</v>
      </c>
      <c r="H136" s="68" t="s">
        <v>3058</v>
      </c>
      <c r="I136" s="68" t="s">
        <v>3050</v>
      </c>
      <c r="J136" s="68" t="s">
        <v>3282</v>
      </c>
      <c r="K136" s="69" t="s">
        <v>3282</v>
      </c>
      <c r="L136" s="69" t="str">
        <f>VLOOKUP(LinkTable6789[[#This Row],[Coluna1]],[4]AlarmCatalog!$A:$M,11,FALSE)</f>
        <v>Severidade 3</v>
      </c>
    </row>
    <row r="137" spans="1:12" s="67" customFormat="1" ht="16.5" customHeight="1" x14ac:dyDescent="0.25">
      <c r="A137" s="68" t="s">
        <v>3289</v>
      </c>
      <c r="B137" s="68" t="s">
        <v>2349</v>
      </c>
      <c r="C137" s="68" t="s">
        <v>3286</v>
      </c>
      <c r="D137" s="68" t="s">
        <v>2809</v>
      </c>
      <c r="E137" s="68" t="s">
        <v>3046</v>
      </c>
      <c r="F137" s="68" t="s">
        <v>3047</v>
      </c>
      <c r="G137" s="68" t="s">
        <v>3048</v>
      </c>
      <c r="H137" s="68" t="s">
        <v>3058</v>
      </c>
      <c r="I137" s="68" t="s">
        <v>3050</v>
      </c>
      <c r="J137" s="68" t="s">
        <v>3282</v>
      </c>
      <c r="K137" s="69" t="s">
        <v>3282</v>
      </c>
      <c r="L137" s="69" t="str">
        <f>VLOOKUP(LinkTable6789[[#This Row],[Coluna1]],[4]AlarmCatalog!$A:$M,11,FALSE)</f>
        <v>Severidade 3</v>
      </c>
    </row>
    <row r="138" spans="1:12" s="67" customFormat="1" ht="16.5" customHeight="1" x14ac:dyDescent="0.25">
      <c r="A138" s="68" t="s">
        <v>1200</v>
      </c>
      <c r="B138" s="68" t="s">
        <v>2349</v>
      </c>
      <c r="C138" s="68" t="s">
        <v>2988</v>
      </c>
      <c r="D138" s="68" t="s">
        <v>2809</v>
      </c>
      <c r="E138" s="68" t="s">
        <v>3053</v>
      </c>
      <c r="F138" s="68" t="s">
        <v>3047</v>
      </c>
      <c r="G138" s="68" t="s">
        <v>3048</v>
      </c>
      <c r="H138" s="68" t="s">
        <v>3058</v>
      </c>
      <c r="I138" s="68" t="s">
        <v>3050</v>
      </c>
      <c r="J138" s="68" t="s">
        <v>3282</v>
      </c>
      <c r="K138" s="69" t="s">
        <v>3282</v>
      </c>
      <c r="L138" s="69" t="str">
        <f>VLOOKUP(LinkTable6789[[#This Row],[Coluna1]],[4]AlarmCatalog!$A:$M,11,FALSE)</f>
        <v>Severidade 3</v>
      </c>
    </row>
    <row r="139" spans="1:12" s="67" customFormat="1" ht="16.5" customHeight="1" x14ac:dyDescent="0.25">
      <c r="A139" s="68" t="s">
        <v>3290</v>
      </c>
      <c r="B139" s="68" t="s">
        <v>2349</v>
      </c>
      <c r="C139" s="68" t="s">
        <v>2989</v>
      </c>
      <c r="D139" s="68" t="s">
        <v>2809</v>
      </c>
      <c r="E139" s="68" t="s">
        <v>3053</v>
      </c>
      <c r="F139" s="68" t="s">
        <v>3047</v>
      </c>
      <c r="G139" s="68" t="s">
        <v>3048</v>
      </c>
      <c r="H139" s="68" t="s">
        <v>3058</v>
      </c>
      <c r="I139" s="68" t="s">
        <v>3050</v>
      </c>
      <c r="J139" s="68" t="s">
        <v>3282</v>
      </c>
      <c r="K139" s="69" t="s">
        <v>3282</v>
      </c>
      <c r="L139" s="69" t="str">
        <f>VLOOKUP(LinkTable6789[[#This Row],[Coluna1]],[4]AlarmCatalog!$A:$M,11,FALSE)</f>
        <v>Severidade 3</v>
      </c>
    </row>
    <row r="140" spans="1:12" s="67" customFormat="1" ht="16.5" customHeight="1" x14ac:dyDescent="0.25">
      <c r="A140" s="68" t="s">
        <v>3291</v>
      </c>
      <c r="B140" s="68" t="s">
        <v>2349</v>
      </c>
      <c r="C140" s="68" t="s">
        <v>3292</v>
      </c>
      <c r="D140" s="68" t="s">
        <v>2809</v>
      </c>
      <c r="E140" s="68" t="s">
        <v>3053</v>
      </c>
      <c r="F140" s="68" t="s">
        <v>3047</v>
      </c>
      <c r="G140" s="68" t="s">
        <v>3048</v>
      </c>
      <c r="H140" s="68" t="s">
        <v>3058</v>
      </c>
      <c r="I140" s="68" t="s">
        <v>3050</v>
      </c>
      <c r="J140" s="68" t="s">
        <v>3282</v>
      </c>
      <c r="K140" s="69" t="s">
        <v>3282</v>
      </c>
      <c r="L140" s="69" t="str">
        <f>VLOOKUP(LinkTable6789[[#This Row],[Coluna1]],[4]AlarmCatalog!$A:$M,11,FALSE)</f>
        <v>Severidade 3</v>
      </c>
    </row>
    <row r="141" spans="1:12" s="67" customFormat="1" ht="16.5" customHeight="1" x14ac:dyDescent="0.25">
      <c r="A141" s="68" t="s">
        <v>3293</v>
      </c>
      <c r="B141" s="68" t="s">
        <v>2349</v>
      </c>
      <c r="C141" s="68" t="s">
        <v>3294</v>
      </c>
      <c r="D141" s="68" t="s">
        <v>2809</v>
      </c>
      <c r="E141" s="68" t="s">
        <v>2809</v>
      </c>
      <c r="F141" s="68" t="s">
        <v>3047</v>
      </c>
      <c r="G141" s="68" t="s">
        <v>3048</v>
      </c>
      <c r="H141" s="68" t="s">
        <v>3058</v>
      </c>
      <c r="I141" s="68" t="s">
        <v>3050</v>
      </c>
      <c r="J141" s="68" t="s">
        <v>3282</v>
      </c>
      <c r="K141" s="69" t="s">
        <v>3282</v>
      </c>
      <c r="L141" s="69" t="str">
        <f>VLOOKUP(LinkTable6789[[#This Row],[Coluna1]],[4]AlarmCatalog!$A:$M,11,FALSE)</f>
        <v>Severidade 3</v>
      </c>
    </row>
    <row r="142" spans="1:12" s="67" customFormat="1" ht="16.5" customHeight="1" x14ac:dyDescent="0.25">
      <c r="A142" s="68" t="s">
        <v>3295</v>
      </c>
      <c r="B142" s="68" t="s">
        <v>2349</v>
      </c>
      <c r="C142" s="68" t="s">
        <v>2991</v>
      </c>
      <c r="D142" s="68" t="s">
        <v>2809</v>
      </c>
      <c r="E142" s="68" t="s">
        <v>3046</v>
      </c>
      <c r="F142" s="68" t="s">
        <v>3047</v>
      </c>
      <c r="G142" s="68" t="s">
        <v>3048</v>
      </c>
      <c r="H142" s="68" t="s">
        <v>3058</v>
      </c>
      <c r="I142" s="68" t="s">
        <v>3050</v>
      </c>
      <c r="J142" s="68" t="s">
        <v>3282</v>
      </c>
      <c r="K142" s="69" t="s">
        <v>3282</v>
      </c>
      <c r="L142" s="69" t="str">
        <f>VLOOKUP(LinkTable6789[[#This Row],[Coluna1]],[4]AlarmCatalog!$A:$M,11,FALSE)</f>
        <v>Severidade 3</v>
      </c>
    </row>
    <row r="143" spans="1:12" s="67" customFormat="1" ht="16.5" customHeight="1" x14ac:dyDescent="0.25">
      <c r="A143" s="68" t="s">
        <v>3296</v>
      </c>
      <c r="B143" s="68" t="s">
        <v>2349</v>
      </c>
      <c r="C143" s="68" t="s">
        <v>3071</v>
      </c>
      <c r="D143" s="68" t="s">
        <v>2809</v>
      </c>
      <c r="E143" s="68" t="s">
        <v>3053</v>
      </c>
      <c r="F143" s="68" t="s">
        <v>3047</v>
      </c>
      <c r="G143" s="68" t="s">
        <v>3048</v>
      </c>
      <c r="H143" s="68" t="s">
        <v>3058</v>
      </c>
      <c r="I143" s="68" t="s">
        <v>3050</v>
      </c>
      <c r="J143" s="68" t="s">
        <v>3297</v>
      </c>
      <c r="K143" s="69" t="s">
        <v>3297</v>
      </c>
      <c r="L143" s="69" t="str">
        <f>VLOOKUP(LinkTable6789[[#This Row],[Coluna1]],[4]AlarmCatalog!$A:$M,11,FALSE)</f>
        <v>Severidade 4</v>
      </c>
    </row>
    <row r="144" spans="1:12" s="67" customFormat="1" ht="16.5" customHeight="1" x14ac:dyDescent="0.25">
      <c r="A144" s="68" t="s">
        <v>3298</v>
      </c>
      <c r="B144" s="68" t="s">
        <v>2349</v>
      </c>
      <c r="C144" s="68" t="s">
        <v>2992</v>
      </c>
      <c r="D144" s="68" t="s">
        <v>2809</v>
      </c>
      <c r="E144" s="68" t="s">
        <v>3046</v>
      </c>
      <c r="F144" s="68" t="s">
        <v>3047</v>
      </c>
      <c r="G144" s="68" t="s">
        <v>3048</v>
      </c>
      <c r="H144" s="68" t="s">
        <v>3058</v>
      </c>
      <c r="I144" s="68" t="s">
        <v>3050</v>
      </c>
      <c r="J144" s="68" t="s">
        <v>3160</v>
      </c>
      <c r="K144" s="69" t="s">
        <v>3160</v>
      </c>
      <c r="L144" s="69" t="str">
        <f>VLOOKUP(LinkTable6789[[#This Row],[Coluna1]],[4]AlarmCatalog!$A:$M,11,FALSE)</f>
        <v>Severidade 8</v>
      </c>
    </row>
    <row r="145" spans="1:12" s="67" customFormat="1" ht="16.5" customHeight="1" x14ac:dyDescent="0.25">
      <c r="A145" s="68" t="s">
        <v>3299</v>
      </c>
      <c r="B145" s="68" t="s">
        <v>2349</v>
      </c>
      <c r="C145" s="68" t="s">
        <v>3089</v>
      </c>
      <c r="D145" s="68" t="s">
        <v>2809</v>
      </c>
      <c r="E145" s="68" t="s">
        <v>3053</v>
      </c>
      <c r="F145" s="68" t="s">
        <v>3047</v>
      </c>
      <c r="G145" s="68" t="s">
        <v>3048</v>
      </c>
      <c r="H145" s="68" t="s">
        <v>3058</v>
      </c>
      <c r="I145" s="68" t="s">
        <v>3050</v>
      </c>
      <c r="J145" s="68" t="s">
        <v>3297</v>
      </c>
      <c r="K145" s="69" t="s">
        <v>3297</v>
      </c>
      <c r="L145" s="69" t="str">
        <f>VLOOKUP(LinkTable6789[[#This Row],[Coluna1]],[4]AlarmCatalog!$A:$M,11,FALSE)</f>
        <v>Severidade 4</v>
      </c>
    </row>
    <row r="146" spans="1:12" s="67" customFormat="1" ht="16.5" customHeight="1" x14ac:dyDescent="0.25">
      <c r="A146" s="68" t="s">
        <v>3300</v>
      </c>
      <c r="B146" s="68" t="s">
        <v>2349</v>
      </c>
      <c r="C146" s="68" t="s">
        <v>3089</v>
      </c>
      <c r="D146" s="68" t="s">
        <v>2809</v>
      </c>
      <c r="E146" s="68" t="s">
        <v>3053</v>
      </c>
      <c r="F146" s="68" t="s">
        <v>3047</v>
      </c>
      <c r="G146" s="68" t="s">
        <v>3048</v>
      </c>
      <c r="H146" s="68" t="s">
        <v>3058</v>
      </c>
      <c r="I146" s="68" t="s">
        <v>3050</v>
      </c>
      <c r="J146" s="68" t="s">
        <v>3297</v>
      </c>
      <c r="K146" s="69" t="s">
        <v>3297</v>
      </c>
      <c r="L146" s="69" t="str">
        <f>VLOOKUP(LinkTable6789[[#This Row],[Coluna1]],[4]AlarmCatalog!$A:$M,11,FALSE)</f>
        <v>Severidade 4</v>
      </c>
    </row>
    <row r="147" spans="1:12" s="67" customFormat="1" ht="16.5" customHeight="1" x14ac:dyDescent="0.25">
      <c r="A147" s="68" t="s">
        <v>3301</v>
      </c>
      <c r="B147" s="68" t="s">
        <v>2349</v>
      </c>
      <c r="C147" s="68" t="s">
        <v>3253</v>
      </c>
      <c r="D147" s="68" t="s">
        <v>2809</v>
      </c>
      <c r="E147" s="68" t="s">
        <v>3053</v>
      </c>
      <c r="F147" s="68" t="s">
        <v>3047</v>
      </c>
      <c r="G147" s="68" t="s">
        <v>3048</v>
      </c>
      <c r="H147" s="68" t="s">
        <v>3058</v>
      </c>
      <c r="I147" s="68" t="s">
        <v>3050</v>
      </c>
      <c r="J147" s="68" t="s">
        <v>3297</v>
      </c>
      <c r="K147" s="69" t="s">
        <v>3297</v>
      </c>
      <c r="L147" s="69" t="str">
        <f>VLOOKUP(LinkTable6789[[#This Row],[Coluna1]],[4]AlarmCatalog!$A:$M,11,FALSE)</f>
        <v>Severidade 4</v>
      </c>
    </row>
    <row r="148" spans="1:12" s="67" customFormat="1" ht="16.5" customHeight="1" x14ac:dyDescent="0.25">
      <c r="A148" s="68" t="s">
        <v>3302</v>
      </c>
      <c r="B148" s="68" t="s">
        <v>2349</v>
      </c>
      <c r="C148" s="68" t="s">
        <v>3286</v>
      </c>
      <c r="D148" s="68" t="s">
        <v>2809</v>
      </c>
      <c r="E148" s="68" t="s">
        <v>3053</v>
      </c>
      <c r="F148" s="68" t="s">
        <v>3047</v>
      </c>
      <c r="G148" s="68" t="s">
        <v>3048</v>
      </c>
      <c r="H148" s="68" t="s">
        <v>3058</v>
      </c>
      <c r="I148" s="68" t="s">
        <v>3050</v>
      </c>
      <c r="J148" s="68" t="s">
        <v>3297</v>
      </c>
      <c r="K148" s="69" t="s">
        <v>3297</v>
      </c>
      <c r="L148" s="69" t="str">
        <f>VLOOKUP(LinkTable6789[[#This Row],[Coluna1]],[4]AlarmCatalog!$A:$M,11,FALSE)</f>
        <v>Severidade 4</v>
      </c>
    </row>
    <row r="149" spans="1:12" s="67" customFormat="1" ht="16.5" customHeight="1" x14ac:dyDescent="0.25">
      <c r="A149" s="68" t="s">
        <v>3303</v>
      </c>
      <c r="B149" s="68" t="s">
        <v>2349</v>
      </c>
      <c r="C149" s="68" t="s">
        <v>2988</v>
      </c>
      <c r="D149" s="68" t="s">
        <v>2809</v>
      </c>
      <c r="E149" s="68" t="s">
        <v>3053</v>
      </c>
      <c r="F149" s="68" t="s">
        <v>3047</v>
      </c>
      <c r="G149" s="68" t="s">
        <v>3048</v>
      </c>
      <c r="H149" s="68" t="s">
        <v>3058</v>
      </c>
      <c r="I149" s="68" t="s">
        <v>3050</v>
      </c>
      <c r="J149" s="68" t="s">
        <v>3297</v>
      </c>
      <c r="K149" s="69" t="s">
        <v>3297</v>
      </c>
      <c r="L149" s="69" t="str">
        <f>VLOOKUP(LinkTable6789[[#This Row],[Coluna1]],[4]AlarmCatalog!$A:$M,11,FALSE)</f>
        <v>Severidade 4</v>
      </c>
    </row>
    <row r="150" spans="1:12" s="67" customFormat="1" ht="16.5" customHeight="1" x14ac:dyDescent="0.25">
      <c r="A150" s="68" t="s">
        <v>3304</v>
      </c>
      <c r="B150" s="68" t="s">
        <v>2349</v>
      </c>
      <c r="C150" s="68" t="s">
        <v>2989</v>
      </c>
      <c r="D150" s="68" t="s">
        <v>2809</v>
      </c>
      <c r="E150" s="68" t="s">
        <v>3053</v>
      </c>
      <c r="F150" s="68" t="s">
        <v>3047</v>
      </c>
      <c r="G150" s="68" t="s">
        <v>3048</v>
      </c>
      <c r="H150" s="68" t="s">
        <v>3058</v>
      </c>
      <c r="I150" s="68" t="s">
        <v>3050</v>
      </c>
      <c r="J150" s="68" t="s">
        <v>3297</v>
      </c>
      <c r="K150" s="69" t="s">
        <v>3297</v>
      </c>
      <c r="L150" s="69" t="str">
        <f>VLOOKUP(LinkTable6789[[#This Row],[Coluna1]],[4]AlarmCatalog!$A:$M,11,FALSE)</f>
        <v>Severidade 4</v>
      </c>
    </row>
    <row r="151" spans="1:12" s="67" customFormat="1" ht="16.5" customHeight="1" x14ac:dyDescent="0.25">
      <c r="A151" s="68" t="s">
        <v>3305</v>
      </c>
      <c r="B151" s="68" t="s">
        <v>2349</v>
      </c>
      <c r="C151" s="68" t="s">
        <v>3306</v>
      </c>
      <c r="D151" s="68" t="s">
        <v>2809</v>
      </c>
      <c r="E151" s="68" t="s">
        <v>3053</v>
      </c>
      <c r="F151" s="68" t="s">
        <v>3047</v>
      </c>
      <c r="G151" s="68" t="s">
        <v>3048</v>
      </c>
      <c r="H151" s="68" t="s">
        <v>3058</v>
      </c>
      <c r="I151" s="68" t="s">
        <v>3050</v>
      </c>
      <c r="J151" s="68" t="s">
        <v>3297</v>
      </c>
      <c r="K151" s="69" t="s">
        <v>3297</v>
      </c>
      <c r="L151" s="69" t="str">
        <f>VLOOKUP(LinkTable6789[[#This Row],[Coluna1]],[4]AlarmCatalog!$A:$M,11,FALSE)</f>
        <v>Severidade 4</v>
      </c>
    </row>
    <row r="152" spans="1:12" s="67" customFormat="1" ht="16.5" customHeight="1" x14ac:dyDescent="0.25">
      <c r="A152" s="68" t="s">
        <v>3307</v>
      </c>
      <c r="B152" s="68" t="s">
        <v>2349</v>
      </c>
      <c r="C152" s="68" t="s">
        <v>3097</v>
      </c>
      <c r="D152" s="68" t="s">
        <v>2809</v>
      </c>
      <c r="E152" s="68" t="s">
        <v>2809</v>
      </c>
      <c r="F152" s="68" t="s">
        <v>3047</v>
      </c>
      <c r="G152" s="68" t="s">
        <v>3048</v>
      </c>
      <c r="H152" s="68" t="s">
        <v>3058</v>
      </c>
      <c r="I152" s="68" t="s">
        <v>3050</v>
      </c>
      <c r="J152" s="68" t="s">
        <v>3297</v>
      </c>
      <c r="K152" s="69" t="s">
        <v>3297</v>
      </c>
      <c r="L152" s="69" t="str">
        <f>VLOOKUP(LinkTable6789[[#This Row],[Coluna1]],[4]AlarmCatalog!$A:$M,11,FALSE)</f>
        <v>Severidade 4</v>
      </c>
    </row>
    <row r="153" spans="1:12" s="67" customFormat="1" ht="16.5" customHeight="1" x14ac:dyDescent="0.25">
      <c r="A153" s="68" t="s">
        <v>3308</v>
      </c>
      <c r="B153" s="68" t="s">
        <v>2349</v>
      </c>
      <c r="C153" s="68" t="s">
        <v>2992</v>
      </c>
      <c r="D153" s="68" t="s">
        <v>2809</v>
      </c>
      <c r="E153" s="68" t="s">
        <v>3053</v>
      </c>
      <c r="F153" s="68" t="s">
        <v>3134</v>
      </c>
      <c r="G153" s="68" t="s">
        <v>3048</v>
      </c>
      <c r="H153" s="68" t="s">
        <v>3058</v>
      </c>
      <c r="I153" s="68" t="s">
        <v>3050</v>
      </c>
      <c r="J153" s="68" t="s">
        <v>3059</v>
      </c>
      <c r="K153" s="69" t="s">
        <v>3059</v>
      </c>
      <c r="L153" s="69" t="str">
        <f>VLOOKUP(LinkTable6789[[#This Row],[Coluna1]],[4]AlarmCatalog!$A:$M,11,FALSE)</f>
        <v>Severidade 2</v>
      </c>
    </row>
    <row r="154" spans="1:12" s="67" customFormat="1" ht="16.5" customHeight="1" x14ac:dyDescent="0.25">
      <c r="A154" s="68" t="s">
        <v>3309</v>
      </c>
      <c r="B154" s="68" t="s">
        <v>2349</v>
      </c>
      <c r="C154" s="68" t="s">
        <v>3292</v>
      </c>
      <c r="D154" s="68" t="s">
        <v>2809</v>
      </c>
      <c r="E154" s="68" t="s">
        <v>3053</v>
      </c>
      <c r="F154" s="68" t="s">
        <v>3047</v>
      </c>
      <c r="G154" s="68" t="s">
        <v>3048</v>
      </c>
      <c r="H154" s="68" t="s">
        <v>3058</v>
      </c>
      <c r="I154" s="68" t="s">
        <v>3050</v>
      </c>
      <c r="J154" s="68" t="s">
        <v>3297</v>
      </c>
      <c r="K154" s="69" t="s">
        <v>3297</v>
      </c>
      <c r="L154" s="69" t="str">
        <f>VLOOKUP(LinkTable6789[[#This Row],[Coluna1]],[4]AlarmCatalog!$A:$M,11,FALSE)</f>
        <v>Severidade 4</v>
      </c>
    </row>
    <row r="155" spans="1:12" s="67" customFormat="1" ht="16.5" customHeight="1" x14ac:dyDescent="0.25">
      <c r="A155" s="68" t="s">
        <v>3310</v>
      </c>
      <c r="B155" s="68" t="s">
        <v>2349</v>
      </c>
      <c r="C155" s="68" t="s">
        <v>2985</v>
      </c>
      <c r="D155" s="68" t="s">
        <v>2809</v>
      </c>
      <c r="E155" s="68" t="s">
        <v>3053</v>
      </c>
      <c r="F155" s="68" t="s">
        <v>3047</v>
      </c>
      <c r="G155" s="68" t="s">
        <v>3048</v>
      </c>
      <c r="H155" s="68" t="s">
        <v>3058</v>
      </c>
      <c r="I155" s="68" t="s">
        <v>3050</v>
      </c>
      <c r="J155" s="68" t="s">
        <v>3297</v>
      </c>
      <c r="K155" s="69" t="s">
        <v>3297</v>
      </c>
      <c r="L155" s="69" t="str">
        <f>VLOOKUP(LinkTable6789[[#This Row],[Coluna1]],[4]AlarmCatalog!$A:$M,11,FALSE)</f>
        <v>Severidade 4</v>
      </c>
    </row>
    <row r="156" spans="1:12" s="67" customFormat="1" ht="16.5" customHeight="1" x14ac:dyDescent="0.25">
      <c r="A156" s="68" t="s">
        <v>3311</v>
      </c>
      <c r="B156" s="68" t="s">
        <v>2349</v>
      </c>
      <c r="C156" s="68" t="s">
        <v>2986</v>
      </c>
      <c r="D156" s="68" t="s">
        <v>2990</v>
      </c>
      <c r="E156" s="68" t="s">
        <v>3053</v>
      </c>
      <c r="F156" s="68" t="s">
        <v>3056</v>
      </c>
      <c r="G156" s="68" t="s">
        <v>3057</v>
      </c>
      <c r="H156" s="68" t="s">
        <v>3077</v>
      </c>
      <c r="I156" s="68" t="s">
        <v>3050</v>
      </c>
      <c r="J156" s="68" t="s">
        <v>3061</v>
      </c>
      <c r="K156" s="69" t="s">
        <v>3061</v>
      </c>
      <c r="L156" s="69" t="str">
        <f>VLOOKUP(LinkTable6789[[#This Row],[Coluna1]],[4]AlarmCatalog!$A:$M,11,FALSE)</f>
        <v>Severidade 8</v>
      </c>
    </row>
    <row r="157" spans="1:12" s="67" customFormat="1" ht="16.5" customHeight="1" x14ac:dyDescent="0.25">
      <c r="A157" s="68" t="s">
        <v>3312</v>
      </c>
      <c r="B157" s="68" t="s">
        <v>2349</v>
      </c>
      <c r="C157" s="68" t="s">
        <v>2988</v>
      </c>
      <c r="D157" s="68" t="s">
        <v>2809</v>
      </c>
      <c r="E157" s="68" t="s">
        <v>3046</v>
      </c>
      <c r="F157" s="68" t="s">
        <v>3047</v>
      </c>
      <c r="G157" s="68" t="s">
        <v>3048</v>
      </c>
      <c r="H157" s="68" t="s">
        <v>3058</v>
      </c>
      <c r="I157" s="68" t="s">
        <v>3050</v>
      </c>
      <c r="J157" s="68" t="s">
        <v>3297</v>
      </c>
      <c r="K157" s="69" t="s">
        <v>3297</v>
      </c>
      <c r="L157" s="69" t="str">
        <f>VLOOKUP(LinkTable6789[[#This Row],[Coluna1]],[4]AlarmCatalog!$A:$M,11,FALSE)</f>
        <v>Severidade 4</v>
      </c>
    </row>
    <row r="158" spans="1:12" s="67" customFormat="1" ht="16.5" customHeight="1" x14ac:dyDescent="0.25">
      <c r="A158" s="68" t="s">
        <v>3313</v>
      </c>
      <c r="B158" s="68" t="s">
        <v>2349</v>
      </c>
      <c r="C158" s="68" t="s">
        <v>3314</v>
      </c>
      <c r="D158" s="68" t="s">
        <v>2809</v>
      </c>
      <c r="E158" s="68" t="s">
        <v>3053</v>
      </c>
      <c r="F158" s="68" t="s">
        <v>3047</v>
      </c>
      <c r="G158" s="68" t="s">
        <v>3048</v>
      </c>
      <c r="H158" s="68" t="s">
        <v>3058</v>
      </c>
      <c r="I158" s="68" t="s">
        <v>3050</v>
      </c>
      <c r="J158" s="68" t="s">
        <v>3297</v>
      </c>
      <c r="K158" s="69" t="s">
        <v>3297</v>
      </c>
      <c r="L158" s="69" t="str">
        <f>VLOOKUP(LinkTable6789[[#This Row],[Coluna1]],[4]AlarmCatalog!$A:$M,11,FALSE)</f>
        <v>Severidade 4</v>
      </c>
    </row>
    <row r="159" spans="1:12" s="67" customFormat="1" ht="16.5" customHeight="1" x14ac:dyDescent="0.25">
      <c r="A159" s="68" t="s">
        <v>3315</v>
      </c>
      <c r="B159" s="68" t="s">
        <v>2349</v>
      </c>
      <c r="C159" s="68" t="s">
        <v>2991</v>
      </c>
      <c r="D159" s="68" t="s">
        <v>2809</v>
      </c>
      <c r="E159" s="68" t="s">
        <v>3046</v>
      </c>
      <c r="F159" s="68" t="s">
        <v>3047</v>
      </c>
      <c r="G159" s="68" t="s">
        <v>3048</v>
      </c>
      <c r="H159" s="68" t="s">
        <v>3058</v>
      </c>
      <c r="I159" s="68" t="s">
        <v>3050</v>
      </c>
      <c r="J159" s="68" t="s">
        <v>3297</v>
      </c>
      <c r="K159" s="69" t="s">
        <v>3297</v>
      </c>
      <c r="L159" s="69" t="str">
        <f>VLOOKUP(LinkTable6789[[#This Row],[Coluna1]],[4]AlarmCatalog!$A:$M,11,FALSE)</f>
        <v>Severidade 4</v>
      </c>
    </row>
    <row r="160" spans="1:12" s="67" customFormat="1" ht="16.5" customHeight="1" x14ac:dyDescent="0.25">
      <c r="A160" s="68" t="s">
        <v>3316</v>
      </c>
      <c r="B160" s="68" t="s">
        <v>2349</v>
      </c>
      <c r="C160" s="68" t="s">
        <v>2986</v>
      </c>
      <c r="D160" s="68" t="s">
        <v>2990</v>
      </c>
      <c r="E160" s="68" t="s">
        <v>3046</v>
      </c>
      <c r="F160" s="68" t="s">
        <v>3056</v>
      </c>
      <c r="G160" s="68" t="s">
        <v>3057</v>
      </c>
      <c r="H160" s="68" t="s">
        <v>3058</v>
      </c>
      <c r="I160" s="68" t="s">
        <v>3050</v>
      </c>
      <c r="J160" s="68" t="s">
        <v>3061</v>
      </c>
      <c r="K160" s="69" t="s">
        <v>3061</v>
      </c>
      <c r="L160" s="69" t="str">
        <f>VLOOKUP(LinkTable6789[[#This Row],[Coluna1]],[4]AlarmCatalog!$A:$M,11,FALSE)</f>
        <v>Severidade 8</v>
      </c>
    </row>
    <row r="161" spans="1:12" s="67" customFormat="1" ht="16.5" customHeight="1" x14ac:dyDescent="0.25">
      <c r="A161" s="68" t="s">
        <v>3317</v>
      </c>
      <c r="B161" s="68" t="s">
        <v>2349</v>
      </c>
      <c r="C161" s="68" t="s">
        <v>2808</v>
      </c>
      <c r="D161" s="68" t="s">
        <v>2809</v>
      </c>
      <c r="E161" s="68" t="s">
        <v>3046</v>
      </c>
      <c r="F161" s="68" t="s">
        <v>3047</v>
      </c>
      <c r="G161" s="68" t="s">
        <v>3048</v>
      </c>
      <c r="H161" s="68" t="s">
        <v>3058</v>
      </c>
      <c r="I161" s="68" t="s">
        <v>3050</v>
      </c>
      <c r="J161" s="68" t="s">
        <v>3297</v>
      </c>
      <c r="K161" s="69" t="s">
        <v>3297</v>
      </c>
      <c r="L161" s="69" t="str">
        <f>VLOOKUP(LinkTable6789[[#This Row],[Coluna1]],[4]AlarmCatalog!$A:$M,11,FALSE)</f>
        <v>Severidade 4</v>
      </c>
    </row>
    <row r="162" spans="1:12" s="67" customFormat="1" ht="16.5" customHeight="1" x14ac:dyDescent="0.25">
      <c r="A162" s="68" t="s">
        <v>3318</v>
      </c>
      <c r="B162" s="68" t="s">
        <v>2349</v>
      </c>
      <c r="C162" s="68" t="s">
        <v>3097</v>
      </c>
      <c r="D162" s="68" t="s">
        <v>2809</v>
      </c>
      <c r="E162" s="68" t="s">
        <v>3046</v>
      </c>
      <c r="F162" s="68" t="s">
        <v>3047</v>
      </c>
      <c r="G162" s="68" t="s">
        <v>3048</v>
      </c>
      <c r="H162" s="68" t="s">
        <v>3058</v>
      </c>
      <c r="I162" s="68" t="s">
        <v>3050</v>
      </c>
      <c r="J162" s="68" t="s">
        <v>3297</v>
      </c>
      <c r="K162" s="69" t="s">
        <v>3297</v>
      </c>
      <c r="L162" s="69" t="str">
        <f>VLOOKUP(LinkTable6789[[#This Row],[Coluna1]],[4]AlarmCatalog!$A:$M,11,FALSE)</f>
        <v>Severidade 4</v>
      </c>
    </row>
    <row r="163" spans="1:12" s="67" customFormat="1" ht="16.5" customHeight="1" x14ac:dyDescent="0.25">
      <c r="A163" s="68" t="s">
        <v>3319</v>
      </c>
      <c r="B163" s="68" t="s">
        <v>2349</v>
      </c>
      <c r="C163" s="68" t="s">
        <v>3149</v>
      </c>
      <c r="D163" s="68" t="s">
        <v>2809</v>
      </c>
      <c r="E163" s="68" t="s">
        <v>2809</v>
      </c>
      <c r="F163" s="68" t="s">
        <v>3150</v>
      </c>
      <c r="G163" s="68" t="s">
        <v>3122</v>
      </c>
      <c r="H163" s="68" t="s">
        <v>3123</v>
      </c>
      <c r="I163" s="68" t="s">
        <v>3124</v>
      </c>
      <c r="J163" s="68" t="s">
        <v>3297</v>
      </c>
      <c r="K163" s="69" t="s">
        <v>3297</v>
      </c>
      <c r="L163" s="69" t="str">
        <f>VLOOKUP(LinkTable6789[[#This Row],[Coluna1]],[4]AlarmCatalog!$A:$M,11,FALSE)</f>
        <v>Severidade 4</v>
      </c>
    </row>
    <row r="164" spans="1:12" s="67" customFormat="1" ht="16.5" customHeight="1" x14ac:dyDescent="0.25">
      <c r="A164" s="68" t="s">
        <v>3320</v>
      </c>
      <c r="B164" s="68" t="s">
        <v>2349</v>
      </c>
      <c r="C164" s="68" t="s">
        <v>3170</v>
      </c>
      <c r="D164" s="68" t="s">
        <v>2809</v>
      </c>
      <c r="E164" s="68" t="s">
        <v>3053</v>
      </c>
      <c r="F164" s="68" t="s">
        <v>3047</v>
      </c>
      <c r="G164" s="68" t="s">
        <v>3048</v>
      </c>
      <c r="H164" s="68" t="s">
        <v>3075</v>
      </c>
      <c r="I164" s="68" t="s">
        <v>3050</v>
      </c>
      <c r="J164" s="68" t="s">
        <v>3297</v>
      </c>
      <c r="K164" s="69" t="s">
        <v>3297</v>
      </c>
      <c r="L164" s="69" t="str">
        <f>VLOOKUP(LinkTable6789[[#This Row],[Coluna1]],[4]AlarmCatalog!$A:$M,11,FALSE)</f>
        <v>Severidade 4</v>
      </c>
    </row>
    <row r="165" spans="1:12" s="67" customFormat="1" ht="16.5" customHeight="1" x14ac:dyDescent="0.25">
      <c r="A165" s="68" t="s">
        <v>3321</v>
      </c>
      <c r="B165" s="68" t="s">
        <v>2349</v>
      </c>
      <c r="C165" s="68" t="s">
        <v>3322</v>
      </c>
      <c r="D165" s="68" t="s">
        <v>2809</v>
      </c>
      <c r="E165" s="68" t="s">
        <v>3046</v>
      </c>
      <c r="F165" s="68" t="s">
        <v>3047</v>
      </c>
      <c r="G165" s="68" t="s">
        <v>3048</v>
      </c>
      <c r="H165" s="68" t="s">
        <v>3058</v>
      </c>
      <c r="I165" s="68" t="s">
        <v>3050</v>
      </c>
      <c r="J165" s="68" t="s">
        <v>3297</v>
      </c>
      <c r="K165" s="69" t="s">
        <v>3297</v>
      </c>
      <c r="L165" s="69" t="str">
        <f>VLOOKUP(LinkTable6789[[#This Row],[Coluna1]],[4]AlarmCatalog!$A:$M,11,FALSE)</f>
        <v>Severidade 4</v>
      </c>
    </row>
    <row r="166" spans="1:12" s="67" customFormat="1" ht="16.5" customHeight="1" x14ac:dyDescent="0.25">
      <c r="A166" s="68" t="s">
        <v>3323</v>
      </c>
      <c r="B166" s="68" t="s">
        <v>2349</v>
      </c>
      <c r="C166" s="68" t="s">
        <v>3324</v>
      </c>
      <c r="D166" s="68" t="s">
        <v>2809</v>
      </c>
      <c r="E166" s="68" t="s">
        <v>3053</v>
      </c>
      <c r="F166" s="68" t="s">
        <v>3047</v>
      </c>
      <c r="G166" s="68" t="s">
        <v>3048</v>
      </c>
      <c r="H166" s="68" t="s">
        <v>3058</v>
      </c>
      <c r="I166" s="68" t="s">
        <v>3050</v>
      </c>
      <c r="J166" s="68" t="s">
        <v>3297</v>
      </c>
      <c r="K166" s="69" t="s">
        <v>3297</v>
      </c>
      <c r="L166" s="69" t="str">
        <f>VLOOKUP(LinkTable6789[[#This Row],[Coluna1]],[4]AlarmCatalog!$A:$M,11,FALSE)</f>
        <v>Severidade 4</v>
      </c>
    </row>
    <row r="167" spans="1:12" s="67" customFormat="1" ht="16.5" customHeight="1" x14ac:dyDescent="0.25">
      <c r="A167" s="68" t="s">
        <v>3325</v>
      </c>
      <c r="B167" s="68" t="s">
        <v>2349</v>
      </c>
      <c r="C167" s="68" t="s">
        <v>3326</v>
      </c>
      <c r="D167" s="68" t="s">
        <v>2809</v>
      </c>
      <c r="E167" s="68" t="s">
        <v>3053</v>
      </c>
      <c r="F167" s="68" t="s">
        <v>3047</v>
      </c>
      <c r="G167" s="68" t="s">
        <v>3048</v>
      </c>
      <c r="H167" s="68" t="s">
        <v>3075</v>
      </c>
      <c r="I167" s="68" t="s">
        <v>3050</v>
      </c>
      <c r="J167" s="68" t="s">
        <v>3297</v>
      </c>
      <c r="K167" s="69" t="s">
        <v>3297</v>
      </c>
      <c r="L167" s="69" t="str">
        <f>VLOOKUP(LinkTable6789[[#This Row],[Coluna1]],[4]AlarmCatalog!$A:$M,11,FALSE)</f>
        <v>Severidade 4</v>
      </c>
    </row>
    <row r="168" spans="1:12" s="67" customFormat="1" ht="16.5" customHeight="1" x14ac:dyDescent="0.25">
      <c r="A168" s="68" t="s">
        <v>3327</v>
      </c>
      <c r="B168" s="68" t="s">
        <v>2349</v>
      </c>
      <c r="C168" s="68" t="s">
        <v>3328</v>
      </c>
      <c r="D168" s="68" t="s">
        <v>2809</v>
      </c>
      <c r="E168" s="68" t="s">
        <v>3046</v>
      </c>
      <c r="F168" s="68" t="s">
        <v>3047</v>
      </c>
      <c r="G168" s="68" t="s">
        <v>3048</v>
      </c>
      <c r="H168" s="68" t="s">
        <v>3058</v>
      </c>
      <c r="I168" s="68" t="s">
        <v>3050</v>
      </c>
      <c r="J168" s="68" t="s">
        <v>3297</v>
      </c>
      <c r="K168" s="69" t="s">
        <v>3297</v>
      </c>
      <c r="L168" s="69" t="str">
        <f>VLOOKUP(LinkTable6789[[#This Row],[Coluna1]],[4]AlarmCatalog!$A:$M,11,FALSE)</f>
        <v>Severidade 4</v>
      </c>
    </row>
    <row r="169" spans="1:12" s="67" customFormat="1" ht="16.5" customHeight="1" x14ac:dyDescent="0.25">
      <c r="A169" s="68" t="s">
        <v>3329</v>
      </c>
      <c r="B169" s="68" t="s">
        <v>2349</v>
      </c>
      <c r="C169" s="68" t="s">
        <v>2989</v>
      </c>
      <c r="D169" s="68" t="s">
        <v>2809</v>
      </c>
      <c r="E169" s="68" t="s">
        <v>3046</v>
      </c>
      <c r="F169" s="68" t="s">
        <v>3047</v>
      </c>
      <c r="G169" s="68" t="s">
        <v>3048</v>
      </c>
      <c r="H169" s="68" t="s">
        <v>3058</v>
      </c>
      <c r="I169" s="68" t="s">
        <v>3050</v>
      </c>
      <c r="J169" s="68" t="s">
        <v>3297</v>
      </c>
      <c r="K169" s="69" t="s">
        <v>3297</v>
      </c>
      <c r="L169" s="69" t="str">
        <f>VLOOKUP(LinkTable6789[[#This Row],[Coluna1]],[4]AlarmCatalog!$A:$M,11,FALSE)</f>
        <v>Severidade 4</v>
      </c>
    </row>
    <row r="170" spans="1:12" s="67" customFormat="1" ht="16.5" customHeight="1" x14ac:dyDescent="0.25">
      <c r="A170" s="68" t="s">
        <v>3330</v>
      </c>
      <c r="B170" s="68" t="s">
        <v>2349</v>
      </c>
      <c r="C170" s="68" t="s">
        <v>3094</v>
      </c>
      <c r="D170" s="68" t="s">
        <v>2809</v>
      </c>
      <c r="E170" s="68" t="s">
        <v>3053</v>
      </c>
      <c r="F170" s="68" t="s">
        <v>3180</v>
      </c>
      <c r="G170" s="68" t="s">
        <v>3048</v>
      </c>
      <c r="H170" s="68" t="s">
        <v>3058</v>
      </c>
      <c r="I170" s="68" t="s">
        <v>3050</v>
      </c>
      <c r="J170" s="68" t="s">
        <v>3297</v>
      </c>
      <c r="K170" s="69" t="s">
        <v>3297</v>
      </c>
      <c r="L170" s="69" t="str">
        <f>VLOOKUP(LinkTable6789[[#This Row],[Coluna1]],[4]AlarmCatalog!$A:$M,11,FALSE)</f>
        <v>Severidade 4</v>
      </c>
    </row>
    <row r="171" spans="1:12" s="67" customFormat="1" ht="16.5" customHeight="1" x14ac:dyDescent="0.25">
      <c r="A171" s="68" t="s">
        <v>3331</v>
      </c>
      <c r="B171" s="68" t="s">
        <v>2349</v>
      </c>
      <c r="C171" s="68" t="s">
        <v>3172</v>
      </c>
      <c r="D171" s="68" t="s">
        <v>2990</v>
      </c>
      <c r="E171" s="68" t="s">
        <v>3046</v>
      </c>
      <c r="F171" s="68" t="s">
        <v>3047</v>
      </c>
      <c r="G171" s="68" t="s">
        <v>3048</v>
      </c>
      <c r="H171" s="68" t="s">
        <v>3075</v>
      </c>
      <c r="I171" s="68" t="s">
        <v>3050</v>
      </c>
      <c r="J171" s="68" t="s">
        <v>3297</v>
      </c>
      <c r="K171" s="69" t="s">
        <v>3297</v>
      </c>
      <c r="L171" s="69" t="str">
        <f>VLOOKUP(LinkTable6789[[#This Row],[Coluna1]],[4]AlarmCatalog!$A:$M,11,FALSE)</f>
        <v>Severidade 4</v>
      </c>
    </row>
    <row r="172" spans="1:12" s="67" customFormat="1" ht="16.5" customHeight="1" x14ac:dyDescent="0.25">
      <c r="A172" s="68" t="s">
        <v>1204</v>
      </c>
      <c r="B172" s="68" t="s">
        <v>2349</v>
      </c>
      <c r="C172" s="68" t="s">
        <v>2992</v>
      </c>
      <c r="D172" s="68" t="s">
        <v>2809</v>
      </c>
      <c r="E172" s="68" t="s">
        <v>3053</v>
      </c>
      <c r="F172" s="68" t="s">
        <v>3134</v>
      </c>
      <c r="G172" s="68" t="s">
        <v>3048</v>
      </c>
      <c r="H172" s="68" t="s">
        <v>3058</v>
      </c>
      <c r="I172" s="68" t="s">
        <v>3050</v>
      </c>
      <c r="J172" s="68" t="s">
        <v>3125</v>
      </c>
      <c r="K172" s="69" t="s">
        <v>3125</v>
      </c>
      <c r="L172" s="69" t="str">
        <f>VLOOKUP(LinkTable6789[[#This Row],[Coluna1]],[4]AlarmCatalog!$A:$M,11,FALSE)</f>
        <v>Severidade 8</v>
      </c>
    </row>
    <row r="173" spans="1:12" s="67" customFormat="1" ht="16.5" customHeight="1" x14ac:dyDescent="0.25">
      <c r="A173" s="68" t="s">
        <v>3332</v>
      </c>
      <c r="B173" s="68" t="s">
        <v>2349</v>
      </c>
      <c r="C173" s="68" t="s">
        <v>2986</v>
      </c>
      <c r="D173" s="68" t="s">
        <v>2990</v>
      </c>
      <c r="E173" s="68" t="s">
        <v>3046</v>
      </c>
      <c r="F173" s="68" t="s">
        <v>3056</v>
      </c>
      <c r="G173" s="68" t="s">
        <v>3057</v>
      </c>
      <c r="H173" s="68" t="s">
        <v>3068</v>
      </c>
      <c r="I173" s="68" t="s">
        <v>3050</v>
      </c>
      <c r="J173" s="68" t="s">
        <v>3061</v>
      </c>
      <c r="K173" s="69" t="s">
        <v>3061</v>
      </c>
      <c r="L173" s="69" t="str">
        <f>VLOOKUP(LinkTable6789[[#This Row],[Coluna1]],[4]AlarmCatalog!$A:$M,11,FALSE)</f>
        <v>Severidade 8</v>
      </c>
    </row>
    <row r="174" spans="1:12" s="67" customFormat="1" ht="16.5" customHeight="1" x14ac:dyDescent="0.25">
      <c r="A174" s="68" t="s">
        <v>3333</v>
      </c>
      <c r="B174" s="68" t="s">
        <v>2349</v>
      </c>
      <c r="C174" s="68" t="s">
        <v>2986</v>
      </c>
      <c r="D174" s="68" t="s">
        <v>2990</v>
      </c>
      <c r="E174" s="68" t="s">
        <v>3046</v>
      </c>
      <c r="F174" s="68" t="s">
        <v>3056</v>
      </c>
      <c r="G174" s="68" t="s">
        <v>3057</v>
      </c>
      <c r="H174" s="68" t="s">
        <v>3077</v>
      </c>
      <c r="I174" s="68" t="s">
        <v>3050</v>
      </c>
      <c r="J174" s="68" t="s">
        <v>3061</v>
      </c>
      <c r="K174" s="69" t="s">
        <v>3061</v>
      </c>
      <c r="L174" s="69" t="str">
        <f>VLOOKUP(LinkTable6789[[#This Row],[Coluna1]],[4]AlarmCatalog!$A:$M,11,FALSE)</f>
        <v>Severidade 8</v>
      </c>
    </row>
    <row r="175" spans="1:12" s="67" customFormat="1" ht="16.5" customHeight="1" x14ac:dyDescent="0.25">
      <c r="A175" s="68" t="s">
        <v>3334</v>
      </c>
      <c r="B175" s="68" t="s">
        <v>2349</v>
      </c>
      <c r="C175" s="68" t="s">
        <v>3097</v>
      </c>
      <c r="D175" s="68" t="s">
        <v>2809</v>
      </c>
      <c r="E175" s="68" t="s">
        <v>3046</v>
      </c>
      <c r="F175" s="68" t="s">
        <v>3047</v>
      </c>
      <c r="G175" s="68" t="s">
        <v>3048</v>
      </c>
      <c r="H175" s="68" t="s">
        <v>3058</v>
      </c>
      <c r="I175" s="68" t="s">
        <v>3050</v>
      </c>
      <c r="J175" s="68" t="s">
        <v>3297</v>
      </c>
      <c r="K175" s="69" t="s">
        <v>3297</v>
      </c>
      <c r="L175" s="69" t="str">
        <f>VLOOKUP(LinkTable6789[[#This Row],[Coluna1]],[4]AlarmCatalog!$A:$M,11,FALSE)</f>
        <v>Severidade 4</v>
      </c>
    </row>
    <row r="176" spans="1:12" s="67" customFormat="1" ht="16.5" customHeight="1" x14ac:dyDescent="0.25">
      <c r="A176" s="68" t="s">
        <v>3335</v>
      </c>
      <c r="B176" s="68" t="s">
        <v>2349</v>
      </c>
      <c r="C176" s="68" t="s">
        <v>2808</v>
      </c>
      <c r="D176" s="68" t="s">
        <v>2809</v>
      </c>
      <c r="E176" s="68" t="s">
        <v>3053</v>
      </c>
      <c r="F176" s="68" t="s">
        <v>3047</v>
      </c>
      <c r="G176" s="68" t="s">
        <v>3048</v>
      </c>
      <c r="H176" s="68" t="s">
        <v>3058</v>
      </c>
      <c r="I176" s="68" t="s">
        <v>3050</v>
      </c>
      <c r="J176" s="68" t="s">
        <v>3297</v>
      </c>
      <c r="K176" s="69" t="s">
        <v>3297</v>
      </c>
      <c r="L176" s="69" t="str">
        <f>VLOOKUP(LinkTable6789[[#This Row],[Coluna1]],[4]AlarmCatalog!$A:$M,11,FALSE)</f>
        <v>Severidade 4</v>
      </c>
    </row>
    <row r="177" spans="1:12" s="67" customFormat="1" ht="16.5" customHeight="1" x14ac:dyDescent="0.25">
      <c r="A177" s="68" t="s">
        <v>3336</v>
      </c>
      <c r="B177" s="68" t="s">
        <v>2349</v>
      </c>
      <c r="C177" s="68" t="s">
        <v>3337</v>
      </c>
      <c r="D177" s="68" t="s">
        <v>2809</v>
      </c>
      <c r="E177" s="68" t="s">
        <v>3053</v>
      </c>
      <c r="F177" s="68" t="s">
        <v>3047</v>
      </c>
      <c r="G177" s="68" t="s">
        <v>3048</v>
      </c>
      <c r="H177" s="68" t="s">
        <v>3058</v>
      </c>
      <c r="I177" s="68" t="s">
        <v>3050</v>
      </c>
      <c r="J177" s="68" t="s">
        <v>3297</v>
      </c>
      <c r="K177" s="69" t="s">
        <v>3297</v>
      </c>
      <c r="L177" s="69" t="str">
        <f>VLOOKUP(LinkTable6789[[#This Row],[Coluna1]],[4]AlarmCatalog!$A:$M,11,FALSE)</f>
        <v>Severidade 4</v>
      </c>
    </row>
    <row r="178" spans="1:12" s="67" customFormat="1" ht="16.5" customHeight="1" x14ac:dyDescent="0.25">
      <c r="A178" s="68" t="s">
        <v>3338</v>
      </c>
      <c r="B178" s="68" t="s">
        <v>2349</v>
      </c>
      <c r="C178" s="68" t="s">
        <v>3097</v>
      </c>
      <c r="D178" s="68" t="s">
        <v>2809</v>
      </c>
      <c r="E178" s="68" t="s">
        <v>3053</v>
      </c>
      <c r="F178" s="68" t="s">
        <v>3047</v>
      </c>
      <c r="G178" s="68" t="s">
        <v>3048</v>
      </c>
      <c r="H178" s="68" t="s">
        <v>3058</v>
      </c>
      <c r="I178" s="68" t="s">
        <v>3050</v>
      </c>
      <c r="J178" s="68" t="s">
        <v>3297</v>
      </c>
      <c r="K178" s="69" t="s">
        <v>3297</v>
      </c>
      <c r="L178" s="69" t="str">
        <f>VLOOKUP(LinkTable6789[[#This Row],[Coluna1]],[4]AlarmCatalog!$A:$M,11,FALSE)</f>
        <v>Severidade 4</v>
      </c>
    </row>
    <row r="179" spans="1:12" s="67" customFormat="1" ht="16.5" customHeight="1" x14ac:dyDescent="0.25">
      <c r="A179" s="68" t="s">
        <v>3339</v>
      </c>
      <c r="B179" s="68" t="s">
        <v>2349</v>
      </c>
      <c r="C179" s="68" t="s">
        <v>3340</v>
      </c>
      <c r="D179" s="68" t="s">
        <v>2809</v>
      </c>
      <c r="E179" s="68" t="s">
        <v>3111</v>
      </c>
      <c r="F179" s="68" t="s">
        <v>3047</v>
      </c>
      <c r="G179" s="68" t="s">
        <v>3048</v>
      </c>
      <c r="H179" s="68" t="s">
        <v>3058</v>
      </c>
      <c r="I179" s="68" t="s">
        <v>3050</v>
      </c>
      <c r="J179" s="68" t="s">
        <v>3297</v>
      </c>
      <c r="K179" s="69" t="s">
        <v>3297</v>
      </c>
      <c r="L179" s="69" t="str">
        <f>VLOOKUP(LinkTable6789[[#This Row],[Coluna1]],[4]AlarmCatalog!$A:$M,11,FALSE)</f>
        <v>Severidade 4</v>
      </c>
    </row>
    <row r="180" spans="1:12" s="67" customFormat="1" ht="16.5" customHeight="1" x14ac:dyDescent="0.25">
      <c r="A180" s="68" t="s">
        <v>3341</v>
      </c>
      <c r="B180" s="68" t="s">
        <v>2349</v>
      </c>
      <c r="C180" s="68" t="s">
        <v>3172</v>
      </c>
      <c r="D180" s="68" t="s">
        <v>2990</v>
      </c>
      <c r="E180" s="68" t="s">
        <v>3053</v>
      </c>
      <c r="F180" s="68" t="s">
        <v>3047</v>
      </c>
      <c r="G180" s="68" t="s">
        <v>3048</v>
      </c>
      <c r="H180" s="68" t="s">
        <v>3075</v>
      </c>
      <c r="I180" s="68" t="s">
        <v>3050</v>
      </c>
      <c r="J180" s="68" t="s">
        <v>3297</v>
      </c>
      <c r="K180" s="69" t="s">
        <v>3297</v>
      </c>
      <c r="L180" s="69" t="str">
        <f>VLOOKUP(LinkTable6789[[#This Row],[Coluna1]],[4]AlarmCatalog!$A:$M,11,FALSE)</f>
        <v>Severidade 4</v>
      </c>
    </row>
    <row r="181" spans="1:12" s="67" customFormat="1" ht="16.5" customHeight="1" x14ac:dyDescent="0.25">
      <c r="A181" s="68" t="s">
        <v>3342</v>
      </c>
      <c r="B181" s="68" t="s">
        <v>2349</v>
      </c>
      <c r="C181" s="68" t="s">
        <v>2988</v>
      </c>
      <c r="D181" s="68" t="s">
        <v>2809</v>
      </c>
      <c r="E181" s="68" t="s">
        <v>3053</v>
      </c>
      <c r="F181" s="68" t="s">
        <v>3047</v>
      </c>
      <c r="G181" s="68" t="s">
        <v>3048</v>
      </c>
      <c r="H181" s="68" t="s">
        <v>3159</v>
      </c>
      <c r="I181" s="68" t="s">
        <v>3050</v>
      </c>
      <c r="J181" s="68" t="s">
        <v>3297</v>
      </c>
      <c r="K181" s="69" t="s">
        <v>3297</v>
      </c>
      <c r="L181" s="69" t="str">
        <f>VLOOKUP(LinkTable6789[[#This Row],[Coluna1]],[4]AlarmCatalog!$A:$M,11,FALSE)</f>
        <v>Severidade 4</v>
      </c>
    </row>
    <row r="182" spans="1:12" s="67" customFormat="1" ht="16.5" customHeight="1" x14ac:dyDescent="0.25">
      <c r="A182" s="68" t="s">
        <v>3343</v>
      </c>
      <c r="B182" s="68" t="s">
        <v>2349</v>
      </c>
      <c r="C182" s="68" t="s">
        <v>2991</v>
      </c>
      <c r="D182" s="68" t="s">
        <v>2809</v>
      </c>
      <c r="E182" s="68" t="s">
        <v>3046</v>
      </c>
      <c r="F182" s="68" t="s">
        <v>3047</v>
      </c>
      <c r="G182" s="68" t="s">
        <v>3048</v>
      </c>
      <c r="H182" s="68" t="s">
        <v>3058</v>
      </c>
      <c r="I182" s="68" t="s">
        <v>3050</v>
      </c>
      <c r="J182" s="68" t="s">
        <v>3297</v>
      </c>
      <c r="K182" s="69" t="s">
        <v>3297</v>
      </c>
      <c r="L182" s="69" t="str">
        <f>VLOOKUP(LinkTable6789[[#This Row],[Coluna1]],[4]AlarmCatalog!$A:$M,11,FALSE)</f>
        <v>Severidade 4</v>
      </c>
    </row>
    <row r="183" spans="1:12" s="67" customFormat="1" ht="16.5" customHeight="1" x14ac:dyDescent="0.25">
      <c r="A183" s="68" t="s">
        <v>3344</v>
      </c>
      <c r="B183" s="68" t="s">
        <v>2349</v>
      </c>
      <c r="C183" s="68" t="s">
        <v>2988</v>
      </c>
      <c r="D183" s="68" t="s">
        <v>2809</v>
      </c>
      <c r="E183" s="68" t="s">
        <v>3053</v>
      </c>
      <c r="F183" s="68" t="s">
        <v>3047</v>
      </c>
      <c r="G183" s="68" t="s">
        <v>3048</v>
      </c>
      <c r="H183" s="68" t="s">
        <v>3058</v>
      </c>
      <c r="I183" s="68" t="s">
        <v>3050</v>
      </c>
      <c r="J183" s="68" t="s">
        <v>3297</v>
      </c>
      <c r="K183" s="69" t="s">
        <v>3297</v>
      </c>
      <c r="L183" s="69" t="str">
        <f>VLOOKUP(LinkTable6789[[#This Row],[Coluna1]],[4]AlarmCatalog!$A:$M,11,FALSE)</f>
        <v>Severidade 4</v>
      </c>
    </row>
    <row r="184" spans="1:12" s="67" customFormat="1" ht="16.5" customHeight="1" x14ac:dyDescent="0.25">
      <c r="A184" s="68" t="s">
        <v>3345</v>
      </c>
      <c r="B184" s="68" t="s">
        <v>2349</v>
      </c>
      <c r="C184" s="68" t="s">
        <v>3094</v>
      </c>
      <c r="D184" s="68" t="s">
        <v>2809</v>
      </c>
      <c r="E184" s="68" t="s">
        <v>3046</v>
      </c>
      <c r="F184" s="68" t="s">
        <v>3047</v>
      </c>
      <c r="G184" s="68" t="s">
        <v>3048</v>
      </c>
      <c r="H184" s="68" t="s">
        <v>3058</v>
      </c>
      <c r="I184" s="68" t="s">
        <v>3050</v>
      </c>
      <c r="J184" s="68" t="s">
        <v>3297</v>
      </c>
      <c r="K184" s="69" t="s">
        <v>3297</v>
      </c>
      <c r="L184" s="69" t="str">
        <f>VLOOKUP(LinkTable6789[[#This Row],[Coluna1]],[4]AlarmCatalog!$A:$M,11,FALSE)</f>
        <v>Severidade 4</v>
      </c>
    </row>
    <row r="185" spans="1:12" s="67" customFormat="1" ht="16.5" customHeight="1" x14ac:dyDescent="0.25">
      <c r="A185" s="68" t="s">
        <v>3346</v>
      </c>
      <c r="B185" s="68" t="s">
        <v>2349</v>
      </c>
      <c r="C185" s="68" t="s">
        <v>3347</v>
      </c>
      <c r="D185" s="68" t="s">
        <v>2809</v>
      </c>
      <c r="E185" s="68" t="s">
        <v>3053</v>
      </c>
      <c r="F185" s="68" t="s">
        <v>3047</v>
      </c>
      <c r="G185" s="68" t="s">
        <v>3048</v>
      </c>
      <c r="H185" s="68" t="s">
        <v>3058</v>
      </c>
      <c r="I185" s="68" t="s">
        <v>3050</v>
      </c>
      <c r="J185" s="68" t="s">
        <v>3297</v>
      </c>
      <c r="K185" s="69" t="s">
        <v>3297</v>
      </c>
      <c r="L185" s="69" t="str">
        <f>VLOOKUP(LinkTable6789[[#This Row],[Coluna1]],[4]AlarmCatalog!$A:$M,11,FALSE)</f>
        <v>Severidade 4</v>
      </c>
    </row>
    <row r="186" spans="1:12" s="67" customFormat="1" ht="16.5" customHeight="1" x14ac:dyDescent="0.25">
      <c r="A186" s="68" t="s">
        <v>3348</v>
      </c>
      <c r="B186" s="68" t="s">
        <v>2349</v>
      </c>
      <c r="C186" s="68" t="s">
        <v>3349</v>
      </c>
      <c r="D186" s="68" t="s">
        <v>2809</v>
      </c>
      <c r="E186" s="68" t="s">
        <v>3046</v>
      </c>
      <c r="F186" s="68" t="s">
        <v>3047</v>
      </c>
      <c r="G186" s="68" t="s">
        <v>3048</v>
      </c>
      <c r="H186" s="68" t="s">
        <v>3058</v>
      </c>
      <c r="I186" s="68" t="s">
        <v>3050</v>
      </c>
      <c r="J186" s="68" t="s">
        <v>3297</v>
      </c>
      <c r="K186" s="69" t="s">
        <v>3297</v>
      </c>
      <c r="L186" s="69" t="str">
        <f>VLOOKUP(LinkTable6789[[#This Row],[Coluna1]],[4]AlarmCatalog!$A:$M,11,FALSE)</f>
        <v>Severidade 4</v>
      </c>
    </row>
    <row r="187" spans="1:12" s="67" customFormat="1" ht="16.5" customHeight="1" x14ac:dyDescent="0.25">
      <c r="A187" s="68" t="s">
        <v>3350</v>
      </c>
      <c r="B187" s="68" t="s">
        <v>2349</v>
      </c>
      <c r="C187" s="68" t="s">
        <v>3351</v>
      </c>
      <c r="D187" s="68" t="s">
        <v>2809</v>
      </c>
      <c r="E187" s="68" t="s">
        <v>3046</v>
      </c>
      <c r="F187" s="68" t="s">
        <v>3047</v>
      </c>
      <c r="G187" s="68" t="s">
        <v>3048</v>
      </c>
      <c r="H187" s="68" t="s">
        <v>3058</v>
      </c>
      <c r="I187" s="68" t="s">
        <v>3050</v>
      </c>
      <c r="J187" s="68" t="s">
        <v>3297</v>
      </c>
      <c r="K187" s="69" t="s">
        <v>3297</v>
      </c>
      <c r="L187" s="69" t="str">
        <f>VLOOKUP(LinkTable6789[[#This Row],[Coluna1]],[4]AlarmCatalog!$A:$M,11,FALSE)</f>
        <v>Severidade 4</v>
      </c>
    </row>
    <row r="188" spans="1:12" s="67" customFormat="1" ht="16.5" customHeight="1" x14ac:dyDescent="0.25">
      <c r="A188" s="68" t="s">
        <v>3352</v>
      </c>
      <c r="B188" s="68" t="s">
        <v>2349</v>
      </c>
      <c r="C188" s="68" t="s">
        <v>2992</v>
      </c>
      <c r="D188" s="68" t="s">
        <v>2809</v>
      </c>
      <c r="E188" s="68" t="s">
        <v>3053</v>
      </c>
      <c r="F188" s="68" t="s">
        <v>3047</v>
      </c>
      <c r="G188" s="68" t="s">
        <v>3048</v>
      </c>
      <c r="H188" s="68" t="s">
        <v>3058</v>
      </c>
      <c r="I188" s="68" t="s">
        <v>3050</v>
      </c>
      <c r="J188" s="68" t="s">
        <v>3160</v>
      </c>
      <c r="K188" s="69" t="s">
        <v>3160</v>
      </c>
      <c r="L188" s="69" t="str">
        <f>VLOOKUP(LinkTable6789[[#This Row],[Coluna1]],[4]AlarmCatalog!$A:$M,11,FALSE)</f>
        <v>Severidade 8</v>
      </c>
    </row>
    <row r="189" spans="1:12" s="67" customFormat="1" ht="16.5" customHeight="1" x14ac:dyDescent="0.25">
      <c r="A189" s="68" t="s">
        <v>3353</v>
      </c>
      <c r="B189" s="68" t="s">
        <v>2349</v>
      </c>
      <c r="C189" s="68" t="s">
        <v>3354</v>
      </c>
      <c r="D189" s="68" t="s">
        <v>2809</v>
      </c>
      <c r="E189" s="68" t="s">
        <v>3053</v>
      </c>
      <c r="F189" s="68" t="s">
        <v>3047</v>
      </c>
      <c r="G189" s="68" t="s">
        <v>3048</v>
      </c>
      <c r="H189" s="68" t="s">
        <v>3058</v>
      </c>
      <c r="I189" s="68" t="s">
        <v>3050</v>
      </c>
      <c r="J189" s="68" t="s">
        <v>3297</v>
      </c>
      <c r="K189" s="69" t="s">
        <v>3297</v>
      </c>
      <c r="L189" s="69" t="str">
        <f>VLOOKUP(LinkTable6789[[#This Row],[Coluna1]],[4]AlarmCatalog!$A:$M,11,FALSE)</f>
        <v>Severidade 4</v>
      </c>
    </row>
    <row r="190" spans="1:12" s="67" customFormat="1" ht="16.5" customHeight="1" x14ac:dyDescent="0.25">
      <c r="A190" s="68" t="s">
        <v>3355</v>
      </c>
      <c r="B190" s="68" t="s">
        <v>2349</v>
      </c>
      <c r="C190" s="68" t="s">
        <v>3356</v>
      </c>
      <c r="D190" s="68" t="s">
        <v>2809</v>
      </c>
      <c r="E190" s="68" t="s">
        <v>3053</v>
      </c>
      <c r="F190" s="68" t="s">
        <v>3047</v>
      </c>
      <c r="G190" s="68" t="s">
        <v>3048</v>
      </c>
      <c r="H190" s="68" t="s">
        <v>3058</v>
      </c>
      <c r="I190" s="68" t="s">
        <v>3050</v>
      </c>
      <c r="J190" s="68" t="s">
        <v>3297</v>
      </c>
      <c r="K190" s="69" t="s">
        <v>3297</v>
      </c>
      <c r="L190" s="69" t="str">
        <f>VLOOKUP(LinkTable6789[[#This Row],[Coluna1]],[4]AlarmCatalog!$A:$M,11,FALSE)</f>
        <v>Severidade 4</v>
      </c>
    </row>
    <row r="191" spans="1:12" s="67" customFormat="1" ht="16.5" customHeight="1" x14ac:dyDescent="0.25">
      <c r="A191" s="68" t="s">
        <v>3357</v>
      </c>
      <c r="B191" s="68" t="s">
        <v>2349</v>
      </c>
      <c r="C191" s="68" t="s">
        <v>2992</v>
      </c>
      <c r="D191" s="68" t="s">
        <v>2809</v>
      </c>
      <c r="E191" s="68" t="s">
        <v>3046</v>
      </c>
      <c r="F191" s="68" t="s">
        <v>3047</v>
      </c>
      <c r="G191" s="68" t="s">
        <v>3048</v>
      </c>
      <c r="H191" s="68" t="s">
        <v>3058</v>
      </c>
      <c r="I191" s="68" t="s">
        <v>3050</v>
      </c>
      <c r="J191" s="68" t="s">
        <v>3297</v>
      </c>
      <c r="K191" s="69" t="s">
        <v>3297</v>
      </c>
      <c r="L191" s="69" t="str">
        <f>VLOOKUP(LinkTable6789[[#This Row],[Coluna1]],[4]AlarmCatalog!$A:$M,11,FALSE)</f>
        <v>Severidade 4</v>
      </c>
    </row>
    <row r="192" spans="1:12" s="67" customFormat="1" ht="16.5" customHeight="1" x14ac:dyDescent="0.25">
      <c r="A192" s="68" t="s">
        <v>3358</v>
      </c>
      <c r="B192" s="68" t="s">
        <v>2349</v>
      </c>
      <c r="C192" s="68" t="s">
        <v>3094</v>
      </c>
      <c r="D192" s="68" t="s">
        <v>2809</v>
      </c>
      <c r="E192" s="68" t="s">
        <v>3053</v>
      </c>
      <c r="F192" s="68" t="s">
        <v>3180</v>
      </c>
      <c r="G192" s="68" t="s">
        <v>3048</v>
      </c>
      <c r="H192" s="68" t="s">
        <v>3058</v>
      </c>
      <c r="I192" s="68" t="s">
        <v>3050</v>
      </c>
      <c r="J192" s="68" t="s">
        <v>3297</v>
      </c>
      <c r="K192" s="69" t="s">
        <v>3297</v>
      </c>
      <c r="L192" s="69" t="str">
        <f>VLOOKUP(LinkTable6789[[#This Row],[Coluna1]],[4]AlarmCatalog!$A:$M,11,FALSE)</f>
        <v>Severidade 4</v>
      </c>
    </row>
    <row r="193" spans="1:12" s="67" customFormat="1" ht="16.5" customHeight="1" x14ac:dyDescent="0.25">
      <c r="A193" s="68" t="s">
        <v>3359</v>
      </c>
      <c r="B193" s="68" t="s">
        <v>2349</v>
      </c>
      <c r="C193" s="68" t="s">
        <v>2992</v>
      </c>
      <c r="D193" s="68" t="s">
        <v>2809</v>
      </c>
      <c r="E193" s="68" t="s">
        <v>3046</v>
      </c>
      <c r="F193" s="68" t="s">
        <v>3047</v>
      </c>
      <c r="G193" s="68" t="s">
        <v>3048</v>
      </c>
      <c r="H193" s="68" t="s">
        <v>3058</v>
      </c>
      <c r="I193" s="68" t="s">
        <v>3050</v>
      </c>
      <c r="J193" s="68" t="s">
        <v>3101</v>
      </c>
      <c r="K193" s="69" t="s">
        <v>3101</v>
      </c>
      <c r="L193" s="69" t="str">
        <f>VLOOKUP(LinkTable6789[[#This Row],[Coluna1]],[4]AlarmCatalog!$A:$M,11,FALSE)</f>
        <v>Severidade 8</v>
      </c>
    </row>
    <row r="194" spans="1:12" s="67" customFormat="1" ht="16.5" customHeight="1" x14ac:dyDescent="0.25">
      <c r="A194" s="68" t="s">
        <v>3360</v>
      </c>
      <c r="B194" s="68" t="s">
        <v>2349</v>
      </c>
      <c r="C194" s="68" t="s">
        <v>2985</v>
      </c>
      <c r="D194" s="68" t="s">
        <v>2809</v>
      </c>
      <c r="E194" s="68" t="s">
        <v>3046</v>
      </c>
      <c r="F194" s="68" t="s">
        <v>3047</v>
      </c>
      <c r="G194" s="68" t="s">
        <v>3048</v>
      </c>
      <c r="H194" s="68" t="s">
        <v>3075</v>
      </c>
      <c r="I194" s="68" t="s">
        <v>3050</v>
      </c>
      <c r="J194" s="68" t="s">
        <v>3297</v>
      </c>
      <c r="K194" s="69" t="s">
        <v>3297</v>
      </c>
      <c r="L194" s="69" t="str">
        <f>VLOOKUP(LinkTable6789[[#This Row],[Coluna1]],[4]AlarmCatalog!$A:$M,11,FALSE)</f>
        <v>Severidade 4</v>
      </c>
    </row>
    <row r="195" spans="1:12" s="67" customFormat="1" ht="16.5" customHeight="1" x14ac:dyDescent="0.25">
      <c r="A195" s="68" t="s">
        <v>3361</v>
      </c>
      <c r="B195" s="68" t="s">
        <v>2349</v>
      </c>
      <c r="C195" s="68" t="s">
        <v>3362</v>
      </c>
      <c r="D195" s="68" t="s">
        <v>2990</v>
      </c>
      <c r="E195" s="68" t="s">
        <v>3064</v>
      </c>
      <c r="F195" s="68" t="s">
        <v>3047</v>
      </c>
      <c r="G195" s="68" t="s">
        <v>3048</v>
      </c>
      <c r="H195" s="68" t="s">
        <v>3058</v>
      </c>
      <c r="I195" s="68" t="s">
        <v>3050</v>
      </c>
      <c r="J195" s="68" t="s">
        <v>3297</v>
      </c>
      <c r="K195" s="69" t="s">
        <v>3297</v>
      </c>
      <c r="L195" s="69" t="str">
        <f>VLOOKUP(LinkTable6789[[#This Row],[Coluna1]],[4]AlarmCatalog!$A:$M,11,FALSE)</f>
        <v>Severidade 4</v>
      </c>
    </row>
    <row r="196" spans="1:12" s="67" customFormat="1" ht="16.5" customHeight="1" x14ac:dyDescent="0.25">
      <c r="A196" s="68" t="s">
        <v>3363</v>
      </c>
      <c r="B196" s="68" t="s">
        <v>2349</v>
      </c>
      <c r="C196" s="68" t="s">
        <v>3063</v>
      </c>
      <c r="D196" s="68" t="s">
        <v>2809</v>
      </c>
      <c r="E196" s="68" t="s">
        <v>3046</v>
      </c>
      <c r="F196" s="68" t="s">
        <v>3180</v>
      </c>
      <c r="G196" s="68" t="s">
        <v>3048</v>
      </c>
      <c r="H196" s="68" t="s">
        <v>3058</v>
      </c>
      <c r="I196" s="68" t="s">
        <v>3050</v>
      </c>
      <c r="J196" s="68" t="s">
        <v>3297</v>
      </c>
      <c r="K196" s="69" t="s">
        <v>3297</v>
      </c>
      <c r="L196" s="69" t="str">
        <f>VLOOKUP(LinkTable6789[[#This Row],[Coluna1]],[4]AlarmCatalog!$A:$M,11,FALSE)</f>
        <v>Severidade 4</v>
      </c>
    </row>
    <row r="197" spans="1:12" s="67" customFormat="1" ht="16.5" customHeight="1" x14ac:dyDescent="0.25">
      <c r="A197" s="68" t="s">
        <v>3364</v>
      </c>
      <c r="B197" s="68" t="s">
        <v>2349</v>
      </c>
      <c r="C197" s="68" t="s">
        <v>3306</v>
      </c>
      <c r="D197" s="68" t="s">
        <v>2809</v>
      </c>
      <c r="E197" s="68" t="s">
        <v>3046</v>
      </c>
      <c r="F197" s="68" t="s">
        <v>3047</v>
      </c>
      <c r="G197" s="68" t="s">
        <v>3048</v>
      </c>
      <c r="H197" s="68" t="s">
        <v>3058</v>
      </c>
      <c r="I197" s="68" t="s">
        <v>3050</v>
      </c>
      <c r="J197" s="68" t="s">
        <v>3297</v>
      </c>
      <c r="K197" s="69" t="s">
        <v>3297</v>
      </c>
      <c r="L197" s="69" t="str">
        <f>VLOOKUP(LinkTable6789[[#This Row],[Coluna1]],[4]AlarmCatalog!$A:$M,11,FALSE)</f>
        <v>Severidade 4</v>
      </c>
    </row>
    <row r="198" spans="1:12" s="67" customFormat="1" ht="16.5" customHeight="1" x14ac:dyDescent="0.25">
      <c r="A198" s="68" t="s">
        <v>3365</v>
      </c>
      <c r="B198" s="68" t="s">
        <v>2349</v>
      </c>
      <c r="C198" s="68" t="s">
        <v>3366</v>
      </c>
      <c r="D198" s="68" t="s">
        <v>2809</v>
      </c>
      <c r="E198" s="68" t="s">
        <v>3053</v>
      </c>
      <c r="F198" s="68" t="s">
        <v>3047</v>
      </c>
      <c r="G198" s="68" t="s">
        <v>3048</v>
      </c>
      <c r="H198" s="68" t="s">
        <v>3058</v>
      </c>
      <c r="I198" s="68" t="s">
        <v>3050</v>
      </c>
      <c r="J198" s="68" t="s">
        <v>3297</v>
      </c>
      <c r="K198" s="69" t="s">
        <v>3297</v>
      </c>
      <c r="L198" s="69" t="str">
        <f>VLOOKUP(LinkTable6789[[#This Row],[Coluna1]],[4]AlarmCatalog!$A:$M,11,FALSE)</f>
        <v>Severidade 4</v>
      </c>
    </row>
    <row r="199" spans="1:12" s="67" customFormat="1" ht="16.5" customHeight="1" x14ac:dyDescent="0.25">
      <c r="A199" s="68" t="s">
        <v>3367</v>
      </c>
      <c r="B199" s="68" t="s">
        <v>2349</v>
      </c>
      <c r="C199" s="68" t="s">
        <v>3368</v>
      </c>
      <c r="D199" s="68" t="s">
        <v>2809</v>
      </c>
      <c r="E199" s="68" t="s">
        <v>3053</v>
      </c>
      <c r="F199" s="68" t="s">
        <v>3047</v>
      </c>
      <c r="G199" s="68" t="s">
        <v>3048</v>
      </c>
      <c r="H199" s="68" t="s">
        <v>3058</v>
      </c>
      <c r="I199" s="68" t="s">
        <v>3050</v>
      </c>
      <c r="J199" s="68" t="s">
        <v>3297</v>
      </c>
      <c r="K199" s="69" t="s">
        <v>3297</v>
      </c>
      <c r="L199" s="69" t="str">
        <f>VLOOKUP(LinkTable6789[[#This Row],[Coluna1]],[4]AlarmCatalog!$A:$M,11,FALSE)</f>
        <v>Severidade 4</v>
      </c>
    </row>
    <row r="200" spans="1:12" s="67" customFormat="1" ht="16.5" customHeight="1" x14ac:dyDescent="0.25">
      <c r="A200" s="68" t="s">
        <v>3369</v>
      </c>
      <c r="B200" s="68" t="s">
        <v>2349</v>
      </c>
      <c r="C200" s="68" t="s">
        <v>3370</v>
      </c>
      <c r="D200" s="68" t="s">
        <v>2809</v>
      </c>
      <c r="E200" s="68" t="s">
        <v>3111</v>
      </c>
      <c r="F200" s="68" t="s">
        <v>3047</v>
      </c>
      <c r="G200" s="68" t="s">
        <v>3048</v>
      </c>
      <c r="H200" s="68" t="s">
        <v>3058</v>
      </c>
      <c r="I200" s="68" t="s">
        <v>3050</v>
      </c>
      <c r="J200" s="68" t="s">
        <v>3297</v>
      </c>
      <c r="K200" s="69" t="s">
        <v>3297</v>
      </c>
      <c r="L200" s="69" t="str">
        <f>VLOOKUP(LinkTable6789[[#This Row],[Coluna1]],[4]AlarmCatalog!$A:$M,11,FALSE)</f>
        <v>Severidade 4</v>
      </c>
    </row>
    <row r="201" spans="1:12" s="67" customFormat="1" ht="16.5" customHeight="1" x14ac:dyDescent="0.25">
      <c r="A201" s="68" t="s">
        <v>3371</v>
      </c>
      <c r="B201" s="68" t="s">
        <v>2349</v>
      </c>
      <c r="C201" s="68" t="s">
        <v>3094</v>
      </c>
      <c r="D201" s="68" t="s">
        <v>2809</v>
      </c>
      <c r="E201" s="68" t="s">
        <v>2809</v>
      </c>
      <c r="F201" s="68" t="s">
        <v>3047</v>
      </c>
      <c r="G201" s="68" t="s">
        <v>3048</v>
      </c>
      <c r="H201" s="68" t="s">
        <v>3066</v>
      </c>
      <c r="I201" s="68" t="s">
        <v>3050</v>
      </c>
      <c r="J201" s="68" t="s">
        <v>3297</v>
      </c>
      <c r="K201" s="69" t="s">
        <v>3297</v>
      </c>
      <c r="L201" s="69" t="str">
        <f>VLOOKUP(LinkTable6789[[#This Row],[Coluna1]],[4]AlarmCatalog!$A:$M,11,FALSE)</f>
        <v>Severidade 4</v>
      </c>
    </row>
    <row r="202" spans="1:12" s="67" customFormat="1" ht="16.5" customHeight="1" x14ac:dyDescent="0.25">
      <c r="A202" s="68" t="s">
        <v>3372</v>
      </c>
      <c r="B202" s="68" t="s">
        <v>2349</v>
      </c>
      <c r="C202" s="68" t="s">
        <v>3149</v>
      </c>
      <c r="D202" s="68" t="s">
        <v>3053</v>
      </c>
      <c r="E202" s="68" t="s">
        <v>2990</v>
      </c>
      <c r="F202" s="68" t="s">
        <v>3150</v>
      </c>
      <c r="G202" s="68" t="s">
        <v>3190</v>
      </c>
      <c r="H202" s="68" t="s">
        <v>3191</v>
      </c>
      <c r="I202" s="68" t="s">
        <v>3124</v>
      </c>
      <c r="J202" s="68" t="s">
        <v>3160</v>
      </c>
      <c r="K202" s="69" t="s">
        <v>3160</v>
      </c>
      <c r="L202" s="69" t="str">
        <f>VLOOKUP(LinkTable6789[[#This Row],[Coluna1]],[4]AlarmCatalog!$A:$M,11,FALSE)</f>
        <v>Severidade 8</v>
      </c>
    </row>
    <row r="203" spans="1:12" s="67" customFormat="1" ht="16.5" customHeight="1" x14ac:dyDescent="0.25">
      <c r="A203" s="68" t="s">
        <v>3373</v>
      </c>
      <c r="B203" s="68" t="s">
        <v>2349</v>
      </c>
      <c r="C203" s="68" t="s">
        <v>3374</v>
      </c>
      <c r="D203" s="68" t="s">
        <v>2809</v>
      </c>
      <c r="E203" s="68" t="s">
        <v>3053</v>
      </c>
      <c r="F203" s="68" t="s">
        <v>3047</v>
      </c>
      <c r="G203" s="68" t="s">
        <v>3048</v>
      </c>
      <c r="H203" s="68" t="s">
        <v>3058</v>
      </c>
      <c r="I203" s="68" t="s">
        <v>3050</v>
      </c>
      <c r="J203" s="68" t="s">
        <v>3297</v>
      </c>
      <c r="K203" s="69" t="s">
        <v>3297</v>
      </c>
      <c r="L203" s="69" t="str">
        <f>VLOOKUP(LinkTable6789[[#This Row],[Coluna1]],[4]AlarmCatalog!$A:$M,11,FALSE)</f>
        <v>Severidade 4</v>
      </c>
    </row>
    <row r="204" spans="1:12" s="67" customFormat="1" ht="16.5" customHeight="1" x14ac:dyDescent="0.25">
      <c r="A204" s="68" t="s">
        <v>3375</v>
      </c>
      <c r="B204" s="68" t="s">
        <v>2349</v>
      </c>
      <c r="C204" s="68" t="s">
        <v>3351</v>
      </c>
      <c r="D204" s="68" t="s">
        <v>2809</v>
      </c>
      <c r="E204" s="68" t="s">
        <v>3053</v>
      </c>
      <c r="F204" s="68" t="s">
        <v>3047</v>
      </c>
      <c r="G204" s="68" t="s">
        <v>3048</v>
      </c>
      <c r="H204" s="68" t="s">
        <v>3058</v>
      </c>
      <c r="I204" s="68" t="s">
        <v>3050</v>
      </c>
      <c r="J204" s="68" t="s">
        <v>3297</v>
      </c>
      <c r="K204" s="69" t="s">
        <v>3297</v>
      </c>
      <c r="L204" s="69" t="str">
        <f>VLOOKUP(LinkTable6789[[#This Row],[Coluna1]],[4]AlarmCatalog!$A:$M,11,FALSE)</f>
        <v>Severidade 4</v>
      </c>
    </row>
    <row r="205" spans="1:12" s="67" customFormat="1" ht="16.5" customHeight="1" x14ac:dyDescent="0.25">
      <c r="A205" s="68" t="s">
        <v>3376</v>
      </c>
      <c r="B205" s="68" t="s">
        <v>2349</v>
      </c>
      <c r="C205" s="68" t="s">
        <v>2986</v>
      </c>
      <c r="D205" s="68" t="s">
        <v>2809</v>
      </c>
      <c r="E205" s="68" t="s">
        <v>3046</v>
      </c>
      <c r="F205" s="68" t="s">
        <v>3056</v>
      </c>
      <c r="G205" s="68" t="s">
        <v>3057</v>
      </c>
      <c r="H205" s="68" t="s">
        <v>3058</v>
      </c>
      <c r="I205" s="68" t="s">
        <v>3050</v>
      </c>
      <c r="J205" s="68" t="s">
        <v>3059</v>
      </c>
      <c r="K205" s="69" t="s">
        <v>3059</v>
      </c>
      <c r="L205" s="69" t="str">
        <f>VLOOKUP(LinkTable6789[[#This Row],[Coluna1]],[4]AlarmCatalog!$A:$M,11,FALSE)</f>
        <v>Severidade 2</v>
      </c>
    </row>
    <row r="206" spans="1:12" s="67" customFormat="1" ht="16.5" customHeight="1" x14ac:dyDescent="0.25">
      <c r="A206" s="68" t="s">
        <v>3377</v>
      </c>
      <c r="B206" s="68" t="s">
        <v>2349</v>
      </c>
      <c r="C206" s="68" t="s">
        <v>3378</v>
      </c>
      <c r="D206" s="68" t="s">
        <v>2809</v>
      </c>
      <c r="E206" s="68" t="s">
        <v>3053</v>
      </c>
      <c r="F206" s="68" t="s">
        <v>3047</v>
      </c>
      <c r="G206" s="68" t="s">
        <v>3048</v>
      </c>
      <c r="H206" s="68" t="s">
        <v>3058</v>
      </c>
      <c r="I206" s="68" t="s">
        <v>3050</v>
      </c>
      <c r="J206" s="68" t="s">
        <v>3297</v>
      </c>
      <c r="K206" s="69" t="s">
        <v>3297</v>
      </c>
      <c r="L206" s="69" t="str">
        <f>VLOOKUP(LinkTable6789[[#This Row],[Coluna1]],[4]AlarmCatalog!$A:$M,11,FALSE)</f>
        <v>Severidade 4</v>
      </c>
    </row>
    <row r="207" spans="1:12" s="67" customFormat="1" ht="16.5" customHeight="1" x14ac:dyDescent="0.25">
      <c r="A207" s="68" t="s">
        <v>3379</v>
      </c>
      <c r="B207" s="68" t="s">
        <v>2349</v>
      </c>
      <c r="C207" s="68" t="s">
        <v>3380</v>
      </c>
      <c r="D207" s="68" t="s">
        <v>2809</v>
      </c>
      <c r="E207" s="68" t="s">
        <v>3053</v>
      </c>
      <c r="F207" s="68" t="s">
        <v>3047</v>
      </c>
      <c r="G207" s="68" t="s">
        <v>3048</v>
      </c>
      <c r="H207" s="68" t="s">
        <v>3058</v>
      </c>
      <c r="I207" s="68" t="s">
        <v>3050</v>
      </c>
      <c r="J207" s="68" t="s">
        <v>3297</v>
      </c>
      <c r="K207" s="69" t="s">
        <v>3297</v>
      </c>
      <c r="L207" s="69" t="str">
        <f>VLOOKUP(LinkTable6789[[#This Row],[Coluna1]],[4]AlarmCatalog!$A:$M,11,FALSE)</f>
        <v>Severidade 4</v>
      </c>
    </row>
    <row r="208" spans="1:12" s="67" customFormat="1" ht="16.5" customHeight="1" x14ac:dyDescent="0.25">
      <c r="A208" s="68" t="s">
        <v>3381</v>
      </c>
      <c r="B208" s="68" t="s">
        <v>2349</v>
      </c>
      <c r="C208" s="68" t="s">
        <v>3382</v>
      </c>
      <c r="D208" s="68" t="s">
        <v>2809</v>
      </c>
      <c r="E208" s="68" t="s">
        <v>3053</v>
      </c>
      <c r="F208" s="68" t="s">
        <v>3047</v>
      </c>
      <c r="G208" s="68" t="s">
        <v>3048</v>
      </c>
      <c r="H208" s="68" t="s">
        <v>3058</v>
      </c>
      <c r="I208" s="68" t="s">
        <v>3050</v>
      </c>
      <c r="J208" s="68" t="s">
        <v>3297</v>
      </c>
      <c r="K208" s="69" t="s">
        <v>3297</v>
      </c>
      <c r="L208" s="69" t="str">
        <f>VLOOKUP(LinkTable6789[[#This Row],[Coluna1]],[4]AlarmCatalog!$A:$M,11,FALSE)</f>
        <v>Severidade 4</v>
      </c>
    </row>
    <row r="209" spans="1:12" s="67" customFormat="1" ht="16.5" customHeight="1" x14ac:dyDescent="0.25">
      <c r="A209" s="68" t="s">
        <v>3383</v>
      </c>
      <c r="B209" s="68" t="s">
        <v>2349</v>
      </c>
      <c r="C209" s="68" t="s">
        <v>3170</v>
      </c>
      <c r="D209" s="68" t="s">
        <v>2809</v>
      </c>
      <c r="E209" s="68" t="s">
        <v>3053</v>
      </c>
      <c r="F209" s="68" t="s">
        <v>3047</v>
      </c>
      <c r="G209" s="68" t="s">
        <v>3048</v>
      </c>
      <c r="H209" s="68" t="s">
        <v>3058</v>
      </c>
      <c r="I209" s="68" t="s">
        <v>3050</v>
      </c>
      <c r="J209" s="68" t="s">
        <v>3297</v>
      </c>
      <c r="K209" s="69" t="s">
        <v>3297</v>
      </c>
      <c r="L209" s="69" t="str">
        <f>VLOOKUP(LinkTable6789[[#This Row],[Coluna1]],[4]AlarmCatalog!$A:$M,11,FALSE)</f>
        <v>Severidade 4</v>
      </c>
    </row>
    <row r="210" spans="1:12" s="67" customFormat="1" ht="16.5" customHeight="1" x14ac:dyDescent="0.25">
      <c r="A210" s="68" t="s">
        <v>3384</v>
      </c>
      <c r="B210" s="68" t="s">
        <v>2349</v>
      </c>
      <c r="C210" s="68" t="s">
        <v>3047</v>
      </c>
      <c r="D210" s="68" t="s">
        <v>2809</v>
      </c>
      <c r="E210" s="68" t="s">
        <v>3053</v>
      </c>
      <c r="F210" s="68" t="s">
        <v>3385</v>
      </c>
      <c r="G210" s="68" t="s">
        <v>3048</v>
      </c>
      <c r="H210" s="68" t="s">
        <v>3058</v>
      </c>
      <c r="I210" s="68" t="s">
        <v>3050</v>
      </c>
      <c r="J210" s="68" t="s">
        <v>3386</v>
      </c>
      <c r="K210" s="69" t="s">
        <v>3386</v>
      </c>
      <c r="L210" s="69" t="str">
        <f>VLOOKUP(LinkTable6789[[#This Row],[Coluna1]],[4]AlarmCatalog!$A:$M,11,FALSE)</f>
        <v>Severidade 5</v>
      </c>
    </row>
    <row r="211" spans="1:12" s="67" customFormat="1" ht="16.5" customHeight="1" x14ac:dyDescent="0.25">
      <c r="A211" s="68" t="s">
        <v>3387</v>
      </c>
      <c r="B211" s="68" t="s">
        <v>2349</v>
      </c>
      <c r="C211" s="68" t="s">
        <v>3144</v>
      </c>
      <c r="D211" s="68" t="s">
        <v>2809</v>
      </c>
      <c r="E211" s="68" t="s">
        <v>3064</v>
      </c>
      <c r="F211" s="68" t="s">
        <v>3047</v>
      </c>
      <c r="G211" s="68" t="s">
        <v>3048</v>
      </c>
      <c r="H211" s="68" t="s">
        <v>3075</v>
      </c>
      <c r="I211" s="68" t="s">
        <v>3050</v>
      </c>
      <c r="J211" s="68" t="s">
        <v>3297</v>
      </c>
      <c r="K211" s="69" t="s">
        <v>3297</v>
      </c>
      <c r="L211" s="69" t="str">
        <f>VLOOKUP(LinkTable6789[[#This Row],[Coluna1]],[4]AlarmCatalog!$A:$M,11,FALSE)</f>
        <v>Severidade 4</v>
      </c>
    </row>
    <row r="212" spans="1:12" s="67" customFormat="1" ht="16.5" customHeight="1" x14ac:dyDescent="0.25">
      <c r="A212" s="68" t="s">
        <v>3388</v>
      </c>
      <c r="B212" s="68" t="s">
        <v>2349</v>
      </c>
      <c r="C212" s="68" t="s">
        <v>3389</v>
      </c>
      <c r="D212" s="68" t="s">
        <v>2809</v>
      </c>
      <c r="E212" s="68" t="s">
        <v>3064</v>
      </c>
      <c r="F212" s="68" t="s">
        <v>3047</v>
      </c>
      <c r="G212" s="68" t="s">
        <v>3048</v>
      </c>
      <c r="H212" s="68" t="s">
        <v>3075</v>
      </c>
      <c r="I212" s="68" t="s">
        <v>3050</v>
      </c>
      <c r="J212" s="68" t="s">
        <v>3297</v>
      </c>
      <c r="K212" s="69" t="s">
        <v>3297</v>
      </c>
      <c r="L212" s="69" t="str">
        <f>VLOOKUP(LinkTable6789[[#This Row],[Coluna1]],[4]AlarmCatalog!$A:$M,11,FALSE)</f>
        <v>Severidade 4</v>
      </c>
    </row>
    <row r="213" spans="1:12" s="67" customFormat="1" ht="16.5" customHeight="1" x14ac:dyDescent="0.25">
      <c r="A213" s="68" t="s">
        <v>3390</v>
      </c>
      <c r="B213" s="68" t="s">
        <v>2349</v>
      </c>
      <c r="C213" s="68" t="s">
        <v>2982</v>
      </c>
      <c r="D213" s="68" t="s">
        <v>2809</v>
      </c>
      <c r="E213" s="68" t="s">
        <v>3053</v>
      </c>
      <c r="F213" s="68" t="s">
        <v>3047</v>
      </c>
      <c r="G213" s="68" t="s">
        <v>3048</v>
      </c>
      <c r="H213" s="68" t="s">
        <v>3058</v>
      </c>
      <c r="I213" s="68" t="s">
        <v>3050</v>
      </c>
      <c r="J213" s="68" t="s">
        <v>3101</v>
      </c>
      <c r="K213" s="69" t="s">
        <v>3101</v>
      </c>
      <c r="L213" s="69" t="str">
        <f>VLOOKUP(LinkTable6789[[#This Row],[Coluna1]],[4]AlarmCatalog!$A:$M,11,FALSE)</f>
        <v>Severidade 8</v>
      </c>
    </row>
    <row r="214" spans="1:12" s="67" customFormat="1" ht="16.5" customHeight="1" x14ac:dyDescent="0.25">
      <c r="A214" s="68" t="s">
        <v>3391</v>
      </c>
      <c r="B214" s="68" t="s">
        <v>2349</v>
      </c>
      <c r="C214" s="68" t="s">
        <v>3144</v>
      </c>
      <c r="D214" s="68" t="s">
        <v>2809</v>
      </c>
      <c r="E214" s="68" t="s">
        <v>3046</v>
      </c>
      <c r="F214" s="68" t="s">
        <v>3047</v>
      </c>
      <c r="G214" s="68" t="s">
        <v>3048</v>
      </c>
      <c r="H214" s="68" t="s">
        <v>3075</v>
      </c>
      <c r="I214" s="68" t="s">
        <v>3050</v>
      </c>
      <c r="J214" s="68" t="s">
        <v>3297</v>
      </c>
      <c r="K214" s="69" t="s">
        <v>3297</v>
      </c>
      <c r="L214" s="69" t="str">
        <f>VLOOKUP(LinkTable6789[[#This Row],[Coluna1]],[4]AlarmCatalog!$A:$M,11,FALSE)</f>
        <v>Severidade 4</v>
      </c>
    </row>
    <row r="215" spans="1:12" s="67" customFormat="1" ht="16.5" customHeight="1" x14ac:dyDescent="0.25">
      <c r="A215" s="68" t="s">
        <v>3392</v>
      </c>
      <c r="B215" s="68" t="s">
        <v>2349</v>
      </c>
      <c r="C215" s="68" t="s">
        <v>3349</v>
      </c>
      <c r="D215" s="68" t="s">
        <v>2809</v>
      </c>
      <c r="E215" s="68" t="s">
        <v>3053</v>
      </c>
      <c r="F215" s="68" t="s">
        <v>3047</v>
      </c>
      <c r="G215" s="68" t="s">
        <v>3048</v>
      </c>
      <c r="H215" s="68" t="s">
        <v>3058</v>
      </c>
      <c r="I215" s="68" t="s">
        <v>3050</v>
      </c>
      <c r="J215" s="68" t="s">
        <v>3297</v>
      </c>
      <c r="K215" s="69" t="s">
        <v>3297</v>
      </c>
      <c r="L215" s="69" t="str">
        <f>VLOOKUP(LinkTable6789[[#This Row],[Coluna1]],[4]AlarmCatalog!$A:$M,11,FALSE)</f>
        <v>Severidade 4</v>
      </c>
    </row>
    <row r="216" spans="1:12" s="67" customFormat="1" ht="16.5" customHeight="1" x14ac:dyDescent="0.25">
      <c r="A216" s="68" t="s">
        <v>3393</v>
      </c>
      <c r="B216" s="68" t="s">
        <v>2349</v>
      </c>
      <c r="C216" s="68" t="s">
        <v>2982</v>
      </c>
      <c r="D216" s="68" t="s">
        <v>2809</v>
      </c>
      <c r="E216" s="68" t="s">
        <v>3053</v>
      </c>
      <c r="F216" s="68" t="s">
        <v>3047</v>
      </c>
      <c r="G216" s="68" t="s">
        <v>3048</v>
      </c>
      <c r="H216" s="68" t="s">
        <v>3058</v>
      </c>
      <c r="I216" s="68" t="s">
        <v>3050</v>
      </c>
      <c r="J216" s="68" t="s">
        <v>3394</v>
      </c>
      <c r="K216" s="69" t="s">
        <v>3394</v>
      </c>
      <c r="L216" s="69" t="str">
        <f>VLOOKUP(LinkTable6789[[#This Row],[Coluna1]],[4]AlarmCatalog!$A:$M,11,FALSE)</f>
        <v>Severidade 5</v>
      </c>
    </row>
    <row r="217" spans="1:12" s="67" customFormat="1" ht="16.5" customHeight="1" x14ac:dyDescent="0.25">
      <c r="A217" s="68" t="s">
        <v>3395</v>
      </c>
      <c r="B217" s="68" t="s">
        <v>2349</v>
      </c>
      <c r="C217" s="68" t="s">
        <v>3396</v>
      </c>
      <c r="D217" s="68" t="s">
        <v>2809</v>
      </c>
      <c r="E217" s="68" t="s">
        <v>3053</v>
      </c>
      <c r="F217" s="68" t="s">
        <v>3047</v>
      </c>
      <c r="G217" s="68" t="s">
        <v>3048</v>
      </c>
      <c r="H217" s="68" t="s">
        <v>3058</v>
      </c>
      <c r="I217" s="68" t="s">
        <v>3050</v>
      </c>
      <c r="J217" s="68" t="s">
        <v>3297</v>
      </c>
      <c r="K217" s="69" t="s">
        <v>3297</v>
      </c>
      <c r="L217" s="69" t="str">
        <f>VLOOKUP(LinkTable6789[[#This Row],[Coluna1]],[4]AlarmCatalog!$A:$M,11,FALSE)</f>
        <v>Severidade 4</v>
      </c>
    </row>
    <row r="218" spans="1:12" s="67" customFormat="1" ht="16.5" customHeight="1" x14ac:dyDescent="0.25">
      <c r="A218" s="68" t="s">
        <v>3397</v>
      </c>
      <c r="B218" s="68" t="s">
        <v>2349</v>
      </c>
      <c r="C218" s="68" t="s">
        <v>3398</v>
      </c>
      <c r="D218" s="68" t="s">
        <v>2809</v>
      </c>
      <c r="E218" s="68" t="s">
        <v>3053</v>
      </c>
      <c r="F218" s="68" t="s">
        <v>3047</v>
      </c>
      <c r="G218" s="68" t="s">
        <v>3048</v>
      </c>
      <c r="H218" s="68" t="s">
        <v>3058</v>
      </c>
      <c r="I218" s="68" t="s">
        <v>3050</v>
      </c>
      <c r="J218" s="68" t="s">
        <v>3297</v>
      </c>
      <c r="K218" s="69" t="s">
        <v>3297</v>
      </c>
      <c r="L218" s="69" t="str">
        <f>VLOOKUP(LinkTable6789[[#This Row],[Coluna1]],[4]AlarmCatalog!$A:$M,11,FALSE)</f>
        <v>Severidade 4</v>
      </c>
    </row>
    <row r="219" spans="1:12" s="67" customFormat="1" ht="16.5" customHeight="1" x14ac:dyDescent="0.25">
      <c r="A219" s="68" t="s">
        <v>3399</v>
      </c>
      <c r="B219" s="68" t="s">
        <v>2349</v>
      </c>
      <c r="C219" s="68" t="s">
        <v>3362</v>
      </c>
      <c r="D219" s="68" t="s">
        <v>2990</v>
      </c>
      <c r="E219" s="68" t="s">
        <v>3053</v>
      </c>
      <c r="F219" s="68" t="s">
        <v>3047</v>
      </c>
      <c r="G219" s="68" t="s">
        <v>3048</v>
      </c>
      <c r="H219" s="68" t="s">
        <v>3058</v>
      </c>
      <c r="I219" s="68" t="s">
        <v>3050</v>
      </c>
      <c r="J219" s="68" t="s">
        <v>3297</v>
      </c>
      <c r="K219" s="69" t="s">
        <v>3297</v>
      </c>
      <c r="L219" s="69" t="str">
        <f>VLOOKUP(LinkTable6789[[#This Row],[Coluna1]],[4]AlarmCatalog!$A:$M,11,FALSE)</f>
        <v>Severidade 4</v>
      </c>
    </row>
    <row r="220" spans="1:12" s="67" customFormat="1" ht="16.5" customHeight="1" x14ac:dyDescent="0.25">
      <c r="A220" s="68" t="s">
        <v>3400</v>
      </c>
      <c r="B220" s="68" t="s">
        <v>2349</v>
      </c>
      <c r="C220" s="68" t="s">
        <v>3362</v>
      </c>
      <c r="D220" s="68" t="s">
        <v>2990</v>
      </c>
      <c r="E220" s="68" t="s">
        <v>3046</v>
      </c>
      <c r="F220" s="68" t="s">
        <v>3047</v>
      </c>
      <c r="G220" s="68" t="s">
        <v>3048</v>
      </c>
      <c r="H220" s="68" t="s">
        <v>3058</v>
      </c>
      <c r="I220" s="68" t="s">
        <v>3050</v>
      </c>
      <c r="J220" s="68" t="s">
        <v>3297</v>
      </c>
      <c r="K220" s="69" t="s">
        <v>3297</v>
      </c>
      <c r="L220" s="69" t="str">
        <f>VLOOKUP(LinkTable6789[[#This Row],[Coluna1]],[4]AlarmCatalog!$A:$M,11,FALSE)</f>
        <v>Severidade 4</v>
      </c>
    </row>
    <row r="221" spans="1:12" s="67" customFormat="1" ht="16.5" customHeight="1" x14ac:dyDescent="0.25">
      <c r="A221" s="68" t="s">
        <v>3401</v>
      </c>
      <c r="B221" s="68" t="s">
        <v>2349</v>
      </c>
      <c r="C221" s="68" t="s">
        <v>2982</v>
      </c>
      <c r="D221" s="68" t="s">
        <v>2809</v>
      </c>
      <c r="E221" s="68" t="s">
        <v>3053</v>
      </c>
      <c r="F221" s="68" t="s">
        <v>3047</v>
      </c>
      <c r="G221" s="68" t="s">
        <v>3048</v>
      </c>
      <c r="H221" s="68" t="s">
        <v>3058</v>
      </c>
      <c r="I221" s="68" t="s">
        <v>3050</v>
      </c>
      <c r="J221" s="68" t="s">
        <v>3297</v>
      </c>
      <c r="K221" s="69" t="s">
        <v>3297</v>
      </c>
      <c r="L221" s="69" t="str">
        <f>VLOOKUP(LinkTable6789[[#This Row],[Coluna1]],[4]AlarmCatalog!$A:$M,11,FALSE)</f>
        <v>Severidade 4</v>
      </c>
    </row>
    <row r="222" spans="1:12" s="67" customFormat="1" ht="16.5" customHeight="1" x14ac:dyDescent="0.25">
      <c r="A222" s="68" t="s">
        <v>3402</v>
      </c>
      <c r="B222" s="68" t="s">
        <v>2349</v>
      </c>
      <c r="C222" s="68" t="s">
        <v>3106</v>
      </c>
      <c r="D222" s="68" t="s">
        <v>2990</v>
      </c>
      <c r="E222" s="68" t="s">
        <v>3053</v>
      </c>
      <c r="F222" s="68" t="s">
        <v>3047</v>
      </c>
      <c r="G222" s="68" t="s">
        <v>3048</v>
      </c>
      <c r="H222" s="68" t="s">
        <v>3058</v>
      </c>
      <c r="I222" s="68" t="s">
        <v>3050</v>
      </c>
      <c r="J222" s="68" t="s">
        <v>3297</v>
      </c>
      <c r="K222" s="69" t="s">
        <v>3297</v>
      </c>
      <c r="L222" s="69" t="str">
        <f>VLOOKUP(LinkTable6789[[#This Row],[Coluna1]],[4]AlarmCatalog!$A:$M,11,FALSE)</f>
        <v>Severidade 4</v>
      </c>
    </row>
    <row r="223" spans="1:12" s="67" customFormat="1" ht="16.5" customHeight="1" x14ac:dyDescent="0.25">
      <c r="A223" s="68" t="s">
        <v>3403</v>
      </c>
      <c r="B223" s="68" t="s">
        <v>2349</v>
      </c>
      <c r="C223" s="68" t="s">
        <v>3094</v>
      </c>
      <c r="D223" s="68" t="s">
        <v>2809</v>
      </c>
      <c r="E223" s="68" t="s">
        <v>3053</v>
      </c>
      <c r="F223" s="68" t="s">
        <v>3047</v>
      </c>
      <c r="G223" s="68" t="s">
        <v>3048</v>
      </c>
      <c r="H223" s="68" t="s">
        <v>3058</v>
      </c>
      <c r="I223" s="68" t="s">
        <v>3050</v>
      </c>
      <c r="J223" s="68" t="s">
        <v>3297</v>
      </c>
      <c r="K223" s="69" t="s">
        <v>3297</v>
      </c>
      <c r="L223" s="69" t="str">
        <f>VLOOKUP(LinkTable6789[[#This Row],[Coluna1]],[4]AlarmCatalog!$A:$M,11,FALSE)</f>
        <v>Severidade 4</v>
      </c>
    </row>
    <row r="224" spans="1:12" s="67" customFormat="1" ht="16.5" customHeight="1" x14ac:dyDescent="0.25">
      <c r="A224" s="68" t="s">
        <v>3404</v>
      </c>
      <c r="B224" s="68" t="s">
        <v>2349</v>
      </c>
      <c r="C224" s="68" t="s">
        <v>3149</v>
      </c>
      <c r="D224" s="68" t="s">
        <v>3053</v>
      </c>
      <c r="E224" s="68" t="s">
        <v>2990</v>
      </c>
      <c r="F224" s="68" t="s">
        <v>3150</v>
      </c>
      <c r="G224" s="68" t="s">
        <v>3190</v>
      </c>
      <c r="H224" s="68" t="s">
        <v>3191</v>
      </c>
      <c r="I224" s="68" t="s">
        <v>3124</v>
      </c>
      <c r="J224" s="68" t="s">
        <v>3160</v>
      </c>
      <c r="K224" s="69" t="s">
        <v>3160</v>
      </c>
      <c r="L224" s="69" t="str">
        <f>VLOOKUP(LinkTable6789[[#This Row],[Coluna1]],[4]AlarmCatalog!$A:$M,11,FALSE)</f>
        <v>Severidade 8</v>
      </c>
    </row>
    <row r="225" spans="1:12" s="67" customFormat="1" ht="16.5" customHeight="1" x14ac:dyDescent="0.25">
      <c r="A225" s="68" t="s">
        <v>3405</v>
      </c>
      <c r="B225" s="68" t="s">
        <v>2349</v>
      </c>
      <c r="C225" s="68" t="s">
        <v>3406</v>
      </c>
      <c r="D225" s="68" t="s">
        <v>2809</v>
      </c>
      <c r="E225" s="68" t="s">
        <v>3053</v>
      </c>
      <c r="F225" s="68" t="s">
        <v>3047</v>
      </c>
      <c r="G225" s="68" t="s">
        <v>3048</v>
      </c>
      <c r="H225" s="68" t="s">
        <v>3058</v>
      </c>
      <c r="I225" s="68" t="s">
        <v>3050</v>
      </c>
      <c r="J225" s="68" t="s">
        <v>3297</v>
      </c>
      <c r="K225" s="69" t="s">
        <v>3297</v>
      </c>
      <c r="L225" s="69" t="str">
        <f>VLOOKUP(LinkTable6789[[#This Row],[Coluna1]],[4]AlarmCatalog!$A:$M,11,FALSE)</f>
        <v>Severidade 4</v>
      </c>
    </row>
    <row r="226" spans="1:12" s="67" customFormat="1" ht="16.5" customHeight="1" x14ac:dyDescent="0.25">
      <c r="A226" s="68" t="s">
        <v>3407</v>
      </c>
      <c r="B226" s="68" t="s">
        <v>2349</v>
      </c>
      <c r="C226" s="68" t="s">
        <v>3408</v>
      </c>
      <c r="D226" s="68" t="s">
        <v>2809</v>
      </c>
      <c r="E226" s="68" t="s">
        <v>3046</v>
      </c>
      <c r="F226" s="68" t="s">
        <v>3047</v>
      </c>
      <c r="G226" s="68" t="s">
        <v>3048</v>
      </c>
      <c r="H226" s="68" t="s">
        <v>3058</v>
      </c>
      <c r="I226" s="68" t="s">
        <v>3050</v>
      </c>
      <c r="J226" s="68" t="s">
        <v>3297</v>
      </c>
      <c r="K226" s="69" t="s">
        <v>3297</v>
      </c>
      <c r="L226" s="69" t="str">
        <f>VLOOKUP(LinkTable6789[[#This Row],[Coluna1]],[4]AlarmCatalog!$A:$M,11,FALSE)</f>
        <v>Severidade 4</v>
      </c>
    </row>
    <row r="227" spans="1:12" s="67" customFormat="1" ht="16.5" customHeight="1" x14ac:dyDescent="0.25">
      <c r="A227" s="68" t="s">
        <v>3409</v>
      </c>
      <c r="B227" s="68" t="s">
        <v>2349</v>
      </c>
      <c r="C227" s="68" t="s">
        <v>3129</v>
      </c>
      <c r="D227" s="68" t="s">
        <v>2809</v>
      </c>
      <c r="E227" s="68" t="s">
        <v>3053</v>
      </c>
      <c r="F227" s="68" t="s">
        <v>3047</v>
      </c>
      <c r="G227" s="68" t="s">
        <v>3048</v>
      </c>
      <c r="H227" s="68" t="s">
        <v>3075</v>
      </c>
      <c r="I227" s="68" t="s">
        <v>3050</v>
      </c>
      <c r="J227" s="68" t="s">
        <v>3297</v>
      </c>
      <c r="K227" s="69" t="s">
        <v>3297</v>
      </c>
      <c r="L227" s="69" t="str">
        <f>VLOOKUP(LinkTable6789[[#This Row],[Coluna1]],[4]AlarmCatalog!$A:$M,11,FALSE)</f>
        <v>Severidade 4</v>
      </c>
    </row>
    <row r="228" spans="1:12" s="67" customFormat="1" ht="16.5" customHeight="1" x14ac:dyDescent="0.25">
      <c r="A228" s="68" t="s">
        <v>3410</v>
      </c>
      <c r="B228" s="68" t="s">
        <v>2349</v>
      </c>
      <c r="C228" s="68" t="s">
        <v>3411</v>
      </c>
      <c r="D228" s="68" t="s">
        <v>2809</v>
      </c>
      <c r="E228" s="68" t="s">
        <v>3053</v>
      </c>
      <c r="F228" s="68" t="s">
        <v>3047</v>
      </c>
      <c r="G228" s="68" t="s">
        <v>3048</v>
      </c>
      <c r="H228" s="68" t="s">
        <v>3058</v>
      </c>
      <c r="I228" s="68" t="s">
        <v>3050</v>
      </c>
      <c r="J228" s="68" t="s">
        <v>3297</v>
      </c>
      <c r="K228" s="69" t="s">
        <v>3297</v>
      </c>
      <c r="L228" s="69" t="str">
        <f>VLOOKUP(LinkTable6789[[#This Row],[Coluna1]],[4]AlarmCatalog!$A:$M,11,FALSE)</f>
        <v>Severidade 4</v>
      </c>
    </row>
    <row r="229" spans="1:12" s="67" customFormat="1" ht="16.5" customHeight="1" x14ac:dyDescent="0.25">
      <c r="A229" s="68" t="s">
        <v>3412</v>
      </c>
      <c r="B229" s="68" t="s">
        <v>2349</v>
      </c>
      <c r="C229" s="68" t="s">
        <v>2986</v>
      </c>
      <c r="D229" s="68" t="s">
        <v>2809</v>
      </c>
      <c r="E229" s="68" t="s">
        <v>3046</v>
      </c>
      <c r="F229" s="68" t="s">
        <v>3056</v>
      </c>
      <c r="G229" s="68" t="s">
        <v>3057</v>
      </c>
      <c r="H229" s="68" t="s">
        <v>3058</v>
      </c>
      <c r="I229" s="68" t="s">
        <v>3050</v>
      </c>
      <c r="J229" s="68" t="s">
        <v>3061</v>
      </c>
      <c r="K229" s="69" t="s">
        <v>3061</v>
      </c>
      <c r="L229" s="69" t="str">
        <f>VLOOKUP(LinkTable6789[[#This Row],[Coluna1]],[4]AlarmCatalog!$A:$M,11,FALSE)</f>
        <v>Severidade 8</v>
      </c>
    </row>
    <row r="230" spans="1:12" s="67" customFormat="1" ht="16.5" customHeight="1" x14ac:dyDescent="0.25">
      <c r="A230" s="68" t="s">
        <v>3413</v>
      </c>
      <c r="B230" s="68" t="s">
        <v>2349</v>
      </c>
      <c r="C230" s="68" t="s">
        <v>3322</v>
      </c>
      <c r="D230" s="68" t="s">
        <v>2809</v>
      </c>
      <c r="E230" s="68" t="s">
        <v>3053</v>
      </c>
      <c r="F230" s="68" t="s">
        <v>3047</v>
      </c>
      <c r="G230" s="68" t="s">
        <v>3048</v>
      </c>
      <c r="H230" s="68" t="s">
        <v>3159</v>
      </c>
      <c r="I230" s="68" t="s">
        <v>3050</v>
      </c>
      <c r="J230" s="68" t="s">
        <v>3297</v>
      </c>
      <c r="K230" s="69" t="s">
        <v>3297</v>
      </c>
      <c r="L230" s="69" t="str">
        <f>VLOOKUP(LinkTable6789[[#This Row],[Coluna1]],[4]AlarmCatalog!$A:$M,11,FALSE)</f>
        <v>Severidade 4</v>
      </c>
    </row>
    <row r="231" spans="1:12" s="67" customFormat="1" ht="16.5" customHeight="1" x14ac:dyDescent="0.25">
      <c r="A231" s="68" t="s">
        <v>3414</v>
      </c>
      <c r="B231" s="68" t="s">
        <v>2349</v>
      </c>
      <c r="C231" s="68" t="s">
        <v>3415</v>
      </c>
      <c r="D231" s="68" t="s">
        <v>2809</v>
      </c>
      <c r="E231" s="68" t="s">
        <v>3053</v>
      </c>
      <c r="F231" s="68" t="s">
        <v>3047</v>
      </c>
      <c r="G231" s="68" t="s">
        <v>3048</v>
      </c>
      <c r="H231" s="68" t="s">
        <v>3058</v>
      </c>
      <c r="I231" s="68" t="s">
        <v>3050</v>
      </c>
      <c r="J231" s="68" t="s">
        <v>3297</v>
      </c>
      <c r="K231" s="69" t="s">
        <v>3297</v>
      </c>
      <c r="L231" s="69" t="str">
        <f>VLOOKUP(LinkTable6789[[#This Row],[Coluna1]],[4]AlarmCatalog!$A:$M,11,FALSE)</f>
        <v>Severidade 4</v>
      </c>
    </row>
    <row r="232" spans="1:12" s="67" customFormat="1" ht="16.5" customHeight="1" x14ac:dyDescent="0.25">
      <c r="A232" s="68" t="s">
        <v>3416</v>
      </c>
      <c r="B232" s="68" t="s">
        <v>2349</v>
      </c>
      <c r="C232" s="68" t="s">
        <v>3337</v>
      </c>
      <c r="D232" s="68" t="s">
        <v>2809</v>
      </c>
      <c r="E232" s="68" t="s">
        <v>3046</v>
      </c>
      <c r="F232" s="68" t="s">
        <v>3047</v>
      </c>
      <c r="G232" s="68" t="s">
        <v>3048</v>
      </c>
      <c r="H232" s="68" t="s">
        <v>3058</v>
      </c>
      <c r="I232" s="68" t="s">
        <v>3050</v>
      </c>
      <c r="J232" s="68" t="s">
        <v>3297</v>
      </c>
      <c r="K232" s="69" t="s">
        <v>3297</v>
      </c>
      <c r="L232" s="69" t="str">
        <f>VLOOKUP(LinkTable6789[[#This Row],[Coluna1]],[4]AlarmCatalog!$A:$M,11,FALSE)</f>
        <v>Severidade 4</v>
      </c>
    </row>
    <row r="233" spans="1:12" s="67" customFormat="1" ht="16.5" customHeight="1" x14ac:dyDescent="0.25">
      <c r="A233" s="68" t="s">
        <v>3417</v>
      </c>
      <c r="B233" s="68" t="s">
        <v>2349</v>
      </c>
      <c r="C233" s="68" t="s">
        <v>3418</v>
      </c>
      <c r="D233" s="68" t="s">
        <v>2809</v>
      </c>
      <c r="E233" s="68" t="s">
        <v>3053</v>
      </c>
      <c r="F233" s="68" t="s">
        <v>3047</v>
      </c>
      <c r="G233" s="68" t="s">
        <v>3048</v>
      </c>
      <c r="H233" s="68" t="s">
        <v>3058</v>
      </c>
      <c r="I233" s="68" t="s">
        <v>3050</v>
      </c>
      <c r="J233" s="68" t="s">
        <v>3297</v>
      </c>
      <c r="K233" s="69" t="s">
        <v>3297</v>
      </c>
      <c r="L233" s="69" t="str">
        <f>VLOOKUP(LinkTable6789[[#This Row],[Coluna1]],[4]AlarmCatalog!$A:$M,11,FALSE)</f>
        <v>Severidade 4</v>
      </c>
    </row>
    <row r="234" spans="1:12" s="67" customFormat="1" ht="16.5" customHeight="1" x14ac:dyDescent="0.25">
      <c r="A234" s="68" t="s">
        <v>3419</v>
      </c>
      <c r="B234" s="68" t="s">
        <v>2349</v>
      </c>
      <c r="C234" s="68" t="s">
        <v>2992</v>
      </c>
      <c r="D234" s="68" t="s">
        <v>2809</v>
      </c>
      <c r="E234" s="68" t="s">
        <v>3053</v>
      </c>
      <c r="F234" s="68" t="s">
        <v>3047</v>
      </c>
      <c r="G234" s="68" t="s">
        <v>3048</v>
      </c>
      <c r="H234" s="68" t="s">
        <v>3058</v>
      </c>
      <c r="I234" s="68" t="s">
        <v>3050</v>
      </c>
      <c r="J234" s="68" t="s">
        <v>3297</v>
      </c>
      <c r="K234" s="69" t="s">
        <v>3297</v>
      </c>
      <c r="L234" s="69" t="str">
        <f>VLOOKUP(LinkTable6789[[#This Row],[Coluna1]],[4]AlarmCatalog!$A:$M,11,FALSE)</f>
        <v>Severidade 4</v>
      </c>
    </row>
    <row r="235" spans="1:12" s="67" customFormat="1" ht="16.5" customHeight="1" x14ac:dyDescent="0.25">
      <c r="A235" s="68" t="s">
        <v>3420</v>
      </c>
      <c r="B235" s="68" t="s">
        <v>2349</v>
      </c>
      <c r="C235" s="68" t="s">
        <v>3089</v>
      </c>
      <c r="D235" s="68" t="s">
        <v>2809</v>
      </c>
      <c r="E235" s="68" t="s">
        <v>3053</v>
      </c>
      <c r="F235" s="68" t="s">
        <v>3047</v>
      </c>
      <c r="G235" s="68" t="s">
        <v>3048</v>
      </c>
      <c r="H235" s="68" t="s">
        <v>3159</v>
      </c>
      <c r="I235" s="68" t="s">
        <v>3050</v>
      </c>
      <c r="J235" s="68" t="s">
        <v>3297</v>
      </c>
      <c r="K235" s="69" t="s">
        <v>3297</v>
      </c>
      <c r="L235" s="69" t="str">
        <f>VLOOKUP(LinkTable6789[[#This Row],[Coluna1]],[4]AlarmCatalog!$A:$M,11,FALSE)</f>
        <v>Severidade 4</v>
      </c>
    </row>
    <row r="236" spans="1:12" s="67" customFormat="1" ht="16.5" customHeight="1" x14ac:dyDescent="0.25">
      <c r="A236" s="68" t="s">
        <v>3421</v>
      </c>
      <c r="B236" s="68" t="s">
        <v>2349</v>
      </c>
      <c r="C236" s="68" t="s">
        <v>2982</v>
      </c>
      <c r="D236" s="68" t="s">
        <v>2809</v>
      </c>
      <c r="E236" s="68" t="s">
        <v>3053</v>
      </c>
      <c r="F236" s="68" t="s">
        <v>3047</v>
      </c>
      <c r="G236" s="68" t="s">
        <v>3048</v>
      </c>
      <c r="H236" s="68" t="s">
        <v>3058</v>
      </c>
      <c r="I236" s="68" t="s">
        <v>3050</v>
      </c>
      <c r="J236" s="68" t="s">
        <v>3101</v>
      </c>
      <c r="K236" s="69" t="s">
        <v>3101</v>
      </c>
      <c r="L236" s="69" t="str">
        <f>VLOOKUP(LinkTable6789[[#This Row],[Coluna1]],[4]AlarmCatalog!$A:$M,11,FALSE)</f>
        <v>Severidade 8</v>
      </c>
    </row>
    <row r="237" spans="1:12" s="67" customFormat="1" ht="16.5" customHeight="1" x14ac:dyDescent="0.25">
      <c r="A237" s="68" t="s">
        <v>3422</v>
      </c>
      <c r="B237" s="68" t="s">
        <v>2349</v>
      </c>
      <c r="C237" s="68" t="s">
        <v>3423</v>
      </c>
      <c r="D237" s="68" t="s">
        <v>2809</v>
      </c>
      <c r="E237" s="68" t="s">
        <v>3053</v>
      </c>
      <c r="F237" s="68" t="s">
        <v>3047</v>
      </c>
      <c r="G237" s="68" t="s">
        <v>3048</v>
      </c>
      <c r="H237" s="68" t="s">
        <v>3058</v>
      </c>
      <c r="I237" s="68" t="s">
        <v>3050</v>
      </c>
      <c r="J237" s="68" t="s">
        <v>3297</v>
      </c>
      <c r="K237" s="69" t="s">
        <v>3297</v>
      </c>
      <c r="L237" s="69" t="str">
        <f>VLOOKUP(LinkTable6789[[#This Row],[Coluna1]],[4]AlarmCatalog!$A:$M,11,FALSE)</f>
        <v>Severidade 4</v>
      </c>
    </row>
    <row r="238" spans="1:12" s="67" customFormat="1" ht="16.5" customHeight="1" x14ac:dyDescent="0.25">
      <c r="A238" s="68" t="s">
        <v>3424</v>
      </c>
      <c r="B238" s="68" t="s">
        <v>2349</v>
      </c>
      <c r="C238" s="68" t="s">
        <v>3425</v>
      </c>
      <c r="D238" s="68" t="s">
        <v>2809</v>
      </c>
      <c r="E238" s="68" t="s">
        <v>3053</v>
      </c>
      <c r="F238" s="68" t="s">
        <v>3047</v>
      </c>
      <c r="G238" s="68" t="s">
        <v>3048</v>
      </c>
      <c r="H238" s="68" t="s">
        <v>3058</v>
      </c>
      <c r="I238" s="68" t="s">
        <v>3050</v>
      </c>
      <c r="J238" s="68" t="s">
        <v>3297</v>
      </c>
      <c r="K238" s="69" t="s">
        <v>3297</v>
      </c>
      <c r="L238" s="69" t="str">
        <f>VLOOKUP(LinkTable6789[[#This Row],[Coluna1]],[4]AlarmCatalog!$A:$M,11,FALSE)</f>
        <v>Severidade 4</v>
      </c>
    </row>
    <row r="239" spans="1:12" s="67" customFormat="1" ht="16.5" customHeight="1" x14ac:dyDescent="0.25">
      <c r="A239" s="68" t="s">
        <v>3426</v>
      </c>
      <c r="B239" s="68" t="s">
        <v>2349</v>
      </c>
      <c r="C239" s="68" t="s">
        <v>3427</v>
      </c>
      <c r="D239" s="68" t="s">
        <v>2809</v>
      </c>
      <c r="E239" s="68" t="s">
        <v>2809</v>
      </c>
      <c r="F239" s="68" t="s">
        <v>3427</v>
      </c>
      <c r="G239" s="68" t="s">
        <v>3122</v>
      </c>
      <c r="H239" s="68" t="s">
        <v>3123</v>
      </c>
      <c r="I239" s="68" t="s">
        <v>3124</v>
      </c>
      <c r="J239" s="68" t="s">
        <v>3297</v>
      </c>
      <c r="K239" s="69" t="s">
        <v>3297</v>
      </c>
      <c r="L239" s="69" t="str">
        <f>VLOOKUP(LinkTable6789[[#This Row],[Coluna1]],[4]AlarmCatalog!$A:$M,11,FALSE)</f>
        <v>Severidade 4</v>
      </c>
    </row>
    <row r="240" spans="1:12" s="67" customFormat="1" ht="16.5" customHeight="1" x14ac:dyDescent="0.25">
      <c r="A240" s="68" t="s">
        <v>3428</v>
      </c>
      <c r="B240" s="68" t="s">
        <v>2349</v>
      </c>
      <c r="C240" s="68" t="s">
        <v>3149</v>
      </c>
      <c r="D240" s="68" t="s">
        <v>2809</v>
      </c>
      <c r="E240" s="68" t="s">
        <v>2809</v>
      </c>
      <c r="F240" s="68" t="s">
        <v>3150</v>
      </c>
      <c r="G240" s="68" t="s">
        <v>3122</v>
      </c>
      <c r="H240" s="68" t="s">
        <v>3123</v>
      </c>
      <c r="I240" s="68" t="s">
        <v>3124</v>
      </c>
      <c r="J240" s="68" t="s">
        <v>3059</v>
      </c>
      <c r="K240" s="69" t="s">
        <v>3059</v>
      </c>
      <c r="L240" s="69" t="str">
        <f>VLOOKUP(LinkTable6789[[#This Row],[Coluna1]],[4]AlarmCatalog!$A:$M,11,FALSE)</f>
        <v>Severidade 2</v>
      </c>
    </row>
    <row r="241" spans="1:12" s="67" customFormat="1" ht="16.5" customHeight="1" x14ac:dyDescent="0.25">
      <c r="A241" s="68" t="s">
        <v>3429</v>
      </c>
      <c r="B241" s="68" t="s">
        <v>2349</v>
      </c>
      <c r="C241" s="68" t="s">
        <v>3425</v>
      </c>
      <c r="D241" s="68" t="s">
        <v>2809</v>
      </c>
      <c r="E241" s="68" t="s">
        <v>3046</v>
      </c>
      <c r="F241" s="68" t="s">
        <v>3047</v>
      </c>
      <c r="G241" s="68" t="s">
        <v>3048</v>
      </c>
      <c r="H241" s="68" t="s">
        <v>3058</v>
      </c>
      <c r="I241" s="68" t="s">
        <v>3050</v>
      </c>
      <c r="J241" s="68" t="s">
        <v>3297</v>
      </c>
      <c r="K241" s="69" t="s">
        <v>3297</v>
      </c>
      <c r="L241" s="69" t="str">
        <f>VLOOKUP(LinkTable6789[[#This Row],[Coluna1]],[4]AlarmCatalog!$A:$M,11,FALSE)</f>
        <v>Severidade 4</v>
      </c>
    </row>
    <row r="242" spans="1:12" s="67" customFormat="1" ht="16.5" customHeight="1" x14ac:dyDescent="0.25">
      <c r="A242" s="68" t="s">
        <v>3430</v>
      </c>
      <c r="B242" s="68" t="s">
        <v>2349</v>
      </c>
      <c r="C242" s="68" t="s">
        <v>3431</v>
      </c>
      <c r="D242" s="68" t="s">
        <v>2809</v>
      </c>
      <c r="E242" s="68" t="s">
        <v>3046</v>
      </c>
      <c r="F242" s="68" t="s">
        <v>3047</v>
      </c>
      <c r="G242" s="68" t="s">
        <v>3048</v>
      </c>
      <c r="H242" s="68" t="s">
        <v>3159</v>
      </c>
      <c r="I242" s="68" t="s">
        <v>3050</v>
      </c>
      <c r="J242" s="68" t="s">
        <v>3297</v>
      </c>
      <c r="K242" s="69" t="s">
        <v>3297</v>
      </c>
      <c r="L242" s="69" t="str">
        <f>VLOOKUP(LinkTable6789[[#This Row],[Coluna1]],[4]AlarmCatalog!$A:$M,11,FALSE)</f>
        <v>Severidade 4</v>
      </c>
    </row>
    <row r="243" spans="1:12" s="67" customFormat="1" ht="16.5" customHeight="1" x14ac:dyDescent="0.25">
      <c r="A243" s="68" t="s">
        <v>3432</v>
      </c>
      <c r="B243" s="68" t="s">
        <v>2349</v>
      </c>
      <c r="C243" s="68" t="s">
        <v>3103</v>
      </c>
      <c r="D243" s="68" t="s">
        <v>2809</v>
      </c>
      <c r="E243" s="68" t="s">
        <v>3053</v>
      </c>
      <c r="F243" s="68" t="s">
        <v>3221</v>
      </c>
      <c r="G243" s="68" t="s">
        <v>3048</v>
      </c>
      <c r="H243" s="68" t="s">
        <v>3075</v>
      </c>
      <c r="I243" s="68" t="s">
        <v>3050</v>
      </c>
      <c r="J243" s="68" t="s">
        <v>3433</v>
      </c>
      <c r="K243" s="69" t="s">
        <v>3433</v>
      </c>
      <c r="L243" s="69" t="str">
        <f>VLOOKUP(LinkTable6789[[#This Row],[Coluna1]],[4]AlarmCatalog!$A:$M,11,FALSE)</f>
        <v>Severidade 4</v>
      </c>
    </row>
    <row r="244" spans="1:12" s="67" customFormat="1" ht="16.5" customHeight="1" x14ac:dyDescent="0.25">
      <c r="A244" s="68" t="s">
        <v>3434</v>
      </c>
      <c r="B244" s="68" t="s">
        <v>2349</v>
      </c>
      <c r="C244" s="68" t="s">
        <v>2985</v>
      </c>
      <c r="D244" s="68" t="s">
        <v>2809</v>
      </c>
      <c r="E244" s="68" t="s">
        <v>3046</v>
      </c>
      <c r="F244" s="68" t="s">
        <v>3209</v>
      </c>
      <c r="G244" s="68" t="s">
        <v>3048</v>
      </c>
      <c r="H244" s="68" t="s">
        <v>3058</v>
      </c>
      <c r="I244" s="68" t="s">
        <v>3050</v>
      </c>
      <c r="J244" s="68" t="s">
        <v>3433</v>
      </c>
      <c r="K244" s="69" t="s">
        <v>3433</v>
      </c>
      <c r="L244" s="69" t="str">
        <f>VLOOKUP(LinkTable6789[[#This Row],[Coluna1]],[4]AlarmCatalog!$A:$M,11,FALSE)</f>
        <v>Severidade 4</v>
      </c>
    </row>
    <row r="245" spans="1:12" s="67" customFormat="1" ht="16.5" customHeight="1" x14ac:dyDescent="0.25">
      <c r="A245" s="68" t="s">
        <v>3435</v>
      </c>
      <c r="B245" s="68" t="s">
        <v>2349</v>
      </c>
      <c r="C245" s="68" t="s">
        <v>3436</v>
      </c>
      <c r="D245" s="68" t="s">
        <v>2809</v>
      </c>
      <c r="E245" s="68" t="s">
        <v>2809</v>
      </c>
      <c r="F245" s="68" t="s">
        <v>3437</v>
      </c>
      <c r="G245" s="68" t="s">
        <v>3048</v>
      </c>
      <c r="H245" s="68" t="s">
        <v>3058</v>
      </c>
      <c r="I245" s="68" t="s">
        <v>3050</v>
      </c>
      <c r="J245" s="68" t="s">
        <v>3433</v>
      </c>
      <c r="K245" s="69" t="s">
        <v>3433</v>
      </c>
      <c r="L245" s="69" t="str">
        <f>VLOOKUP(LinkTable6789[[#This Row],[Coluna1]],[4]AlarmCatalog!$A:$M,11,FALSE)</f>
        <v>Severidade 4</v>
      </c>
    </row>
    <row r="246" spans="1:12" s="67" customFormat="1" ht="16.5" customHeight="1" x14ac:dyDescent="0.25">
      <c r="A246" s="68" t="s">
        <v>3438</v>
      </c>
      <c r="B246" s="68" t="s">
        <v>2349</v>
      </c>
      <c r="C246" s="68" t="s">
        <v>2985</v>
      </c>
      <c r="D246" s="68" t="s">
        <v>2809</v>
      </c>
      <c r="E246" s="68" t="s">
        <v>3046</v>
      </c>
      <c r="F246" s="68" t="s">
        <v>3047</v>
      </c>
      <c r="G246" s="68" t="s">
        <v>3048</v>
      </c>
      <c r="H246" s="68" t="s">
        <v>3075</v>
      </c>
      <c r="I246" s="68" t="s">
        <v>3050</v>
      </c>
      <c r="J246" s="68" t="s">
        <v>3439</v>
      </c>
      <c r="K246" s="69" t="s">
        <v>3439</v>
      </c>
      <c r="L246" s="69" t="str">
        <f>VLOOKUP(LinkTable6789[[#This Row],[Coluna1]],[4]AlarmCatalog!$A:$M,11,FALSE)</f>
        <v>Severidade 4</v>
      </c>
    </row>
    <row r="247" spans="1:12" s="67" customFormat="1" ht="16.5" customHeight="1" x14ac:dyDescent="0.25">
      <c r="A247" s="68" t="s">
        <v>3440</v>
      </c>
      <c r="B247" s="68" t="s">
        <v>2349</v>
      </c>
      <c r="C247" s="68" t="s">
        <v>3441</v>
      </c>
      <c r="D247" s="68" t="s">
        <v>2809</v>
      </c>
      <c r="E247" s="68" t="s">
        <v>3053</v>
      </c>
      <c r="F247" s="68" t="s">
        <v>3047</v>
      </c>
      <c r="G247" s="68" t="s">
        <v>3048</v>
      </c>
      <c r="H247" s="68" t="s">
        <v>3058</v>
      </c>
      <c r="I247" s="68" t="s">
        <v>3050</v>
      </c>
      <c r="J247" s="68" t="s">
        <v>3297</v>
      </c>
      <c r="K247" s="69" t="s">
        <v>3297</v>
      </c>
      <c r="L247" s="69" t="str">
        <f>VLOOKUP(LinkTable6789[[#This Row],[Coluna1]],[4]AlarmCatalog!$A:$M,11,FALSE)</f>
        <v>Severidade 4</v>
      </c>
    </row>
    <row r="248" spans="1:12" s="67" customFormat="1" ht="16.5" customHeight="1" x14ac:dyDescent="0.25">
      <c r="A248" s="68" t="s">
        <v>3442</v>
      </c>
      <c r="B248" s="68" t="s">
        <v>2349</v>
      </c>
      <c r="C248" s="68" t="s">
        <v>3443</v>
      </c>
      <c r="D248" s="68" t="s">
        <v>2809</v>
      </c>
      <c r="E248" s="68" t="s">
        <v>3053</v>
      </c>
      <c r="F248" s="68" t="s">
        <v>3047</v>
      </c>
      <c r="G248" s="68" t="s">
        <v>3048</v>
      </c>
      <c r="H248" s="68" t="s">
        <v>3058</v>
      </c>
      <c r="I248" s="68" t="s">
        <v>3050</v>
      </c>
      <c r="J248" s="68" t="s">
        <v>3297</v>
      </c>
      <c r="K248" s="69" t="s">
        <v>3297</v>
      </c>
      <c r="L248" s="69" t="str">
        <f>VLOOKUP(LinkTable6789[[#This Row],[Coluna1]],[4]AlarmCatalog!$A:$M,11,FALSE)</f>
        <v>Severidade 4</v>
      </c>
    </row>
    <row r="249" spans="1:12" s="67" customFormat="1" ht="16.5" customHeight="1" x14ac:dyDescent="0.25">
      <c r="A249" s="68" t="s">
        <v>3444</v>
      </c>
      <c r="B249" s="68" t="s">
        <v>2349</v>
      </c>
      <c r="C249" s="68" t="s">
        <v>3445</v>
      </c>
      <c r="D249" s="68" t="s">
        <v>2809</v>
      </c>
      <c r="E249" s="68" t="s">
        <v>3053</v>
      </c>
      <c r="F249" s="68" t="s">
        <v>3047</v>
      </c>
      <c r="G249" s="68" t="s">
        <v>3048</v>
      </c>
      <c r="H249" s="68" t="s">
        <v>3159</v>
      </c>
      <c r="I249" s="68" t="s">
        <v>3050</v>
      </c>
      <c r="J249" s="68" t="s">
        <v>3297</v>
      </c>
      <c r="K249" s="69" t="s">
        <v>3297</v>
      </c>
      <c r="L249" s="69" t="str">
        <f>VLOOKUP(LinkTable6789[[#This Row],[Coluna1]],[4]AlarmCatalog!$A:$M,11,FALSE)</f>
        <v>Severidade 4</v>
      </c>
    </row>
    <row r="250" spans="1:12" s="67" customFormat="1" ht="16.5" customHeight="1" x14ac:dyDescent="0.25">
      <c r="A250" s="68" t="s">
        <v>3446</v>
      </c>
      <c r="B250" s="68" t="s">
        <v>2349</v>
      </c>
      <c r="C250" s="68" t="s">
        <v>3106</v>
      </c>
      <c r="D250" s="68" t="s">
        <v>2809</v>
      </c>
      <c r="E250" s="68" t="s">
        <v>3053</v>
      </c>
      <c r="F250" s="68" t="s">
        <v>3047</v>
      </c>
      <c r="G250" s="68" t="s">
        <v>3048</v>
      </c>
      <c r="H250" s="68" t="s">
        <v>3058</v>
      </c>
      <c r="I250" s="68" t="s">
        <v>3050</v>
      </c>
      <c r="J250" s="68" t="s">
        <v>3297</v>
      </c>
      <c r="K250" s="69" t="s">
        <v>3297</v>
      </c>
      <c r="L250" s="69" t="str">
        <f>VLOOKUP(LinkTable6789[[#This Row],[Coluna1]],[4]AlarmCatalog!$A:$M,11,FALSE)</f>
        <v>Severidade 4</v>
      </c>
    </row>
    <row r="251" spans="1:12" s="67" customFormat="1" ht="16.5" customHeight="1" x14ac:dyDescent="0.25">
      <c r="A251" s="68" t="s">
        <v>3447</v>
      </c>
      <c r="B251" s="68" t="s">
        <v>2349</v>
      </c>
      <c r="C251" s="68" t="s">
        <v>3448</v>
      </c>
      <c r="D251" s="68" t="s">
        <v>2809</v>
      </c>
      <c r="E251" s="68" t="s">
        <v>3046</v>
      </c>
      <c r="F251" s="68" t="s">
        <v>3047</v>
      </c>
      <c r="G251" s="68" t="s">
        <v>3048</v>
      </c>
      <c r="H251" s="68" t="s">
        <v>3058</v>
      </c>
      <c r="I251" s="68" t="s">
        <v>3050</v>
      </c>
      <c r="J251" s="68" t="s">
        <v>3297</v>
      </c>
      <c r="K251" s="69" t="s">
        <v>3297</v>
      </c>
      <c r="L251" s="69" t="str">
        <f>VLOOKUP(LinkTable6789[[#This Row],[Coluna1]],[4]AlarmCatalog!$A:$M,11,FALSE)</f>
        <v>Severidade 4</v>
      </c>
    </row>
    <row r="252" spans="1:12" s="67" customFormat="1" ht="16.5" customHeight="1" x14ac:dyDescent="0.25">
      <c r="A252" s="68" t="s">
        <v>3449</v>
      </c>
      <c r="B252" s="68" t="s">
        <v>2349</v>
      </c>
      <c r="C252" s="68" t="s">
        <v>3149</v>
      </c>
      <c r="D252" s="68" t="s">
        <v>3053</v>
      </c>
      <c r="E252" s="68" t="s">
        <v>2990</v>
      </c>
      <c r="F252" s="68" t="s">
        <v>3150</v>
      </c>
      <c r="G252" s="68" t="s">
        <v>3190</v>
      </c>
      <c r="H252" s="68" t="s">
        <v>3191</v>
      </c>
      <c r="I252" s="68" t="s">
        <v>3124</v>
      </c>
      <c r="J252" s="68" t="s">
        <v>3297</v>
      </c>
      <c r="K252" s="69" t="s">
        <v>3297</v>
      </c>
      <c r="L252" s="69" t="str">
        <f>VLOOKUP(LinkTable6789[[#This Row],[Coluna1]],[4]AlarmCatalog!$A:$M,11,FALSE)</f>
        <v>Severidade 4</v>
      </c>
    </row>
    <row r="253" spans="1:12" s="67" customFormat="1" ht="16.5" customHeight="1" x14ac:dyDescent="0.25">
      <c r="A253" s="68" t="s">
        <v>3450</v>
      </c>
      <c r="B253" s="68" t="s">
        <v>2349</v>
      </c>
      <c r="C253" s="68" t="s">
        <v>3149</v>
      </c>
      <c r="D253" s="68" t="s">
        <v>3053</v>
      </c>
      <c r="E253" s="68" t="s">
        <v>2990</v>
      </c>
      <c r="F253" s="68" t="s">
        <v>3150</v>
      </c>
      <c r="G253" s="68" t="s">
        <v>3190</v>
      </c>
      <c r="H253" s="68" t="s">
        <v>3191</v>
      </c>
      <c r="I253" s="68" t="s">
        <v>3124</v>
      </c>
      <c r="J253" s="68" t="s">
        <v>3297</v>
      </c>
      <c r="K253" s="69" t="s">
        <v>3297</v>
      </c>
      <c r="L253" s="69" t="str">
        <f>VLOOKUP(LinkTable6789[[#This Row],[Coluna1]],[4]AlarmCatalog!$A:$M,11,FALSE)</f>
        <v>Severidade 4</v>
      </c>
    </row>
    <row r="254" spans="1:12" s="67" customFormat="1" ht="16.5" customHeight="1" x14ac:dyDescent="0.25">
      <c r="A254" s="68" t="s">
        <v>3451</v>
      </c>
      <c r="B254" s="68" t="s">
        <v>2349</v>
      </c>
      <c r="C254" s="68" t="s">
        <v>3230</v>
      </c>
      <c r="D254" s="68" t="s">
        <v>2809</v>
      </c>
      <c r="E254" s="68" t="s">
        <v>3053</v>
      </c>
      <c r="F254" s="68" t="s">
        <v>3047</v>
      </c>
      <c r="G254" s="68" t="s">
        <v>3048</v>
      </c>
      <c r="H254" s="68" t="s">
        <v>3058</v>
      </c>
      <c r="I254" s="68" t="s">
        <v>3050</v>
      </c>
      <c r="J254" s="68" t="s">
        <v>3297</v>
      </c>
      <c r="K254" s="69" t="s">
        <v>3297</v>
      </c>
      <c r="L254" s="69" t="str">
        <f>VLOOKUP(LinkTable6789[[#This Row],[Coluna1]],[4]AlarmCatalog!$A:$M,11,FALSE)</f>
        <v>Severidade 4</v>
      </c>
    </row>
    <row r="255" spans="1:12" s="67" customFormat="1" ht="16.5" customHeight="1" x14ac:dyDescent="0.25">
      <c r="A255" s="68" t="s">
        <v>3452</v>
      </c>
      <c r="B255" s="68" t="s">
        <v>2349</v>
      </c>
      <c r="C255" s="68" t="s">
        <v>2992</v>
      </c>
      <c r="D255" s="68" t="s">
        <v>2809</v>
      </c>
      <c r="E255" s="68" t="s">
        <v>3053</v>
      </c>
      <c r="F255" s="68" t="s">
        <v>3047</v>
      </c>
      <c r="G255" s="68" t="s">
        <v>3048</v>
      </c>
      <c r="H255" s="68" t="s">
        <v>3058</v>
      </c>
      <c r="I255" s="68" t="s">
        <v>3050</v>
      </c>
      <c r="J255" s="68" t="s">
        <v>3101</v>
      </c>
      <c r="K255" s="69" t="s">
        <v>3101</v>
      </c>
      <c r="L255" s="69" t="str">
        <f>VLOOKUP(LinkTable6789[[#This Row],[Coluna1]],[4]AlarmCatalog!$A:$M,11,FALSE)</f>
        <v>Severidade 8</v>
      </c>
    </row>
    <row r="256" spans="1:12" s="67" customFormat="1" ht="16.5" customHeight="1" x14ac:dyDescent="0.25">
      <c r="A256" s="68" t="s">
        <v>3453</v>
      </c>
      <c r="B256" s="68" t="s">
        <v>2349</v>
      </c>
      <c r="C256" s="68" t="s">
        <v>3230</v>
      </c>
      <c r="D256" s="68" t="s">
        <v>2809</v>
      </c>
      <c r="E256" s="68" t="s">
        <v>3046</v>
      </c>
      <c r="F256" s="68" t="s">
        <v>3047</v>
      </c>
      <c r="G256" s="68" t="s">
        <v>3048</v>
      </c>
      <c r="H256" s="68" t="s">
        <v>3058</v>
      </c>
      <c r="I256" s="68" t="s">
        <v>3050</v>
      </c>
      <c r="J256" s="68" t="s">
        <v>3297</v>
      </c>
      <c r="K256" s="69" t="s">
        <v>3297</v>
      </c>
      <c r="L256" s="69" t="str">
        <f>VLOOKUP(LinkTable6789[[#This Row],[Coluna1]],[4]AlarmCatalog!$A:$M,11,FALSE)</f>
        <v>Severidade 4</v>
      </c>
    </row>
    <row r="257" spans="1:12" s="67" customFormat="1" ht="16.5" customHeight="1" x14ac:dyDescent="0.25">
      <c r="A257" s="68" t="s">
        <v>3454</v>
      </c>
      <c r="B257" s="68" t="s">
        <v>2349</v>
      </c>
      <c r="C257" s="68" t="s">
        <v>3455</v>
      </c>
      <c r="D257" s="68" t="s">
        <v>3456</v>
      </c>
      <c r="E257" s="68" t="s">
        <v>3456</v>
      </c>
      <c r="F257" s="68" t="s">
        <v>3457</v>
      </c>
      <c r="G257" s="68" t="s">
        <v>3458</v>
      </c>
      <c r="H257" s="68" t="s">
        <v>3459</v>
      </c>
      <c r="I257" s="68" t="s">
        <v>3460</v>
      </c>
      <c r="J257" s="68"/>
      <c r="K257" s="69"/>
      <c r="L257" s="69" t="e">
        <f>VLOOKUP(LinkTable6789[[#This Row],[Coluna1]],[4]AlarmCatalog!$A:$M,11,FALSE)</f>
        <v>#N/A</v>
      </c>
    </row>
    <row r="258" spans="1:12" s="67" customFormat="1" ht="16.5" customHeight="1" x14ac:dyDescent="0.25">
      <c r="A258" s="68" t="s">
        <v>3461</v>
      </c>
      <c r="B258" s="68" t="s">
        <v>2349</v>
      </c>
      <c r="C258" s="68" t="s">
        <v>2984</v>
      </c>
      <c r="D258" s="68" t="s">
        <v>2809</v>
      </c>
      <c r="E258" s="68" t="s">
        <v>3046</v>
      </c>
      <c r="F258" s="68" t="s">
        <v>3047</v>
      </c>
      <c r="G258" s="68" t="s">
        <v>3048</v>
      </c>
      <c r="H258" s="68" t="s">
        <v>3058</v>
      </c>
      <c r="I258" s="68" t="s">
        <v>3050</v>
      </c>
      <c r="J258" s="68" t="s">
        <v>3297</v>
      </c>
      <c r="K258" s="69" t="s">
        <v>3297</v>
      </c>
      <c r="L258" s="69" t="str">
        <f>VLOOKUP(LinkTable6789[[#This Row],[Coluna1]],[4]AlarmCatalog!$A:$M,11,FALSE)</f>
        <v>Severidade 4</v>
      </c>
    </row>
    <row r="259" spans="1:12" s="67" customFormat="1" ht="16.5" customHeight="1" x14ac:dyDescent="0.25">
      <c r="A259" s="68" t="s">
        <v>3462</v>
      </c>
      <c r="B259" s="68" t="s">
        <v>2349</v>
      </c>
      <c r="C259" s="68" t="s">
        <v>3129</v>
      </c>
      <c r="D259" s="68" t="s">
        <v>2809</v>
      </c>
      <c r="E259" s="68" t="s">
        <v>3053</v>
      </c>
      <c r="F259" s="68" t="s">
        <v>3047</v>
      </c>
      <c r="G259" s="68" t="s">
        <v>3048</v>
      </c>
      <c r="H259" s="68" t="s">
        <v>3075</v>
      </c>
      <c r="I259" s="68" t="s">
        <v>3050</v>
      </c>
      <c r="J259" s="68" t="s">
        <v>3297</v>
      </c>
      <c r="K259" s="69" t="s">
        <v>3297</v>
      </c>
      <c r="L259" s="69" t="str">
        <f>VLOOKUP(LinkTable6789[[#This Row],[Coluna1]],[4]AlarmCatalog!$A:$M,11,FALSE)</f>
        <v>Severidade 4</v>
      </c>
    </row>
    <row r="260" spans="1:12" s="67" customFormat="1" ht="16.5" customHeight="1" x14ac:dyDescent="0.25">
      <c r="A260" s="68" t="s">
        <v>3463</v>
      </c>
      <c r="B260" s="68" t="s">
        <v>2349</v>
      </c>
      <c r="C260" s="68" t="s">
        <v>3326</v>
      </c>
      <c r="D260" s="68" t="s">
        <v>2809</v>
      </c>
      <c r="E260" s="68" t="s">
        <v>3046</v>
      </c>
      <c r="F260" s="68" t="s">
        <v>3047</v>
      </c>
      <c r="G260" s="68" t="s">
        <v>3048</v>
      </c>
      <c r="H260" s="68" t="s">
        <v>3075</v>
      </c>
      <c r="I260" s="68" t="s">
        <v>3050</v>
      </c>
      <c r="J260" s="68" t="s">
        <v>3297</v>
      </c>
      <c r="K260" s="69" t="s">
        <v>3297</v>
      </c>
      <c r="L260" s="69" t="str">
        <f>VLOOKUP(LinkTable6789[[#This Row],[Coluna1]],[4]AlarmCatalog!$A:$M,11,FALSE)</f>
        <v>Severidade 4</v>
      </c>
    </row>
    <row r="261" spans="1:12" s="67" customFormat="1" ht="16.5" customHeight="1" x14ac:dyDescent="0.25">
      <c r="A261" s="68" t="s">
        <v>3464</v>
      </c>
      <c r="B261" s="68" t="s">
        <v>2349</v>
      </c>
      <c r="C261" s="68" t="s">
        <v>3149</v>
      </c>
      <c r="D261" s="68" t="s">
        <v>3053</v>
      </c>
      <c r="E261" s="68" t="s">
        <v>2990</v>
      </c>
      <c r="F261" s="68" t="s">
        <v>3150</v>
      </c>
      <c r="G261" s="68" t="s">
        <v>3190</v>
      </c>
      <c r="H261" s="68" t="s">
        <v>3191</v>
      </c>
      <c r="I261" s="68" t="s">
        <v>3124</v>
      </c>
      <c r="J261" s="68" t="s">
        <v>3160</v>
      </c>
      <c r="K261" s="69" t="s">
        <v>3160</v>
      </c>
      <c r="L261" s="69" t="str">
        <f>VLOOKUP(LinkTable6789[[#This Row],[Coluna1]],[4]AlarmCatalog!$A:$M,11,FALSE)</f>
        <v>Severidade 8</v>
      </c>
    </row>
    <row r="262" spans="1:12" s="67" customFormat="1" ht="16.5" customHeight="1" x14ac:dyDescent="0.25">
      <c r="A262" s="68" t="s">
        <v>3465</v>
      </c>
      <c r="B262" s="68" t="s">
        <v>2349</v>
      </c>
      <c r="C262" s="68" t="s">
        <v>3466</v>
      </c>
      <c r="D262" s="68" t="s">
        <v>2809</v>
      </c>
      <c r="E262" s="68" t="s">
        <v>3053</v>
      </c>
      <c r="F262" s="68" t="s">
        <v>3047</v>
      </c>
      <c r="G262" s="68" t="s">
        <v>3048</v>
      </c>
      <c r="H262" s="68" t="s">
        <v>3058</v>
      </c>
      <c r="I262" s="68" t="s">
        <v>3050</v>
      </c>
      <c r="J262" s="68" t="s">
        <v>3297</v>
      </c>
      <c r="K262" s="69" t="s">
        <v>3297</v>
      </c>
      <c r="L262" s="69" t="str">
        <f>VLOOKUP(LinkTable6789[[#This Row],[Coluna1]],[4]AlarmCatalog!$A:$M,11,FALSE)</f>
        <v>Severidade 4</v>
      </c>
    </row>
    <row r="263" spans="1:12" s="67" customFormat="1" ht="16.5" customHeight="1" x14ac:dyDescent="0.25">
      <c r="A263" s="68" t="s">
        <v>3467</v>
      </c>
      <c r="B263" s="68" t="s">
        <v>2349</v>
      </c>
      <c r="C263" s="68" t="s">
        <v>3468</v>
      </c>
      <c r="D263" s="68" t="s">
        <v>2809</v>
      </c>
      <c r="E263" s="68" t="s">
        <v>3053</v>
      </c>
      <c r="F263" s="68" t="s">
        <v>3047</v>
      </c>
      <c r="G263" s="68" t="s">
        <v>3048</v>
      </c>
      <c r="H263" s="68" t="s">
        <v>3058</v>
      </c>
      <c r="I263" s="68" t="s">
        <v>3050</v>
      </c>
      <c r="J263" s="68" t="s">
        <v>3297</v>
      </c>
      <c r="K263" s="69" t="s">
        <v>3297</v>
      </c>
      <c r="L263" s="69" t="str">
        <f>VLOOKUP(LinkTable6789[[#This Row],[Coluna1]],[4]AlarmCatalog!$A:$M,11,FALSE)</f>
        <v>Severidade 4</v>
      </c>
    </row>
    <row r="264" spans="1:12" s="67" customFormat="1" ht="16.5" customHeight="1" x14ac:dyDescent="0.25">
      <c r="A264" s="68" t="s">
        <v>3469</v>
      </c>
      <c r="B264" s="68" t="s">
        <v>2349</v>
      </c>
      <c r="C264" s="68" t="s">
        <v>3382</v>
      </c>
      <c r="D264" s="68" t="s">
        <v>2809</v>
      </c>
      <c r="E264" s="68" t="s">
        <v>3046</v>
      </c>
      <c r="F264" s="68" t="s">
        <v>3047</v>
      </c>
      <c r="G264" s="68" t="s">
        <v>3048</v>
      </c>
      <c r="H264" s="68" t="s">
        <v>3058</v>
      </c>
      <c r="I264" s="68" t="s">
        <v>3050</v>
      </c>
      <c r="J264" s="68" t="s">
        <v>3297</v>
      </c>
      <c r="K264" s="69" t="s">
        <v>3297</v>
      </c>
      <c r="L264" s="69" t="str">
        <f>VLOOKUP(LinkTable6789[[#This Row],[Coluna1]],[4]AlarmCatalog!$A:$M,11,FALSE)</f>
        <v>Severidade 4</v>
      </c>
    </row>
    <row r="265" spans="1:12" s="67" customFormat="1" ht="16.5" customHeight="1" x14ac:dyDescent="0.25">
      <c r="A265" s="68" t="s">
        <v>3470</v>
      </c>
      <c r="B265" s="68" t="s">
        <v>2349</v>
      </c>
      <c r="C265" s="68" t="s">
        <v>3263</v>
      </c>
      <c r="D265" s="68" t="s">
        <v>2809</v>
      </c>
      <c r="E265" s="68" t="s">
        <v>3053</v>
      </c>
      <c r="F265" s="68" t="s">
        <v>3047</v>
      </c>
      <c r="G265" s="68" t="s">
        <v>3048</v>
      </c>
      <c r="H265" s="68" t="s">
        <v>3058</v>
      </c>
      <c r="I265" s="68" t="s">
        <v>3050</v>
      </c>
      <c r="J265" s="68" t="s">
        <v>3297</v>
      </c>
      <c r="K265" s="69" t="s">
        <v>3297</v>
      </c>
      <c r="L265" s="69" t="str">
        <f>VLOOKUP(LinkTable6789[[#This Row],[Coluna1]],[4]AlarmCatalog!$A:$M,11,FALSE)</f>
        <v>Severidade 4</v>
      </c>
    </row>
    <row r="266" spans="1:12" s="67" customFormat="1" ht="16.5" customHeight="1" x14ac:dyDescent="0.25">
      <c r="A266" s="68" t="s">
        <v>3471</v>
      </c>
      <c r="B266" s="68" t="s">
        <v>2349</v>
      </c>
      <c r="C266" s="68" t="s">
        <v>3472</v>
      </c>
      <c r="D266" s="68" t="s">
        <v>2809</v>
      </c>
      <c r="E266" s="68" t="s">
        <v>3046</v>
      </c>
      <c r="F266" s="68" t="s">
        <v>3047</v>
      </c>
      <c r="G266" s="68" t="s">
        <v>3048</v>
      </c>
      <c r="H266" s="68" t="s">
        <v>3058</v>
      </c>
      <c r="I266" s="68" t="s">
        <v>3050</v>
      </c>
      <c r="J266" s="68" t="s">
        <v>3297</v>
      </c>
      <c r="K266" s="69" t="s">
        <v>3297</v>
      </c>
      <c r="L266" s="69" t="str">
        <f>VLOOKUP(LinkTable6789[[#This Row],[Coluna1]],[4]AlarmCatalog!$A:$M,11,FALSE)</f>
        <v>Severidade 4</v>
      </c>
    </row>
    <row r="267" spans="1:12" s="67" customFormat="1" ht="16.5" customHeight="1" x14ac:dyDescent="0.25">
      <c r="A267" s="70" t="s">
        <v>1278</v>
      </c>
      <c r="B267" s="68" t="s">
        <v>2349</v>
      </c>
      <c r="C267" s="68" t="s">
        <v>2991</v>
      </c>
      <c r="D267" s="68" t="s">
        <v>2809</v>
      </c>
      <c r="E267" s="68" t="s">
        <v>3053</v>
      </c>
      <c r="F267" s="68" t="s">
        <v>3047</v>
      </c>
      <c r="G267" s="68" t="s">
        <v>3048</v>
      </c>
      <c r="H267" s="68" t="s">
        <v>3058</v>
      </c>
      <c r="I267" s="68" t="s">
        <v>3050</v>
      </c>
      <c r="J267" s="68" t="s">
        <v>3297</v>
      </c>
      <c r="K267" s="69" t="s">
        <v>3297</v>
      </c>
      <c r="L267" s="69" t="str">
        <f>VLOOKUP(LinkTable6789[[#This Row],[Coluna1]],[4]AlarmCatalog!$A:$M,11,FALSE)</f>
        <v>Severidade 4</v>
      </c>
    </row>
    <row r="268" spans="1:12" s="67" customFormat="1" ht="16.5" customHeight="1" x14ac:dyDescent="0.25">
      <c r="A268" s="68" t="s">
        <v>3473</v>
      </c>
      <c r="B268" s="68" t="s">
        <v>2349</v>
      </c>
      <c r="C268" s="68" t="s">
        <v>2986</v>
      </c>
      <c r="D268" s="68" t="s">
        <v>2809</v>
      </c>
      <c r="E268" s="68" t="s">
        <v>3053</v>
      </c>
      <c r="F268" s="68" t="s">
        <v>3056</v>
      </c>
      <c r="G268" s="68" t="s">
        <v>3057</v>
      </c>
      <c r="H268" s="68" t="s">
        <v>3058</v>
      </c>
      <c r="I268" s="68" t="s">
        <v>3050</v>
      </c>
      <c r="J268" s="68" t="s">
        <v>3059</v>
      </c>
      <c r="K268" s="69" t="s">
        <v>3059</v>
      </c>
      <c r="L268" s="69" t="str">
        <f>VLOOKUP(LinkTable6789[[#This Row],[Coluna1]],[4]AlarmCatalog!$A:$M,11,FALSE)</f>
        <v>Severidade 2</v>
      </c>
    </row>
    <row r="269" spans="1:12" s="67" customFormat="1" ht="16.5" customHeight="1" x14ac:dyDescent="0.25">
      <c r="A269" s="68" t="s">
        <v>3474</v>
      </c>
      <c r="B269" s="68" t="s">
        <v>2349</v>
      </c>
      <c r="C269" s="68" t="s">
        <v>3475</v>
      </c>
      <c r="D269" s="68" t="s">
        <v>2809</v>
      </c>
      <c r="E269" s="68" t="s">
        <v>3053</v>
      </c>
      <c r="F269" s="68" t="s">
        <v>3047</v>
      </c>
      <c r="G269" s="68" t="s">
        <v>3048</v>
      </c>
      <c r="H269" s="68" t="s">
        <v>3058</v>
      </c>
      <c r="I269" s="68" t="s">
        <v>3050</v>
      </c>
      <c r="J269" s="68" t="s">
        <v>3297</v>
      </c>
      <c r="K269" s="69" t="s">
        <v>3297</v>
      </c>
      <c r="L269" s="69" t="str">
        <f>VLOOKUP(LinkTable6789[[#This Row],[Coluna1]],[4]AlarmCatalog!$A:$M,11,FALSE)</f>
        <v>Severidade 4</v>
      </c>
    </row>
    <row r="270" spans="1:12" s="67" customFormat="1" ht="16.5" customHeight="1" x14ac:dyDescent="0.25">
      <c r="A270" s="68" t="s">
        <v>3476</v>
      </c>
      <c r="B270" s="68" t="s">
        <v>2349</v>
      </c>
      <c r="C270" s="68" t="s">
        <v>2982</v>
      </c>
      <c r="D270" s="68" t="s">
        <v>2990</v>
      </c>
      <c r="E270" s="68" t="s">
        <v>3053</v>
      </c>
      <c r="F270" s="68" t="s">
        <v>3477</v>
      </c>
      <c r="G270" s="68" t="s">
        <v>3048</v>
      </c>
      <c r="H270" s="68" t="s">
        <v>3058</v>
      </c>
      <c r="I270" s="68" t="s">
        <v>3050</v>
      </c>
      <c r="J270" s="68" t="s">
        <v>3125</v>
      </c>
      <c r="K270" s="69" t="s">
        <v>3125</v>
      </c>
      <c r="L270" s="69" t="str">
        <f>VLOOKUP(LinkTable6789[[#This Row],[Coluna1]],[4]AlarmCatalog!$A:$M,11,FALSE)</f>
        <v>Severidade 8</v>
      </c>
    </row>
    <row r="271" spans="1:12" s="67" customFormat="1" ht="16.5" customHeight="1" x14ac:dyDescent="0.25">
      <c r="A271" s="68" t="s">
        <v>3478</v>
      </c>
      <c r="B271" s="68" t="s">
        <v>2349</v>
      </c>
      <c r="C271" s="68" t="s">
        <v>2991</v>
      </c>
      <c r="D271" s="68" t="s">
        <v>2809</v>
      </c>
      <c r="E271" s="68" t="s">
        <v>3053</v>
      </c>
      <c r="F271" s="68" t="s">
        <v>3047</v>
      </c>
      <c r="G271" s="68" t="s">
        <v>3048</v>
      </c>
      <c r="H271" s="68" t="s">
        <v>3058</v>
      </c>
      <c r="I271" s="68" t="s">
        <v>3050</v>
      </c>
      <c r="J271" s="68" t="s">
        <v>3297</v>
      </c>
      <c r="K271" s="69" t="s">
        <v>3297</v>
      </c>
      <c r="L271" s="69" t="str">
        <f>VLOOKUP(LinkTable6789[[#This Row],[Coluna1]],[4]AlarmCatalog!$A:$M,11,FALSE)</f>
        <v>Severidade 4</v>
      </c>
    </row>
    <row r="272" spans="1:12" s="67" customFormat="1" ht="16.5" customHeight="1" x14ac:dyDescent="0.25">
      <c r="A272" s="68" t="s">
        <v>3479</v>
      </c>
      <c r="B272" s="68" t="s">
        <v>2349</v>
      </c>
      <c r="C272" s="68" t="s">
        <v>3286</v>
      </c>
      <c r="D272" s="68" t="s">
        <v>2809</v>
      </c>
      <c r="E272" s="68" t="s">
        <v>3053</v>
      </c>
      <c r="F272" s="68" t="s">
        <v>3047</v>
      </c>
      <c r="G272" s="68" t="s">
        <v>3048</v>
      </c>
      <c r="H272" s="68" t="s">
        <v>3058</v>
      </c>
      <c r="I272" s="68" t="s">
        <v>3050</v>
      </c>
      <c r="J272" s="68" t="s">
        <v>3297</v>
      </c>
      <c r="K272" s="69" t="s">
        <v>3297</v>
      </c>
      <c r="L272" s="69" t="str">
        <f>VLOOKUP(LinkTable6789[[#This Row],[Coluna1]],[4]AlarmCatalog!$A:$M,11,FALSE)</f>
        <v>Severidade 4</v>
      </c>
    </row>
    <row r="273" spans="1:12" s="67" customFormat="1" ht="16.5" customHeight="1" x14ac:dyDescent="0.25">
      <c r="A273" s="68" t="s">
        <v>3480</v>
      </c>
      <c r="B273" s="68" t="s">
        <v>2349</v>
      </c>
      <c r="C273" s="68" t="s">
        <v>3286</v>
      </c>
      <c r="D273" s="68" t="s">
        <v>2809</v>
      </c>
      <c r="E273" s="68" t="s">
        <v>3046</v>
      </c>
      <c r="F273" s="68" t="s">
        <v>3047</v>
      </c>
      <c r="G273" s="68" t="s">
        <v>3048</v>
      </c>
      <c r="H273" s="68" t="s">
        <v>3058</v>
      </c>
      <c r="I273" s="68" t="s">
        <v>3050</v>
      </c>
      <c r="J273" s="68" t="s">
        <v>3297</v>
      </c>
      <c r="K273" s="69" t="s">
        <v>3297</v>
      </c>
      <c r="L273" s="69" t="str">
        <f>VLOOKUP(LinkTable6789[[#This Row],[Coluna1]],[4]AlarmCatalog!$A:$M,11,FALSE)</f>
        <v>Severidade 4</v>
      </c>
    </row>
    <row r="274" spans="1:12" s="67" customFormat="1" ht="16.5" customHeight="1" x14ac:dyDescent="0.25">
      <c r="A274" s="68" t="s">
        <v>3481</v>
      </c>
      <c r="B274" s="68" t="s">
        <v>2349</v>
      </c>
      <c r="C274" s="68" t="s">
        <v>2986</v>
      </c>
      <c r="D274" s="68" t="s">
        <v>2809</v>
      </c>
      <c r="E274" s="68" t="s">
        <v>3053</v>
      </c>
      <c r="F274" s="68" t="s">
        <v>3056</v>
      </c>
      <c r="G274" s="68" t="s">
        <v>3057</v>
      </c>
      <c r="H274" s="68" t="s">
        <v>3058</v>
      </c>
      <c r="I274" s="68" t="s">
        <v>3050</v>
      </c>
      <c r="J274" s="68" t="s">
        <v>3061</v>
      </c>
      <c r="K274" s="69" t="s">
        <v>3061</v>
      </c>
      <c r="L274" s="69" t="str">
        <f>VLOOKUP(LinkTable6789[[#This Row],[Coluna1]],[4]AlarmCatalog!$A:$M,11,FALSE)</f>
        <v>Severidade 8</v>
      </c>
    </row>
    <row r="275" spans="1:12" s="67" customFormat="1" ht="16.5" customHeight="1" x14ac:dyDescent="0.25">
      <c r="A275" s="68" t="s">
        <v>3482</v>
      </c>
      <c r="B275" s="68" t="s">
        <v>2349</v>
      </c>
      <c r="C275" s="68" t="s">
        <v>3103</v>
      </c>
      <c r="D275" s="68" t="s">
        <v>2809</v>
      </c>
      <c r="E275" s="68" t="s">
        <v>3053</v>
      </c>
      <c r="F275" s="68" t="s">
        <v>3047</v>
      </c>
      <c r="G275" s="68" t="s">
        <v>3048</v>
      </c>
      <c r="H275" s="68" t="s">
        <v>3075</v>
      </c>
      <c r="I275" s="68" t="s">
        <v>3050</v>
      </c>
      <c r="J275" s="68" t="s">
        <v>3297</v>
      </c>
      <c r="K275" s="69" t="s">
        <v>3297</v>
      </c>
      <c r="L275" s="69" t="str">
        <f>VLOOKUP(LinkTable6789[[#This Row],[Coluna1]],[4]AlarmCatalog!$A:$M,11,FALSE)</f>
        <v>Severidade 4</v>
      </c>
    </row>
    <row r="276" spans="1:12" s="67" customFormat="1" ht="16.5" customHeight="1" x14ac:dyDescent="0.25">
      <c r="A276" s="70" t="s">
        <v>3483</v>
      </c>
      <c r="B276" s="68" t="s">
        <v>2349</v>
      </c>
      <c r="C276" s="68" t="s">
        <v>2991</v>
      </c>
      <c r="D276" s="68" t="s">
        <v>2809</v>
      </c>
      <c r="E276" s="68" t="s">
        <v>3053</v>
      </c>
      <c r="F276" s="68" t="s">
        <v>3047</v>
      </c>
      <c r="G276" s="68" t="s">
        <v>3048</v>
      </c>
      <c r="H276" s="68" t="s">
        <v>3058</v>
      </c>
      <c r="I276" s="68" t="s">
        <v>3050</v>
      </c>
      <c r="J276" s="68" t="s">
        <v>3297</v>
      </c>
      <c r="K276" s="69" t="s">
        <v>3297</v>
      </c>
      <c r="L276" s="69" t="str">
        <f>VLOOKUP(LinkTable6789[[#This Row],[Coluna1]],[4]AlarmCatalog!$A:$M,11,FALSE)</f>
        <v>Severidade 4</v>
      </c>
    </row>
    <row r="277" spans="1:12" s="67" customFormat="1" ht="16.5" customHeight="1" x14ac:dyDescent="0.25">
      <c r="A277" s="68" t="s">
        <v>3484</v>
      </c>
      <c r="B277" s="68" t="s">
        <v>2349</v>
      </c>
      <c r="C277" s="68" t="s">
        <v>2991</v>
      </c>
      <c r="D277" s="68" t="s">
        <v>2809</v>
      </c>
      <c r="E277" s="68" t="s">
        <v>3053</v>
      </c>
      <c r="F277" s="68" t="s">
        <v>3047</v>
      </c>
      <c r="G277" s="68" t="s">
        <v>3048</v>
      </c>
      <c r="H277" s="68" t="s">
        <v>3058</v>
      </c>
      <c r="I277" s="68" t="s">
        <v>3050</v>
      </c>
      <c r="J277" s="68" t="s">
        <v>3297</v>
      </c>
      <c r="K277" s="69" t="s">
        <v>3297</v>
      </c>
      <c r="L277" s="69" t="str">
        <f>VLOOKUP(LinkTable6789[[#This Row],[Coluna1]],[4]AlarmCatalog!$A:$M,11,FALSE)</f>
        <v>Severidade 4</v>
      </c>
    </row>
    <row r="278" spans="1:12" s="67" customFormat="1" ht="16.5" customHeight="1" x14ac:dyDescent="0.25">
      <c r="A278" s="68" t="s">
        <v>3485</v>
      </c>
      <c r="B278" s="68" t="s">
        <v>2349</v>
      </c>
      <c r="C278" s="68" t="s">
        <v>2991</v>
      </c>
      <c r="D278" s="68" t="s">
        <v>2809</v>
      </c>
      <c r="E278" s="68" t="s">
        <v>3053</v>
      </c>
      <c r="F278" s="68" t="s">
        <v>3047</v>
      </c>
      <c r="G278" s="68" t="s">
        <v>3048</v>
      </c>
      <c r="H278" s="68" t="s">
        <v>3058</v>
      </c>
      <c r="I278" s="68" t="s">
        <v>3050</v>
      </c>
      <c r="J278" s="68" t="s">
        <v>3297</v>
      </c>
      <c r="K278" s="69" t="s">
        <v>3297</v>
      </c>
      <c r="L278" s="69" t="str">
        <f>VLOOKUP(LinkTable6789[[#This Row],[Coluna1]],[4]AlarmCatalog!$A:$M,11,FALSE)</f>
        <v>Severidade 4</v>
      </c>
    </row>
    <row r="279" spans="1:12" s="67" customFormat="1" ht="16.5" customHeight="1" x14ac:dyDescent="0.25">
      <c r="A279" s="68" t="s">
        <v>3486</v>
      </c>
      <c r="B279" s="68" t="s">
        <v>2349</v>
      </c>
      <c r="C279" s="68" t="s">
        <v>2988</v>
      </c>
      <c r="D279" s="68" t="s">
        <v>2809</v>
      </c>
      <c r="E279" s="68" t="s">
        <v>3053</v>
      </c>
      <c r="F279" s="68" t="s">
        <v>3047</v>
      </c>
      <c r="G279" s="68" t="s">
        <v>3048</v>
      </c>
      <c r="H279" s="68" t="s">
        <v>3058</v>
      </c>
      <c r="I279" s="68" t="s">
        <v>3050</v>
      </c>
      <c r="J279" s="68" t="s">
        <v>3297</v>
      </c>
      <c r="K279" s="69" t="s">
        <v>3297</v>
      </c>
      <c r="L279" s="69" t="str">
        <f>VLOOKUP(LinkTable6789[[#This Row],[Coluna1]],[4]AlarmCatalog!$A:$M,11,FALSE)</f>
        <v>Severidade 4</v>
      </c>
    </row>
    <row r="280" spans="1:12" s="67" customFormat="1" ht="16.5" customHeight="1" x14ac:dyDescent="0.25">
      <c r="A280" s="68" t="s">
        <v>3487</v>
      </c>
      <c r="B280" s="68" t="s">
        <v>2349</v>
      </c>
      <c r="C280" s="68" t="s">
        <v>2986</v>
      </c>
      <c r="D280" s="68" t="s">
        <v>2809</v>
      </c>
      <c r="E280" s="68" t="s">
        <v>3046</v>
      </c>
      <c r="F280" s="68" t="s">
        <v>3056</v>
      </c>
      <c r="G280" s="68" t="s">
        <v>3057</v>
      </c>
      <c r="H280" s="68" t="s">
        <v>3058</v>
      </c>
      <c r="I280" s="68" t="s">
        <v>3050</v>
      </c>
      <c r="J280" s="68" t="s">
        <v>3059</v>
      </c>
      <c r="K280" s="69" t="s">
        <v>3059</v>
      </c>
      <c r="L280" s="69" t="str">
        <f>VLOOKUP(LinkTable6789[[#This Row],[Coluna1]],[4]AlarmCatalog!$A:$M,11,FALSE)</f>
        <v>Severidade 2</v>
      </c>
    </row>
    <row r="281" spans="1:12" s="67" customFormat="1" ht="16.5" customHeight="1" x14ac:dyDescent="0.25">
      <c r="A281" s="68" t="s">
        <v>3488</v>
      </c>
      <c r="B281" s="68" t="s">
        <v>2349</v>
      </c>
      <c r="C281" s="68" t="s">
        <v>3253</v>
      </c>
      <c r="D281" s="68" t="s">
        <v>2809</v>
      </c>
      <c r="E281" s="68" t="s">
        <v>3053</v>
      </c>
      <c r="F281" s="68" t="s">
        <v>3047</v>
      </c>
      <c r="G281" s="68" t="s">
        <v>3048</v>
      </c>
      <c r="H281" s="68" t="s">
        <v>3058</v>
      </c>
      <c r="I281" s="68" t="s">
        <v>3050</v>
      </c>
      <c r="J281" s="68" t="s">
        <v>3297</v>
      </c>
      <c r="K281" s="69" t="s">
        <v>3297</v>
      </c>
      <c r="L281" s="69" t="str">
        <f>VLOOKUP(LinkTable6789[[#This Row],[Coluna1]],[4]AlarmCatalog!$A:$M,11,FALSE)</f>
        <v>Severidade 4</v>
      </c>
    </row>
    <row r="282" spans="1:12" s="67" customFormat="1" ht="16.5" customHeight="1" x14ac:dyDescent="0.25">
      <c r="A282" s="68" t="s">
        <v>3489</v>
      </c>
      <c r="B282" s="68" t="s">
        <v>2349</v>
      </c>
      <c r="C282" s="68" t="s">
        <v>3490</v>
      </c>
      <c r="D282" s="68" t="s">
        <v>2809</v>
      </c>
      <c r="E282" s="68" t="s">
        <v>3111</v>
      </c>
      <c r="F282" s="68" t="s">
        <v>3047</v>
      </c>
      <c r="G282" s="68" t="s">
        <v>3048</v>
      </c>
      <c r="H282" s="68" t="s">
        <v>3058</v>
      </c>
      <c r="I282" s="68" t="s">
        <v>3050</v>
      </c>
      <c r="J282" s="68" t="s">
        <v>3297</v>
      </c>
      <c r="K282" s="69" t="s">
        <v>3297</v>
      </c>
      <c r="L282" s="69" t="str">
        <f>VLOOKUP(LinkTable6789[[#This Row],[Coluna1]],[4]AlarmCatalog!$A:$M,11,FALSE)</f>
        <v>Severidade 4</v>
      </c>
    </row>
    <row r="283" spans="1:12" s="67" customFormat="1" ht="16.5" customHeight="1" x14ac:dyDescent="0.25">
      <c r="A283" s="68" t="s">
        <v>3491</v>
      </c>
      <c r="B283" s="68" t="s">
        <v>2349</v>
      </c>
      <c r="C283" s="68" t="s">
        <v>2991</v>
      </c>
      <c r="D283" s="68" t="s">
        <v>2809</v>
      </c>
      <c r="E283" s="68" t="s">
        <v>3053</v>
      </c>
      <c r="F283" s="68" t="s">
        <v>3047</v>
      </c>
      <c r="G283" s="68" t="s">
        <v>3048</v>
      </c>
      <c r="H283" s="68" t="s">
        <v>3058</v>
      </c>
      <c r="I283" s="68" t="s">
        <v>3050</v>
      </c>
      <c r="J283" s="68" t="s">
        <v>3297</v>
      </c>
      <c r="K283" s="69" t="s">
        <v>3297</v>
      </c>
      <c r="L283" s="69" t="str">
        <f>VLOOKUP(LinkTable6789[[#This Row],[Coluna1]],[4]AlarmCatalog!$A:$M,11,FALSE)</f>
        <v>Severidade 4</v>
      </c>
    </row>
    <row r="284" spans="1:12" s="67" customFormat="1" ht="16.5" customHeight="1" x14ac:dyDescent="0.25">
      <c r="A284" s="68" t="s">
        <v>3492</v>
      </c>
      <c r="B284" s="68" t="s">
        <v>2349</v>
      </c>
      <c r="C284" s="68" t="s">
        <v>3493</v>
      </c>
      <c r="D284" s="68" t="s">
        <v>2809</v>
      </c>
      <c r="E284" s="68" t="s">
        <v>2809</v>
      </c>
      <c r="F284" s="68" t="s">
        <v>3047</v>
      </c>
      <c r="G284" s="68" t="s">
        <v>3122</v>
      </c>
      <c r="H284" s="68" t="s">
        <v>3123</v>
      </c>
      <c r="I284" s="68" t="s">
        <v>3124</v>
      </c>
      <c r="J284" s="68" t="s">
        <v>3297</v>
      </c>
      <c r="K284" s="69" t="s">
        <v>3297</v>
      </c>
      <c r="L284" s="69" t="str">
        <f>VLOOKUP(LinkTable6789[[#This Row],[Coluna1]],[4]AlarmCatalog!$A:$M,11,FALSE)</f>
        <v>Severidade 4</v>
      </c>
    </row>
    <row r="285" spans="1:12" s="67" customFormat="1" ht="16.5" customHeight="1" x14ac:dyDescent="0.25">
      <c r="A285" s="68" t="s">
        <v>3494</v>
      </c>
      <c r="B285" s="68" t="s">
        <v>2349</v>
      </c>
      <c r="C285" s="68" t="s">
        <v>3286</v>
      </c>
      <c r="D285" s="68" t="s">
        <v>2809</v>
      </c>
      <c r="E285" s="68" t="s">
        <v>3053</v>
      </c>
      <c r="F285" s="68" t="s">
        <v>3047</v>
      </c>
      <c r="G285" s="68" t="s">
        <v>3048</v>
      </c>
      <c r="H285" s="68" t="s">
        <v>3058</v>
      </c>
      <c r="I285" s="68" t="s">
        <v>3050</v>
      </c>
      <c r="J285" s="68" t="s">
        <v>3297</v>
      </c>
      <c r="K285" s="69" t="s">
        <v>3297</v>
      </c>
      <c r="L285" s="69" t="str">
        <f>VLOOKUP(LinkTable6789[[#This Row],[Coluna1]],[4]AlarmCatalog!$A:$M,11,FALSE)</f>
        <v>Severidade 4</v>
      </c>
    </row>
    <row r="286" spans="1:12" s="67" customFormat="1" ht="16.5" customHeight="1" x14ac:dyDescent="0.25">
      <c r="A286" s="68" t="s">
        <v>3495</v>
      </c>
      <c r="B286" s="68" t="s">
        <v>2349</v>
      </c>
      <c r="C286" s="68" t="s">
        <v>3496</v>
      </c>
      <c r="D286" s="68" t="s">
        <v>2990</v>
      </c>
      <c r="E286" s="68" t="s">
        <v>3046</v>
      </c>
      <c r="F286" s="68" t="s">
        <v>3056</v>
      </c>
      <c r="G286" s="68" t="s">
        <v>3057</v>
      </c>
      <c r="H286" s="68" t="s">
        <v>3058</v>
      </c>
      <c r="I286" s="68" t="s">
        <v>3050</v>
      </c>
      <c r="J286" s="68" t="s">
        <v>3059</v>
      </c>
      <c r="K286" s="69" t="s">
        <v>3059</v>
      </c>
      <c r="L286" s="69" t="str">
        <f>VLOOKUP(LinkTable6789[[#This Row],[Coluna1]],[4]AlarmCatalog!$A:$M,11,FALSE)</f>
        <v>Severidade 2</v>
      </c>
    </row>
    <row r="287" spans="1:12" s="67" customFormat="1" ht="16.5" customHeight="1" x14ac:dyDescent="0.25">
      <c r="A287" s="68" t="s">
        <v>40</v>
      </c>
      <c r="B287" s="68" t="s">
        <v>2349</v>
      </c>
      <c r="C287" s="68" t="s">
        <v>2991</v>
      </c>
      <c r="D287" s="68" t="s">
        <v>2809</v>
      </c>
      <c r="E287" s="68" t="s">
        <v>3053</v>
      </c>
      <c r="F287" s="68" t="s">
        <v>3047</v>
      </c>
      <c r="G287" s="68" t="s">
        <v>3048</v>
      </c>
      <c r="H287" s="68" t="s">
        <v>3058</v>
      </c>
      <c r="I287" s="68" t="s">
        <v>3050</v>
      </c>
      <c r="J287" s="68" t="s">
        <v>3439</v>
      </c>
      <c r="K287" s="69" t="s">
        <v>3439</v>
      </c>
      <c r="L287" s="69" t="str">
        <f>VLOOKUP(LinkTable6789[[#This Row],[Coluna1]],[4]AlarmCatalog!$A:$M,11,FALSE)</f>
        <v>Severidade 4</v>
      </c>
    </row>
    <row r="288" spans="1:12" s="67" customFormat="1" ht="16.5" customHeight="1" x14ac:dyDescent="0.25">
      <c r="A288" s="68" t="s">
        <v>13</v>
      </c>
      <c r="B288" s="68" t="s">
        <v>2349</v>
      </c>
      <c r="C288" s="68" t="s">
        <v>2991</v>
      </c>
      <c r="D288" s="68" t="s">
        <v>2809</v>
      </c>
      <c r="E288" s="68" t="s">
        <v>3053</v>
      </c>
      <c r="F288" s="68" t="s">
        <v>3047</v>
      </c>
      <c r="G288" s="68" t="s">
        <v>3048</v>
      </c>
      <c r="H288" s="68" t="s">
        <v>3058</v>
      </c>
      <c r="I288" s="68" t="s">
        <v>3050</v>
      </c>
      <c r="J288" s="68" t="s">
        <v>3439</v>
      </c>
      <c r="K288" s="69" t="s">
        <v>3439</v>
      </c>
      <c r="L288" s="69" t="str">
        <f>VLOOKUP(LinkTable6789[[#This Row],[Coluna1]],[4]AlarmCatalog!$A:$M,11,FALSE)</f>
        <v>Severidade 4</v>
      </c>
    </row>
    <row r="289" spans="1:12" s="67" customFormat="1" ht="16.5" customHeight="1" x14ac:dyDescent="0.25">
      <c r="A289" s="68" t="s">
        <v>1252</v>
      </c>
      <c r="B289" s="68" t="s">
        <v>2349</v>
      </c>
      <c r="C289" s="68" t="s">
        <v>2991</v>
      </c>
      <c r="D289" s="68" t="s">
        <v>2809</v>
      </c>
      <c r="E289" s="68" t="s">
        <v>3053</v>
      </c>
      <c r="F289" s="68" t="s">
        <v>3047</v>
      </c>
      <c r="G289" s="68" t="s">
        <v>3048</v>
      </c>
      <c r="H289" s="68" t="s">
        <v>3058</v>
      </c>
      <c r="I289" s="68" t="s">
        <v>3050</v>
      </c>
      <c r="J289" s="68" t="s">
        <v>3439</v>
      </c>
      <c r="K289" s="69" t="s">
        <v>3439</v>
      </c>
      <c r="L289" s="69" t="str">
        <f>VLOOKUP(LinkTable6789[[#This Row],[Coluna1]],[4]AlarmCatalog!$A:$M,11,FALSE)</f>
        <v>Severidade 4</v>
      </c>
    </row>
    <row r="290" spans="1:12" s="67" customFormat="1" ht="16.5" customHeight="1" x14ac:dyDescent="0.25">
      <c r="A290" s="68" t="s">
        <v>389</v>
      </c>
      <c r="B290" s="68" t="s">
        <v>2349</v>
      </c>
      <c r="C290" s="68" t="s">
        <v>2991</v>
      </c>
      <c r="D290" s="68" t="s">
        <v>2809</v>
      </c>
      <c r="E290" s="68" t="s">
        <v>3053</v>
      </c>
      <c r="F290" s="68" t="s">
        <v>3079</v>
      </c>
      <c r="G290" s="68" t="s">
        <v>3048</v>
      </c>
      <c r="H290" s="68" t="s">
        <v>3058</v>
      </c>
      <c r="I290" s="68" t="s">
        <v>3050</v>
      </c>
      <c r="J290" s="68" t="s">
        <v>3433</v>
      </c>
      <c r="K290" s="69" t="s">
        <v>3433</v>
      </c>
      <c r="L290" s="69" t="str">
        <f>VLOOKUP(LinkTable6789[[#This Row],[Coluna1]],[4]AlarmCatalog!$A:$M,11,FALSE)</f>
        <v>Severidade 4</v>
      </c>
    </row>
    <row r="291" spans="1:12" s="67" customFormat="1" ht="16.5" customHeight="1" x14ac:dyDescent="0.25">
      <c r="A291" s="68" t="s">
        <v>3497</v>
      </c>
      <c r="B291" s="68" t="s">
        <v>2349</v>
      </c>
      <c r="C291" s="68" t="s">
        <v>3314</v>
      </c>
      <c r="D291" s="68" t="s">
        <v>2809</v>
      </c>
      <c r="E291" s="68" t="s">
        <v>3053</v>
      </c>
      <c r="F291" s="68" t="s">
        <v>3047</v>
      </c>
      <c r="G291" s="68" t="s">
        <v>3048</v>
      </c>
      <c r="H291" s="68" t="s">
        <v>3058</v>
      </c>
      <c r="I291" s="68" t="s">
        <v>3050</v>
      </c>
      <c r="J291" s="68" t="s">
        <v>3439</v>
      </c>
      <c r="K291" s="69" t="s">
        <v>3439</v>
      </c>
      <c r="L291" s="69" t="str">
        <f>VLOOKUP(LinkTable6789[[#This Row],[Coluna1]],[4]AlarmCatalog!$A:$M,11,FALSE)</f>
        <v>Severidade 4</v>
      </c>
    </row>
    <row r="292" spans="1:12" s="67" customFormat="1" ht="16.5" customHeight="1" x14ac:dyDescent="0.25">
      <c r="A292" s="68" t="s">
        <v>1201</v>
      </c>
      <c r="B292" s="68" t="s">
        <v>2349</v>
      </c>
      <c r="C292" s="68" t="s">
        <v>2988</v>
      </c>
      <c r="D292" s="68" t="s">
        <v>2809</v>
      </c>
      <c r="E292" s="68" t="s">
        <v>3053</v>
      </c>
      <c r="F292" s="68" t="s">
        <v>3047</v>
      </c>
      <c r="G292" s="68" t="s">
        <v>3048</v>
      </c>
      <c r="H292" s="68" t="s">
        <v>3058</v>
      </c>
      <c r="I292" s="68" t="s">
        <v>3050</v>
      </c>
      <c r="J292" s="68" t="s">
        <v>3439</v>
      </c>
      <c r="K292" s="69" t="s">
        <v>3439</v>
      </c>
      <c r="L292" s="69" t="str">
        <f>VLOOKUP(LinkTable6789[[#This Row],[Coluna1]],[4]AlarmCatalog!$A:$M,11,FALSE)</f>
        <v>Severidade 4</v>
      </c>
    </row>
    <row r="293" spans="1:12" s="67" customFormat="1" ht="16.5" customHeight="1" x14ac:dyDescent="0.25">
      <c r="A293" s="68" t="s">
        <v>1202</v>
      </c>
      <c r="B293" s="68" t="s">
        <v>2349</v>
      </c>
      <c r="C293" s="68" t="s">
        <v>3253</v>
      </c>
      <c r="D293" s="68" t="s">
        <v>2809</v>
      </c>
      <c r="E293" s="68" t="s">
        <v>3053</v>
      </c>
      <c r="F293" s="68" t="s">
        <v>3047</v>
      </c>
      <c r="G293" s="68" t="s">
        <v>3048</v>
      </c>
      <c r="H293" s="68" t="s">
        <v>3058</v>
      </c>
      <c r="I293" s="68" t="s">
        <v>3050</v>
      </c>
      <c r="J293" s="68" t="s">
        <v>3439</v>
      </c>
      <c r="K293" s="69" t="s">
        <v>3439</v>
      </c>
      <c r="L293" s="69" t="str">
        <f>VLOOKUP(LinkTable6789[[#This Row],[Coluna1]],[4]AlarmCatalog!$A:$M,11,FALSE)</f>
        <v>Severidade 4</v>
      </c>
    </row>
    <row r="294" spans="1:12" s="67" customFormat="1" ht="16.5" customHeight="1" x14ac:dyDescent="0.25">
      <c r="A294" s="68" t="s">
        <v>3498</v>
      </c>
      <c r="B294" s="68" t="s">
        <v>2349</v>
      </c>
      <c r="C294" s="68" t="s">
        <v>2988</v>
      </c>
      <c r="D294" s="68" t="s">
        <v>2809</v>
      </c>
      <c r="E294" s="68" t="s">
        <v>3046</v>
      </c>
      <c r="F294" s="68" t="s">
        <v>3047</v>
      </c>
      <c r="G294" s="68" t="s">
        <v>3048</v>
      </c>
      <c r="H294" s="68" t="s">
        <v>3058</v>
      </c>
      <c r="I294" s="68" t="s">
        <v>3050</v>
      </c>
      <c r="J294" s="68" t="s">
        <v>3439</v>
      </c>
      <c r="K294" s="69" t="s">
        <v>3439</v>
      </c>
      <c r="L294" s="69" t="str">
        <f>VLOOKUP(LinkTable6789[[#This Row],[Coluna1]],[4]AlarmCatalog!$A:$M,11,FALSE)</f>
        <v>Severidade 4</v>
      </c>
    </row>
    <row r="295" spans="1:12" s="67" customFormat="1" ht="16.5" customHeight="1" x14ac:dyDescent="0.25">
      <c r="A295" s="68" t="s">
        <v>3499</v>
      </c>
      <c r="B295" s="68" t="s">
        <v>2349</v>
      </c>
      <c r="C295" s="68" t="s">
        <v>3085</v>
      </c>
      <c r="D295" s="68" t="s">
        <v>2809</v>
      </c>
      <c r="E295" s="68" t="s">
        <v>3053</v>
      </c>
      <c r="F295" s="68" t="s">
        <v>3209</v>
      </c>
      <c r="G295" s="68" t="s">
        <v>3048</v>
      </c>
      <c r="H295" s="68" t="s">
        <v>3058</v>
      </c>
      <c r="I295" s="68" t="s">
        <v>3050</v>
      </c>
      <c r="J295" s="68" t="s">
        <v>3297</v>
      </c>
      <c r="K295" s="69" t="s">
        <v>3297</v>
      </c>
      <c r="L295" s="69" t="str">
        <f>VLOOKUP(LinkTable6789[[#This Row],[Coluna1]],[4]AlarmCatalog!$A:$M,11,FALSE)</f>
        <v>Severidade 4</v>
      </c>
    </row>
    <row r="296" spans="1:12" s="67" customFormat="1" ht="16.5" customHeight="1" x14ac:dyDescent="0.25">
      <c r="A296" s="68" t="s">
        <v>3500</v>
      </c>
      <c r="B296" s="68" t="s">
        <v>2349</v>
      </c>
      <c r="C296" s="68" t="s">
        <v>2985</v>
      </c>
      <c r="D296" s="68" t="s">
        <v>2809</v>
      </c>
      <c r="E296" s="68" t="s">
        <v>3053</v>
      </c>
      <c r="F296" s="68" t="s">
        <v>3047</v>
      </c>
      <c r="G296" s="68" t="s">
        <v>3048</v>
      </c>
      <c r="H296" s="68" t="s">
        <v>3058</v>
      </c>
      <c r="I296" s="68" t="s">
        <v>3050</v>
      </c>
      <c r="J296" s="68" t="s">
        <v>3439</v>
      </c>
      <c r="K296" s="69" t="s">
        <v>3439</v>
      </c>
      <c r="L296" s="69" t="str">
        <f>VLOOKUP(LinkTable6789[[#This Row],[Coluna1]],[4]AlarmCatalog!$A:$M,11,FALSE)</f>
        <v>Severidade 4</v>
      </c>
    </row>
    <row r="297" spans="1:12" s="67" customFormat="1" ht="16.5" customHeight="1" x14ac:dyDescent="0.25">
      <c r="A297" s="68" t="s">
        <v>3501</v>
      </c>
      <c r="B297" s="68" t="s">
        <v>2349</v>
      </c>
      <c r="C297" s="68" t="s">
        <v>2985</v>
      </c>
      <c r="D297" s="68" t="s">
        <v>2809</v>
      </c>
      <c r="E297" s="68" t="s">
        <v>3053</v>
      </c>
      <c r="F297" s="68" t="s">
        <v>3153</v>
      </c>
      <c r="G297" s="68" t="s">
        <v>3048</v>
      </c>
      <c r="H297" s="68" t="s">
        <v>3058</v>
      </c>
      <c r="I297" s="68" t="s">
        <v>3050</v>
      </c>
      <c r="J297" s="68" t="s">
        <v>3433</v>
      </c>
      <c r="K297" s="69" t="s">
        <v>3433</v>
      </c>
      <c r="L297" s="69" t="str">
        <f>VLOOKUP(LinkTable6789[[#This Row],[Coluna1]],[4]AlarmCatalog!$A:$M,11,FALSE)</f>
        <v>Severidade 4</v>
      </c>
    </row>
    <row r="298" spans="1:12" s="67" customFormat="1" ht="16.5" customHeight="1" x14ac:dyDescent="0.25">
      <c r="A298" s="68" t="s">
        <v>3502</v>
      </c>
      <c r="B298" s="68" t="s">
        <v>2349</v>
      </c>
      <c r="C298" s="68" t="s">
        <v>2985</v>
      </c>
      <c r="D298" s="68" t="s">
        <v>2809</v>
      </c>
      <c r="E298" s="68" t="s">
        <v>3053</v>
      </c>
      <c r="F298" s="68" t="s">
        <v>3131</v>
      </c>
      <c r="G298" s="68" t="s">
        <v>3048</v>
      </c>
      <c r="H298" s="68" t="s">
        <v>3058</v>
      </c>
      <c r="I298" s="68" t="s">
        <v>3050</v>
      </c>
      <c r="J298" s="68" t="s">
        <v>3433</v>
      </c>
      <c r="K298" s="69" t="s">
        <v>3433</v>
      </c>
      <c r="L298" s="69" t="str">
        <f>VLOOKUP(LinkTable6789[[#This Row],[Coluna1]],[4]AlarmCatalog!$A:$M,11,FALSE)</f>
        <v>Severidade 4</v>
      </c>
    </row>
    <row r="299" spans="1:12" s="67" customFormat="1" ht="16.5" customHeight="1" x14ac:dyDescent="0.25">
      <c r="A299" s="68" t="s">
        <v>3503</v>
      </c>
      <c r="B299" s="68" t="s">
        <v>2349</v>
      </c>
      <c r="C299" s="68" t="s">
        <v>2808</v>
      </c>
      <c r="D299" s="68" t="s">
        <v>2809</v>
      </c>
      <c r="E299" s="68" t="s">
        <v>3053</v>
      </c>
      <c r="F299" s="68" t="s">
        <v>3047</v>
      </c>
      <c r="G299" s="68" t="s">
        <v>3048</v>
      </c>
      <c r="H299" s="68" t="s">
        <v>3058</v>
      </c>
      <c r="I299" s="68" t="s">
        <v>3050</v>
      </c>
      <c r="J299" s="68" t="s">
        <v>3439</v>
      </c>
      <c r="K299" s="69" t="s">
        <v>3439</v>
      </c>
      <c r="L299" s="69" t="str">
        <f>VLOOKUP(LinkTable6789[[#This Row],[Coluna1]],[4]AlarmCatalog!$A:$M,11,FALSE)</f>
        <v>Severidade 4</v>
      </c>
    </row>
    <row r="300" spans="1:12" s="67" customFormat="1" ht="16.5" customHeight="1" x14ac:dyDescent="0.25">
      <c r="A300" s="68" t="s">
        <v>3504</v>
      </c>
      <c r="B300" s="68" t="s">
        <v>2349</v>
      </c>
      <c r="C300" s="68" t="s">
        <v>2808</v>
      </c>
      <c r="D300" s="68" t="s">
        <v>2809</v>
      </c>
      <c r="E300" s="68" t="s">
        <v>3046</v>
      </c>
      <c r="F300" s="68" t="s">
        <v>3047</v>
      </c>
      <c r="G300" s="68" t="s">
        <v>3048</v>
      </c>
      <c r="H300" s="68" t="s">
        <v>3058</v>
      </c>
      <c r="I300" s="68" t="s">
        <v>3050</v>
      </c>
      <c r="J300" s="68" t="s">
        <v>3439</v>
      </c>
      <c r="K300" s="69" t="s">
        <v>3439</v>
      </c>
      <c r="L300" s="69" t="str">
        <f>VLOOKUP(LinkTable6789[[#This Row],[Coluna1]],[4]AlarmCatalog!$A:$M,11,FALSE)</f>
        <v>Severidade 4</v>
      </c>
    </row>
    <row r="301" spans="1:12" s="67" customFormat="1" ht="16.5" customHeight="1" x14ac:dyDescent="0.25">
      <c r="A301" s="68" t="s">
        <v>3505</v>
      </c>
      <c r="B301" s="68" t="s">
        <v>2349</v>
      </c>
      <c r="C301" s="68" t="s">
        <v>2991</v>
      </c>
      <c r="D301" s="68" t="s">
        <v>2809</v>
      </c>
      <c r="E301" s="68" t="s">
        <v>3053</v>
      </c>
      <c r="F301" s="68" t="s">
        <v>3047</v>
      </c>
      <c r="G301" s="68" t="s">
        <v>3048</v>
      </c>
      <c r="H301" s="68" t="s">
        <v>3058</v>
      </c>
      <c r="I301" s="68" t="s">
        <v>3050</v>
      </c>
      <c r="J301" s="68" t="s">
        <v>3439</v>
      </c>
      <c r="K301" s="69" t="s">
        <v>3439</v>
      </c>
      <c r="L301" s="69" t="str">
        <f>VLOOKUP(LinkTable6789[[#This Row],[Coluna1]],[4]AlarmCatalog!$A:$M,11,FALSE)</f>
        <v>Severidade 4</v>
      </c>
    </row>
    <row r="302" spans="1:12" s="67" customFormat="1" ht="16.5" customHeight="1" x14ac:dyDescent="0.25">
      <c r="A302" s="68" t="s">
        <v>3506</v>
      </c>
      <c r="B302" s="68" t="s">
        <v>2349</v>
      </c>
      <c r="C302" s="68" t="s">
        <v>2988</v>
      </c>
      <c r="D302" s="68" t="s">
        <v>2809</v>
      </c>
      <c r="E302" s="68" t="s">
        <v>3053</v>
      </c>
      <c r="F302" s="68" t="s">
        <v>3047</v>
      </c>
      <c r="G302" s="68" t="s">
        <v>3048</v>
      </c>
      <c r="H302" s="68" t="s">
        <v>3058</v>
      </c>
      <c r="I302" s="68" t="s">
        <v>3050</v>
      </c>
      <c r="J302" s="68" t="s">
        <v>3439</v>
      </c>
      <c r="K302" s="69" t="s">
        <v>3439</v>
      </c>
      <c r="L302" s="69" t="str">
        <f>VLOOKUP(LinkTable6789[[#This Row],[Coluna1]],[4]AlarmCatalog!$A:$M,11,FALSE)</f>
        <v>Severidade 4</v>
      </c>
    </row>
    <row r="303" spans="1:12" s="67" customFormat="1" ht="16.5" customHeight="1" x14ac:dyDescent="0.25">
      <c r="A303" s="68" t="s">
        <v>1228</v>
      </c>
      <c r="B303" s="68" t="s">
        <v>2349</v>
      </c>
      <c r="C303" s="68" t="s">
        <v>3406</v>
      </c>
      <c r="D303" s="68" t="s">
        <v>2809</v>
      </c>
      <c r="E303" s="68" t="s">
        <v>3053</v>
      </c>
      <c r="F303" s="68" t="s">
        <v>3047</v>
      </c>
      <c r="G303" s="68" t="s">
        <v>3048</v>
      </c>
      <c r="H303" s="68" t="s">
        <v>3058</v>
      </c>
      <c r="I303" s="68" t="s">
        <v>3050</v>
      </c>
      <c r="J303" s="68" t="s">
        <v>3439</v>
      </c>
      <c r="K303" s="69" t="s">
        <v>3439</v>
      </c>
      <c r="L303" s="69" t="str">
        <f>VLOOKUP(LinkTable6789[[#This Row],[Coluna1]],[4]AlarmCatalog!$A:$M,11,FALSE)</f>
        <v>Severidade 4</v>
      </c>
    </row>
    <row r="304" spans="1:12" s="67" customFormat="1" ht="16.5" customHeight="1" x14ac:dyDescent="0.25">
      <c r="A304" s="68" t="s">
        <v>1232</v>
      </c>
      <c r="B304" s="68" t="s">
        <v>2349</v>
      </c>
      <c r="C304" s="68" t="s">
        <v>3380</v>
      </c>
      <c r="D304" s="68" t="s">
        <v>2809</v>
      </c>
      <c r="E304" s="68" t="s">
        <v>3053</v>
      </c>
      <c r="F304" s="68" t="s">
        <v>3047</v>
      </c>
      <c r="G304" s="68" t="s">
        <v>3048</v>
      </c>
      <c r="H304" s="68" t="s">
        <v>3058</v>
      </c>
      <c r="I304" s="68" t="s">
        <v>3050</v>
      </c>
      <c r="J304" s="68" t="s">
        <v>3439</v>
      </c>
      <c r="K304" s="69" t="s">
        <v>3439</v>
      </c>
      <c r="L304" s="69" t="str">
        <f>VLOOKUP(LinkTable6789[[#This Row],[Coluna1]],[4]AlarmCatalog!$A:$M,11,FALSE)</f>
        <v>Severidade 4</v>
      </c>
    </row>
    <row r="305" spans="1:12" s="67" customFormat="1" ht="16.5" customHeight="1" x14ac:dyDescent="0.25">
      <c r="A305" s="68" t="s">
        <v>3507</v>
      </c>
      <c r="B305" s="68" t="s">
        <v>2349</v>
      </c>
      <c r="C305" s="68" t="s">
        <v>2991</v>
      </c>
      <c r="D305" s="68" t="s">
        <v>2809</v>
      </c>
      <c r="E305" s="68" t="s">
        <v>3053</v>
      </c>
      <c r="F305" s="68" t="s">
        <v>3047</v>
      </c>
      <c r="G305" s="68" t="s">
        <v>3048</v>
      </c>
      <c r="H305" s="68" t="s">
        <v>3058</v>
      </c>
      <c r="I305" s="68" t="s">
        <v>3050</v>
      </c>
      <c r="J305" s="68" t="s">
        <v>3508</v>
      </c>
      <c r="K305" s="69" t="s">
        <v>3508</v>
      </c>
      <c r="L305" s="69" t="str">
        <f>VLOOKUP(LinkTable6789[[#This Row],[Coluna1]],[4]AlarmCatalog!$A:$M,11,FALSE)</f>
        <v>Severidade 4</v>
      </c>
    </row>
    <row r="306" spans="1:12" s="67" customFormat="1" ht="16.5" customHeight="1" x14ac:dyDescent="0.25">
      <c r="A306" s="68" t="s">
        <v>3509</v>
      </c>
      <c r="B306" s="68" t="s">
        <v>2349</v>
      </c>
      <c r="C306" s="68" t="s">
        <v>3230</v>
      </c>
      <c r="D306" s="68" t="s">
        <v>2809</v>
      </c>
      <c r="E306" s="68" t="s">
        <v>3053</v>
      </c>
      <c r="F306" s="68" t="s">
        <v>3047</v>
      </c>
      <c r="G306" s="68" t="s">
        <v>3048</v>
      </c>
      <c r="H306" s="68" t="s">
        <v>3058</v>
      </c>
      <c r="I306" s="68" t="s">
        <v>3050</v>
      </c>
      <c r="J306" s="68" t="s">
        <v>3439</v>
      </c>
      <c r="K306" s="69" t="s">
        <v>3439</v>
      </c>
      <c r="L306" s="69" t="str">
        <f>VLOOKUP(LinkTable6789[[#This Row],[Coluna1]],[4]AlarmCatalog!$A:$M,11,FALSE)</f>
        <v>Severidade 4</v>
      </c>
    </row>
    <row r="307" spans="1:12" s="67" customFormat="1" ht="16.5" customHeight="1" x14ac:dyDescent="0.25">
      <c r="A307" s="68" t="s">
        <v>3510</v>
      </c>
      <c r="B307" s="68" t="s">
        <v>2349</v>
      </c>
      <c r="C307" s="68" t="s">
        <v>2986</v>
      </c>
      <c r="D307" s="68" t="s">
        <v>2809</v>
      </c>
      <c r="E307" s="68" t="s">
        <v>3046</v>
      </c>
      <c r="F307" s="68" t="s">
        <v>3056</v>
      </c>
      <c r="G307" s="68" t="s">
        <v>3057</v>
      </c>
      <c r="H307" s="68" t="s">
        <v>3058</v>
      </c>
      <c r="I307" s="68" t="s">
        <v>3050</v>
      </c>
      <c r="J307" s="68" t="s">
        <v>3125</v>
      </c>
      <c r="K307" s="69" t="s">
        <v>3125</v>
      </c>
      <c r="L307" s="69" t="str">
        <f>VLOOKUP(LinkTable6789[[#This Row],[Coluna1]],[4]AlarmCatalog!$A:$M,11,FALSE)</f>
        <v>Severidade 8</v>
      </c>
    </row>
    <row r="308" spans="1:12" s="67" customFormat="1" ht="16.5" customHeight="1" x14ac:dyDescent="0.25">
      <c r="A308" s="68" t="s">
        <v>3511</v>
      </c>
      <c r="B308" s="68" t="s">
        <v>2349</v>
      </c>
      <c r="C308" s="68" t="s">
        <v>2991</v>
      </c>
      <c r="D308" s="68" t="s">
        <v>2809</v>
      </c>
      <c r="E308" s="68" t="s">
        <v>3046</v>
      </c>
      <c r="F308" s="68" t="s">
        <v>3047</v>
      </c>
      <c r="G308" s="68" t="s">
        <v>3048</v>
      </c>
      <c r="H308" s="68" t="s">
        <v>3058</v>
      </c>
      <c r="I308" s="68" t="s">
        <v>3050</v>
      </c>
      <c r="J308" s="68" t="s">
        <v>3512</v>
      </c>
      <c r="K308" s="69" t="s">
        <v>3512</v>
      </c>
      <c r="L308" s="69" t="str">
        <f>VLOOKUP(LinkTable6789[[#This Row],[Coluna1]],[4]AlarmCatalog!$A:$M,11,FALSE)</f>
        <v>Severidade 4</v>
      </c>
    </row>
    <row r="309" spans="1:12" s="67" customFormat="1" ht="16.5" customHeight="1" x14ac:dyDescent="0.25">
      <c r="A309" s="68" t="s">
        <v>3513</v>
      </c>
      <c r="B309" s="68" t="s">
        <v>2349</v>
      </c>
      <c r="C309" s="68" t="s">
        <v>3253</v>
      </c>
      <c r="D309" s="68" t="s">
        <v>2809</v>
      </c>
      <c r="E309" s="68" t="s">
        <v>3046</v>
      </c>
      <c r="F309" s="68" t="s">
        <v>3047</v>
      </c>
      <c r="G309" s="68" t="s">
        <v>3048</v>
      </c>
      <c r="H309" s="68" t="s">
        <v>3058</v>
      </c>
      <c r="I309" s="68" t="s">
        <v>3050</v>
      </c>
      <c r="J309" s="68" t="s">
        <v>3508</v>
      </c>
      <c r="K309" s="69" t="s">
        <v>3508</v>
      </c>
      <c r="L309" s="69" t="str">
        <f>VLOOKUP(LinkTable6789[[#This Row],[Coluna1]],[4]AlarmCatalog!$A:$M,11,FALSE)</f>
        <v>Severidade 4</v>
      </c>
    </row>
    <row r="310" spans="1:12" s="67" customFormat="1" ht="16.5" customHeight="1" x14ac:dyDescent="0.25">
      <c r="A310" s="68" t="s">
        <v>3514</v>
      </c>
      <c r="B310" s="68" t="s">
        <v>2349</v>
      </c>
      <c r="C310" s="68" t="s">
        <v>3347</v>
      </c>
      <c r="D310" s="68" t="s">
        <v>2809</v>
      </c>
      <c r="E310" s="68" t="s">
        <v>3053</v>
      </c>
      <c r="F310" s="68" t="s">
        <v>3515</v>
      </c>
      <c r="G310" s="68" t="s">
        <v>3048</v>
      </c>
      <c r="H310" s="68" t="s">
        <v>3058</v>
      </c>
      <c r="I310" s="68" t="s">
        <v>3050</v>
      </c>
      <c r="J310" s="68" t="s">
        <v>3516</v>
      </c>
      <c r="K310" s="69" t="s">
        <v>3516</v>
      </c>
      <c r="L310" s="69" t="str">
        <f>VLOOKUP(LinkTable6789[[#This Row],[Coluna1]],[4]AlarmCatalog!$A:$M,11,FALSE)</f>
        <v>Severidade 4</v>
      </c>
    </row>
    <row r="311" spans="1:12" s="67" customFormat="1" ht="16.5" customHeight="1" x14ac:dyDescent="0.25">
      <c r="A311" s="68" t="s">
        <v>3517</v>
      </c>
      <c r="B311" s="68" t="s">
        <v>2349</v>
      </c>
      <c r="C311" s="68" t="s">
        <v>2991</v>
      </c>
      <c r="D311" s="68" t="s">
        <v>2809</v>
      </c>
      <c r="E311" s="68" t="s">
        <v>3046</v>
      </c>
      <c r="F311" s="68" t="s">
        <v>3047</v>
      </c>
      <c r="G311" s="68" t="s">
        <v>3048</v>
      </c>
      <c r="H311" s="68" t="s">
        <v>3058</v>
      </c>
      <c r="I311" s="68" t="s">
        <v>3050</v>
      </c>
      <c r="J311" s="68" t="s">
        <v>3512</v>
      </c>
      <c r="K311" s="69" t="s">
        <v>3512</v>
      </c>
      <c r="L311" s="69" t="str">
        <f>VLOOKUP(LinkTable6789[[#This Row],[Coluna1]],[4]AlarmCatalog!$A:$M,11,FALSE)</f>
        <v>Severidade 4</v>
      </c>
    </row>
    <row r="312" spans="1:12" s="67" customFormat="1" ht="16.5" customHeight="1" x14ac:dyDescent="0.25">
      <c r="A312" s="68" t="s">
        <v>3518</v>
      </c>
      <c r="B312" s="68" t="s">
        <v>2349</v>
      </c>
      <c r="C312" s="68" t="s">
        <v>3519</v>
      </c>
      <c r="D312" s="68" t="s">
        <v>2809</v>
      </c>
      <c r="E312" s="68" t="s">
        <v>3046</v>
      </c>
      <c r="F312" s="68" t="s">
        <v>3047</v>
      </c>
      <c r="G312" s="68" t="s">
        <v>3048</v>
      </c>
      <c r="H312" s="68" t="s">
        <v>3058</v>
      </c>
      <c r="I312" s="68" t="s">
        <v>3050</v>
      </c>
      <c r="J312" s="68" t="s">
        <v>3512</v>
      </c>
      <c r="K312" s="69" t="s">
        <v>3512</v>
      </c>
      <c r="L312" s="69" t="str">
        <f>VLOOKUP(LinkTable6789[[#This Row],[Coluna1]],[4]AlarmCatalog!$A:$M,11,FALSE)</f>
        <v>Severidade 4</v>
      </c>
    </row>
    <row r="313" spans="1:12" s="67" customFormat="1" ht="16.5" customHeight="1" x14ac:dyDescent="0.25">
      <c r="A313" s="68" t="s">
        <v>3520</v>
      </c>
      <c r="B313" s="68" t="s">
        <v>2349</v>
      </c>
      <c r="C313" s="68" t="s">
        <v>2991</v>
      </c>
      <c r="D313" s="68" t="s">
        <v>2809</v>
      </c>
      <c r="E313" s="68" t="s">
        <v>3053</v>
      </c>
      <c r="F313" s="68" t="s">
        <v>3047</v>
      </c>
      <c r="G313" s="68" t="s">
        <v>3048</v>
      </c>
      <c r="H313" s="68" t="s">
        <v>3077</v>
      </c>
      <c r="I313" s="68" t="s">
        <v>3050</v>
      </c>
      <c r="J313" s="68" t="s">
        <v>3512</v>
      </c>
      <c r="K313" s="69" t="s">
        <v>3512</v>
      </c>
      <c r="L313" s="69" t="str">
        <f>VLOOKUP(LinkTable6789[[#This Row],[Coluna1]],[4]AlarmCatalog!$A:$M,11,FALSE)</f>
        <v>Severidade 4</v>
      </c>
    </row>
    <row r="314" spans="1:12" s="67" customFormat="1" ht="16.5" customHeight="1" x14ac:dyDescent="0.25">
      <c r="A314" s="68" t="s">
        <v>3521</v>
      </c>
      <c r="B314" s="68" t="s">
        <v>2349</v>
      </c>
      <c r="C314" s="68" t="s">
        <v>3253</v>
      </c>
      <c r="D314" s="68" t="s">
        <v>2809</v>
      </c>
      <c r="E314" s="68" t="s">
        <v>3053</v>
      </c>
      <c r="F314" s="68" t="s">
        <v>3047</v>
      </c>
      <c r="G314" s="68" t="s">
        <v>3048</v>
      </c>
      <c r="H314" s="68" t="s">
        <v>3058</v>
      </c>
      <c r="I314" s="68" t="s">
        <v>3050</v>
      </c>
      <c r="J314" s="68" t="s">
        <v>3508</v>
      </c>
      <c r="K314" s="69" t="s">
        <v>3508</v>
      </c>
      <c r="L314" s="69" t="str">
        <f>VLOOKUP(LinkTable6789[[#This Row],[Coluna1]],[4]AlarmCatalog!$A:$M,11,FALSE)</f>
        <v>Severidade 4</v>
      </c>
    </row>
    <row r="315" spans="1:12" s="67" customFormat="1" ht="16.5" customHeight="1" x14ac:dyDescent="0.25">
      <c r="A315" s="68" t="s">
        <v>3522</v>
      </c>
      <c r="B315" s="68" t="s">
        <v>2349</v>
      </c>
      <c r="C315" s="68" t="s">
        <v>2991</v>
      </c>
      <c r="D315" s="68" t="s">
        <v>2809</v>
      </c>
      <c r="E315" s="68" t="s">
        <v>3053</v>
      </c>
      <c r="F315" s="68" t="s">
        <v>3047</v>
      </c>
      <c r="G315" s="68" t="s">
        <v>3048</v>
      </c>
      <c r="H315" s="68" t="s">
        <v>3058</v>
      </c>
      <c r="I315" s="68" t="s">
        <v>3050</v>
      </c>
      <c r="J315" s="68" t="s">
        <v>3508</v>
      </c>
      <c r="K315" s="69" t="s">
        <v>3508</v>
      </c>
      <c r="L315" s="69" t="str">
        <f>VLOOKUP(LinkTable6789[[#This Row],[Coluna1]],[4]AlarmCatalog!$A:$M,11,FALSE)</f>
        <v>Severidade 4</v>
      </c>
    </row>
    <row r="316" spans="1:12" s="67" customFormat="1" ht="16.5" customHeight="1" x14ac:dyDescent="0.25">
      <c r="A316" s="68" t="s">
        <v>3523</v>
      </c>
      <c r="B316" s="68" t="s">
        <v>2349</v>
      </c>
      <c r="C316" s="68" t="s">
        <v>2991</v>
      </c>
      <c r="D316" s="68" t="s">
        <v>2809</v>
      </c>
      <c r="E316" s="68" t="s">
        <v>3053</v>
      </c>
      <c r="F316" s="68" t="s">
        <v>3047</v>
      </c>
      <c r="G316" s="68" t="s">
        <v>3048</v>
      </c>
      <c r="H316" s="68" t="s">
        <v>3058</v>
      </c>
      <c r="I316" s="68" t="s">
        <v>3050</v>
      </c>
      <c r="J316" s="68" t="s">
        <v>3512</v>
      </c>
      <c r="K316" s="69" t="s">
        <v>3512</v>
      </c>
      <c r="L316" s="69" t="str">
        <f>VLOOKUP(LinkTable6789[[#This Row],[Coluna1]],[4]AlarmCatalog!$A:$M,11,FALSE)</f>
        <v>Severidade 4</v>
      </c>
    </row>
    <row r="317" spans="1:12" s="67" customFormat="1" ht="16.5" customHeight="1" x14ac:dyDescent="0.25">
      <c r="A317" s="68" t="s">
        <v>3524</v>
      </c>
      <c r="B317" s="68" t="s">
        <v>2349</v>
      </c>
      <c r="C317" s="68" t="s">
        <v>3347</v>
      </c>
      <c r="D317" s="68" t="s">
        <v>2809</v>
      </c>
      <c r="E317" s="68" t="s">
        <v>3053</v>
      </c>
      <c r="F317" s="68" t="s">
        <v>3047</v>
      </c>
      <c r="G317" s="68" t="s">
        <v>3048</v>
      </c>
      <c r="H317" s="68" t="s">
        <v>3058</v>
      </c>
      <c r="I317" s="68" t="s">
        <v>3050</v>
      </c>
      <c r="J317" s="68" t="s">
        <v>3439</v>
      </c>
      <c r="K317" s="69" t="s">
        <v>3439</v>
      </c>
      <c r="L317" s="69" t="str">
        <f>VLOOKUP(LinkTable6789[[#This Row],[Coluna1]],[4]AlarmCatalog!$A:$M,11,FALSE)</f>
        <v>Severidade 4</v>
      </c>
    </row>
    <row r="318" spans="1:12" s="67" customFormat="1" ht="16.5" customHeight="1" x14ac:dyDescent="0.25">
      <c r="A318" s="68" t="s">
        <v>455</v>
      </c>
      <c r="B318" s="68" t="s">
        <v>2349</v>
      </c>
      <c r="C318" s="68" t="s">
        <v>3337</v>
      </c>
      <c r="D318" s="68" t="s">
        <v>2809</v>
      </c>
      <c r="E318" s="68" t="s">
        <v>3053</v>
      </c>
      <c r="F318" s="68" t="s">
        <v>3047</v>
      </c>
      <c r="G318" s="68" t="s">
        <v>3048</v>
      </c>
      <c r="H318" s="68" t="s">
        <v>3058</v>
      </c>
      <c r="I318" s="68" t="s">
        <v>3050</v>
      </c>
      <c r="J318" s="68" t="s">
        <v>3439</v>
      </c>
      <c r="K318" s="69" t="s">
        <v>3439</v>
      </c>
      <c r="L318" s="69" t="str">
        <f>VLOOKUP(LinkTable6789[[#This Row],[Coluna1]],[4]AlarmCatalog!$A:$M,11,FALSE)</f>
        <v>Severidade 4</v>
      </c>
    </row>
    <row r="319" spans="1:12" s="67" customFormat="1" ht="16.5" customHeight="1" x14ac:dyDescent="0.25">
      <c r="A319" s="68" t="s">
        <v>3525</v>
      </c>
      <c r="B319" s="68" t="s">
        <v>2349</v>
      </c>
      <c r="C319" s="68" t="s">
        <v>2985</v>
      </c>
      <c r="D319" s="68" t="s">
        <v>2809</v>
      </c>
      <c r="E319" s="68" t="s">
        <v>3053</v>
      </c>
      <c r="F319" s="68" t="s">
        <v>3209</v>
      </c>
      <c r="G319" s="68" t="s">
        <v>3048</v>
      </c>
      <c r="H319" s="68" t="s">
        <v>3075</v>
      </c>
      <c r="I319" s="68" t="s">
        <v>3050</v>
      </c>
      <c r="J319" s="68" t="s">
        <v>3433</v>
      </c>
      <c r="K319" s="69" t="s">
        <v>3433</v>
      </c>
      <c r="L319" s="69" t="str">
        <f>VLOOKUP(LinkTable6789[[#This Row],[Coluna1]],[4]AlarmCatalog!$A:$M,11,FALSE)</f>
        <v>Severidade 4</v>
      </c>
    </row>
    <row r="320" spans="1:12" s="67" customFormat="1" ht="16.5" customHeight="1" x14ac:dyDescent="0.25">
      <c r="A320" s="68" t="s">
        <v>3526</v>
      </c>
      <c r="B320" s="68" t="s">
        <v>2349</v>
      </c>
      <c r="C320" s="68" t="s">
        <v>2986</v>
      </c>
      <c r="D320" s="68" t="s">
        <v>2809</v>
      </c>
      <c r="E320" s="68" t="s">
        <v>3046</v>
      </c>
      <c r="F320" s="68" t="s">
        <v>3047</v>
      </c>
      <c r="G320" s="68" t="s">
        <v>3057</v>
      </c>
      <c r="H320" s="68" t="s">
        <v>3058</v>
      </c>
      <c r="I320" s="68" t="s">
        <v>3050</v>
      </c>
      <c r="J320" s="68" t="s">
        <v>3160</v>
      </c>
      <c r="K320" s="69" t="s">
        <v>3160</v>
      </c>
      <c r="L320" s="69" t="str">
        <f>VLOOKUP(LinkTable6789[[#This Row],[Coluna1]],[4]AlarmCatalog!$A:$M,11,FALSE)</f>
        <v>Severidade 8</v>
      </c>
    </row>
    <row r="321" spans="1:12" s="67" customFormat="1" ht="16.5" customHeight="1" x14ac:dyDescent="0.25">
      <c r="A321" s="68" t="s">
        <v>3527</v>
      </c>
      <c r="B321" s="68" t="s">
        <v>2349</v>
      </c>
      <c r="C321" s="68" t="s">
        <v>3286</v>
      </c>
      <c r="D321" s="68" t="s">
        <v>2809</v>
      </c>
      <c r="E321" s="68" t="s">
        <v>3053</v>
      </c>
      <c r="F321" s="68" t="s">
        <v>3047</v>
      </c>
      <c r="G321" s="68" t="s">
        <v>3048</v>
      </c>
      <c r="H321" s="68" t="s">
        <v>3058</v>
      </c>
      <c r="I321" s="68" t="s">
        <v>3050</v>
      </c>
      <c r="J321" s="68" t="s">
        <v>3439</v>
      </c>
      <c r="K321" s="69" t="s">
        <v>3439</v>
      </c>
      <c r="L321" s="69" t="str">
        <f>VLOOKUP(LinkTable6789[[#This Row],[Coluna1]],[4]AlarmCatalog!$A:$M,11,FALSE)</f>
        <v>Severidade 4</v>
      </c>
    </row>
    <row r="322" spans="1:12" s="67" customFormat="1" ht="16.5" customHeight="1" x14ac:dyDescent="0.25">
      <c r="A322" s="68" t="s">
        <v>3528</v>
      </c>
      <c r="B322" s="68" t="s">
        <v>2349</v>
      </c>
      <c r="C322" s="68" t="s">
        <v>3347</v>
      </c>
      <c r="D322" s="68" t="s">
        <v>2990</v>
      </c>
      <c r="E322" s="68" t="s">
        <v>3053</v>
      </c>
      <c r="F322" s="68" t="s">
        <v>3515</v>
      </c>
      <c r="G322" s="68" t="s">
        <v>3048</v>
      </c>
      <c r="H322" s="68" t="s">
        <v>3058</v>
      </c>
      <c r="I322" s="68" t="s">
        <v>3050</v>
      </c>
      <c r="J322" s="68" t="s">
        <v>3516</v>
      </c>
      <c r="K322" s="69" t="s">
        <v>3516</v>
      </c>
      <c r="L322" s="69" t="str">
        <f>VLOOKUP(LinkTable6789[[#This Row],[Coluna1]],[4]AlarmCatalog!$A:$M,11,FALSE)</f>
        <v>Severidade 4</v>
      </c>
    </row>
    <row r="323" spans="1:12" s="67" customFormat="1" ht="16.5" customHeight="1" x14ac:dyDescent="0.25">
      <c r="A323" s="68" t="s">
        <v>3529</v>
      </c>
      <c r="B323" s="68" t="s">
        <v>2349</v>
      </c>
      <c r="C323" s="68" t="s">
        <v>2991</v>
      </c>
      <c r="D323" s="68" t="s">
        <v>2809</v>
      </c>
      <c r="E323" s="68" t="s">
        <v>3053</v>
      </c>
      <c r="F323" s="68" t="s">
        <v>3047</v>
      </c>
      <c r="G323" s="68" t="s">
        <v>3048</v>
      </c>
      <c r="H323" s="68" t="s">
        <v>3058</v>
      </c>
      <c r="I323" s="68" t="s">
        <v>3050</v>
      </c>
      <c r="J323" s="68" t="s">
        <v>3512</v>
      </c>
      <c r="K323" s="69" t="s">
        <v>3512</v>
      </c>
      <c r="L323" s="69" t="str">
        <f>VLOOKUP(LinkTable6789[[#This Row],[Coluna1]],[4]AlarmCatalog!$A:$M,11,FALSE)</f>
        <v>Severidade 4</v>
      </c>
    </row>
    <row r="324" spans="1:12" s="67" customFormat="1" ht="16.5" customHeight="1" x14ac:dyDescent="0.25">
      <c r="A324" s="68" t="s">
        <v>3530</v>
      </c>
      <c r="B324" s="68" t="s">
        <v>2349</v>
      </c>
      <c r="C324" s="68" t="s">
        <v>2991</v>
      </c>
      <c r="D324" s="68" t="s">
        <v>2809</v>
      </c>
      <c r="E324" s="68" t="s">
        <v>3053</v>
      </c>
      <c r="F324" s="68" t="s">
        <v>3047</v>
      </c>
      <c r="G324" s="68" t="s">
        <v>3048</v>
      </c>
      <c r="H324" s="68" t="s">
        <v>3058</v>
      </c>
      <c r="I324" s="68" t="s">
        <v>3050</v>
      </c>
      <c r="J324" s="68" t="s">
        <v>3512</v>
      </c>
      <c r="K324" s="69" t="s">
        <v>3512</v>
      </c>
      <c r="L324" s="69" t="str">
        <f>VLOOKUP(LinkTable6789[[#This Row],[Coluna1]],[4]AlarmCatalog!$A:$M,11,FALSE)</f>
        <v>Severidade 4</v>
      </c>
    </row>
    <row r="325" spans="1:12" s="67" customFormat="1" ht="16.5" customHeight="1" x14ac:dyDescent="0.25">
      <c r="A325" s="68" t="s">
        <v>3531</v>
      </c>
      <c r="B325" s="68" t="s">
        <v>2349</v>
      </c>
      <c r="C325" s="68" t="s">
        <v>2991</v>
      </c>
      <c r="D325" s="68" t="s">
        <v>2809</v>
      </c>
      <c r="E325" s="68" t="s">
        <v>3053</v>
      </c>
      <c r="F325" s="68" t="s">
        <v>3047</v>
      </c>
      <c r="G325" s="68" t="s">
        <v>3048</v>
      </c>
      <c r="H325" s="68" t="s">
        <v>3058</v>
      </c>
      <c r="I325" s="68" t="s">
        <v>3050</v>
      </c>
      <c r="J325" s="68" t="s">
        <v>3508</v>
      </c>
      <c r="K325" s="69" t="s">
        <v>3508</v>
      </c>
      <c r="L325" s="69" t="str">
        <f>VLOOKUP(LinkTable6789[[#This Row],[Coluna1]],[4]AlarmCatalog!$A:$M,11,FALSE)</f>
        <v>Severidade 4</v>
      </c>
    </row>
    <row r="326" spans="1:12" s="67" customFormat="1" ht="16.5" customHeight="1" x14ac:dyDescent="0.25">
      <c r="A326" s="68" t="s">
        <v>3532</v>
      </c>
      <c r="B326" s="68" t="s">
        <v>2349</v>
      </c>
      <c r="C326" s="68" t="s">
        <v>2991</v>
      </c>
      <c r="D326" s="68" t="s">
        <v>2809</v>
      </c>
      <c r="E326" s="68" t="s">
        <v>3046</v>
      </c>
      <c r="F326" s="68" t="s">
        <v>3047</v>
      </c>
      <c r="G326" s="68" t="s">
        <v>3048</v>
      </c>
      <c r="H326" s="68" t="s">
        <v>3058</v>
      </c>
      <c r="I326" s="68" t="s">
        <v>3050</v>
      </c>
      <c r="J326" s="68" t="s">
        <v>3439</v>
      </c>
      <c r="K326" s="69" t="s">
        <v>3439</v>
      </c>
      <c r="L326" s="69" t="str">
        <f>VLOOKUP(LinkTable6789[[#This Row],[Coluna1]],[4]AlarmCatalog!$A:$M,11,FALSE)</f>
        <v>Severidade 4</v>
      </c>
    </row>
    <row r="327" spans="1:12" s="67" customFormat="1" ht="16.5" customHeight="1" x14ac:dyDescent="0.25">
      <c r="A327" s="68" t="s">
        <v>3533</v>
      </c>
      <c r="B327" s="68" t="s">
        <v>2349</v>
      </c>
      <c r="C327" s="68" t="s">
        <v>3496</v>
      </c>
      <c r="D327" s="68" t="s">
        <v>2809</v>
      </c>
      <c r="E327" s="68" t="s">
        <v>3053</v>
      </c>
      <c r="F327" s="68" t="s">
        <v>3056</v>
      </c>
      <c r="G327" s="68" t="s">
        <v>3057</v>
      </c>
      <c r="H327" s="68" t="s">
        <v>3159</v>
      </c>
      <c r="I327" s="68" t="s">
        <v>3050</v>
      </c>
      <c r="J327" s="68" t="s">
        <v>3059</v>
      </c>
      <c r="K327" s="69" t="s">
        <v>3059</v>
      </c>
      <c r="L327" s="69" t="str">
        <f>VLOOKUP(LinkTable6789[[#This Row],[Coluna1]],[4]AlarmCatalog!$A:$M,11,FALSE)</f>
        <v>Severidade 2</v>
      </c>
    </row>
    <row r="328" spans="1:12" s="67" customFormat="1" ht="16.5" customHeight="1" x14ac:dyDescent="0.25">
      <c r="A328" s="68" t="s">
        <v>3534</v>
      </c>
      <c r="B328" s="68" t="s">
        <v>2349</v>
      </c>
      <c r="C328" s="68" t="s">
        <v>3535</v>
      </c>
      <c r="D328" s="68" t="s">
        <v>2809</v>
      </c>
      <c r="E328" s="68" t="s">
        <v>2809</v>
      </c>
      <c r="F328" s="68" t="s">
        <v>3056</v>
      </c>
      <c r="G328" s="68" t="s">
        <v>3057</v>
      </c>
      <c r="H328" s="68" t="s">
        <v>3536</v>
      </c>
      <c r="I328" s="68" t="s">
        <v>3050</v>
      </c>
      <c r="J328" s="68" t="s">
        <v>3125</v>
      </c>
      <c r="K328" s="69" t="s">
        <v>3125</v>
      </c>
      <c r="L328" s="69" t="str">
        <f>VLOOKUP(LinkTable6789[[#This Row],[Coluna1]],[4]AlarmCatalog!$A:$M,11,FALSE)</f>
        <v>Severidade 8</v>
      </c>
    </row>
    <row r="329" spans="1:12" s="67" customFormat="1" ht="16.5" customHeight="1" x14ac:dyDescent="0.25">
      <c r="A329" s="68" t="s">
        <v>1226</v>
      </c>
      <c r="B329" s="68" t="s">
        <v>2349</v>
      </c>
      <c r="C329" s="68" t="s">
        <v>3230</v>
      </c>
      <c r="D329" s="68" t="s">
        <v>2990</v>
      </c>
      <c r="E329" s="68" t="s">
        <v>3053</v>
      </c>
      <c r="F329" s="68" t="s">
        <v>3047</v>
      </c>
      <c r="G329" s="68" t="s">
        <v>3048</v>
      </c>
      <c r="H329" s="68" t="s">
        <v>3058</v>
      </c>
      <c r="I329" s="68" t="s">
        <v>3050</v>
      </c>
      <c r="J329" s="68" t="s">
        <v>3439</v>
      </c>
      <c r="K329" s="69" t="s">
        <v>3439</v>
      </c>
      <c r="L329" s="69" t="str">
        <f>VLOOKUP(LinkTable6789[[#This Row],[Coluna1]],[4]AlarmCatalog!$A:$M,11,FALSE)</f>
        <v>Severidade 4</v>
      </c>
    </row>
    <row r="330" spans="1:12" s="67" customFormat="1" ht="16.5" customHeight="1" x14ac:dyDescent="0.25">
      <c r="A330" s="68" t="s">
        <v>3537</v>
      </c>
      <c r="B330" s="68" t="s">
        <v>2349</v>
      </c>
      <c r="C330" s="68" t="s">
        <v>3538</v>
      </c>
      <c r="D330" s="68" t="s">
        <v>2809</v>
      </c>
      <c r="E330" s="68" t="s">
        <v>3053</v>
      </c>
      <c r="F330" s="68" t="s">
        <v>3047</v>
      </c>
      <c r="G330" s="68" t="s">
        <v>3048</v>
      </c>
      <c r="H330" s="68" t="s">
        <v>3058</v>
      </c>
      <c r="I330" s="68" t="s">
        <v>3050</v>
      </c>
      <c r="J330" s="68" t="s">
        <v>3439</v>
      </c>
      <c r="K330" s="69" t="s">
        <v>3439</v>
      </c>
      <c r="L330" s="69" t="str">
        <f>VLOOKUP(LinkTable6789[[#This Row],[Coluna1]],[4]AlarmCatalog!$A:$M,11,FALSE)</f>
        <v>Severidade 4</v>
      </c>
    </row>
    <row r="331" spans="1:12" s="67" customFormat="1" ht="16.5" customHeight="1" x14ac:dyDescent="0.25">
      <c r="A331" s="68" t="s">
        <v>3539</v>
      </c>
      <c r="B331" s="68" t="s">
        <v>2349</v>
      </c>
      <c r="C331" s="68" t="s">
        <v>3230</v>
      </c>
      <c r="D331" s="68" t="s">
        <v>2990</v>
      </c>
      <c r="E331" s="68" t="s">
        <v>3046</v>
      </c>
      <c r="F331" s="68" t="s">
        <v>3047</v>
      </c>
      <c r="G331" s="68" t="s">
        <v>3048</v>
      </c>
      <c r="H331" s="68" t="s">
        <v>3058</v>
      </c>
      <c r="I331" s="68" t="s">
        <v>3050</v>
      </c>
      <c r="J331" s="68" t="s">
        <v>3439</v>
      </c>
      <c r="K331" s="69" t="s">
        <v>3439</v>
      </c>
      <c r="L331" s="69" t="str">
        <f>VLOOKUP(LinkTable6789[[#This Row],[Coluna1]],[4]AlarmCatalog!$A:$M,11,FALSE)</f>
        <v>Severidade 4</v>
      </c>
    </row>
    <row r="332" spans="1:12" s="67" customFormat="1" ht="16.5" customHeight="1" x14ac:dyDescent="0.25">
      <c r="A332" s="68" t="s">
        <v>3540</v>
      </c>
      <c r="B332" s="68" t="s">
        <v>2349</v>
      </c>
      <c r="C332" s="68" t="s">
        <v>3490</v>
      </c>
      <c r="D332" s="68" t="s">
        <v>2809</v>
      </c>
      <c r="E332" s="68" t="s">
        <v>3053</v>
      </c>
      <c r="F332" s="68" t="s">
        <v>3047</v>
      </c>
      <c r="G332" s="68" t="s">
        <v>3048</v>
      </c>
      <c r="H332" s="68" t="s">
        <v>3075</v>
      </c>
      <c r="I332" s="68" t="s">
        <v>3050</v>
      </c>
      <c r="J332" s="68" t="s">
        <v>3297</v>
      </c>
      <c r="K332" s="69" t="s">
        <v>3297</v>
      </c>
      <c r="L332" s="69" t="str">
        <f>VLOOKUP(LinkTable6789[[#This Row],[Coluna1]],[4]AlarmCatalog!$A:$M,11,FALSE)</f>
        <v>Severidade 4</v>
      </c>
    </row>
    <row r="333" spans="1:12" s="67" customFormat="1" ht="16.5" customHeight="1" x14ac:dyDescent="0.25">
      <c r="A333" s="68" t="s">
        <v>3541</v>
      </c>
      <c r="B333" s="68" t="s">
        <v>2349</v>
      </c>
      <c r="C333" s="68" t="s">
        <v>3398</v>
      </c>
      <c r="D333" s="68" t="s">
        <v>2809</v>
      </c>
      <c r="E333" s="68" t="s">
        <v>3053</v>
      </c>
      <c r="F333" s="68" t="s">
        <v>3047</v>
      </c>
      <c r="G333" s="68" t="s">
        <v>3048</v>
      </c>
      <c r="H333" s="68" t="s">
        <v>3058</v>
      </c>
      <c r="I333" s="68" t="s">
        <v>3050</v>
      </c>
      <c r="J333" s="68" t="s">
        <v>3439</v>
      </c>
      <c r="K333" s="69" t="s">
        <v>3439</v>
      </c>
      <c r="L333" s="69" t="str">
        <f>VLOOKUP(LinkTable6789[[#This Row],[Coluna1]],[4]AlarmCatalog!$A:$M,11,FALSE)</f>
        <v>Severidade 4</v>
      </c>
    </row>
    <row r="334" spans="1:12" s="67" customFormat="1" ht="16.5" customHeight="1" x14ac:dyDescent="0.25">
      <c r="A334" s="68" t="s">
        <v>3542</v>
      </c>
      <c r="B334" s="68" t="s">
        <v>2349</v>
      </c>
      <c r="C334" s="68" t="s">
        <v>2991</v>
      </c>
      <c r="D334" s="68" t="s">
        <v>2809</v>
      </c>
      <c r="E334" s="68" t="s">
        <v>3046</v>
      </c>
      <c r="F334" s="68" t="s">
        <v>3047</v>
      </c>
      <c r="G334" s="68" t="s">
        <v>3048</v>
      </c>
      <c r="H334" s="68" t="s">
        <v>3058</v>
      </c>
      <c r="I334" s="68" t="s">
        <v>3050</v>
      </c>
      <c r="J334" s="68" t="s">
        <v>3439</v>
      </c>
      <c r="K334" s="69" t="s">
        <v>3439</v>
      </c>
      <c r="L334" s="69" t="str">
        <f>VLOOKUP(LinkTable6789[[#This Row],[Coluna1]],[4]AlarmCatalog!$A:$M,11,FALSE)</f>
        <v>Severidade 4</v>
      </c>
    </row>
    <row r="335" spans="1:12" s="67" customFormat="1" ht="16.5" customHeight="1" x14ac:dyDescent="0.25">
      <c r="A335" s="68" t="s">
        <v>3543</v>
      </c>
      <c r="B335" s="68" t="s">
        <v>2349</v>
      </c>
      <c r="C335" s="68" t="s">
        <v>3544</v>
      </c>
      <c r="D335" s="68" t="s">
        <v>2809</v>
      </c>
      <c r="E335" s="68" t="s">
        <v>3053</v>
      </c>
      <c r="F335" s="68" t="s">
        <v>3047</v>
      </c>
      <c r="G335" s="68" t="s">
        <v>3048</v>
      </c>
      <c r="H335" s="68" t="s">
        <v>3058</v>
      </c>
      <c r="I335" s="68" t="s">
        <v>3050</v>
      </c>
      <c r="J335" s="68" t="s">
        <v>3439</v>
      </c>
      <c r="K335" s="69" t="s">
        <v>3439</v>
      </c>
      <c r="L335" s="69" t="str">
        <f>VLOOKUP(LinkTable6789[[#This Row],[Coluna1]],[4]AlarmCatalog!$A:$M,11,FALSE)</f>
        <v>Severidade 4</v>
      </c>
    </row>
    <row r="336" spans="1:12" s="67" customFormat="1" ht="16.5" customHeight="1" x14ac:dyDescent="0.25">
      <c r="A336" s="68" t="s">
        <v>3545</v>
      </c>
      <c r="B336" s="68" t="s">
        <v>2349</v>
      </c>
      <c r="C336" s="68" t="s">
        <v>3546</v>
      </c>
      <c r="D336" s="68" t="s">
        <v>2809</v>
      </c>
      <c r="E336" s="68" t="s">
        <v>3053</v>
      </c>
      <c r="F336" s="68" t="s">
        <v>3047</v>
      </c>
      <c r="G336" s="68" t="s">
        <v>3048</v>
      </c>
      <c r="H336" s="68" t="s">
        <v>3058</v>
      </c>
      <c r="I336" s="68" t="s">
        <v>3050</v>
      </c>
      <c r="J336" s="68" t="s">
        <v>3433</v>
      </c>
      <c r="K336" s="69" t="s">
        <v>3433</v>
      </c>
      <c r="L336" s="69" t="str">
        <f>VLOOKUP(LinkTable6789[[#This Row],[Coluna1]],[4]AlarmCatalog!$A:$M,11,FALSE)</f>
        <v>Severidade 4</v>
      </c>
    </row>
    <row r="337" spans="1:12" s="67" customFormat="1" ht="16.5" customHeight="1" x14ac:dyDescent="0.25">
      <c r="A337" s="68" t="s">
        <v>3547</v>
      </c>
      <c r="B337" s="68" t="s">
        <v>2349</v>
      </c>
      <c r="C337" s="68" t="s">
        <v>2991</v>
      </c>
      <c r="D337" s="68" t="s">
        <v>2809</v>
      </c>
      <c r="E337" s="68" t="s">
        <v>3053</v>
      </c>
      <c r="F337" s="68" t="s">
        <v>3047</v>
      </c>
      <c r="G337" s="68" t="s">
        <v>3048</v>
      </c>
      <c r="H337" s="68" t="s">
        <v>3058</v>
      </c>
      <c r="I337" s="68" t="s">
        <v>3050</v>
      </c>
      <c r="J337" s="68" t="s">
        <v>3433</v>
      </c>
      <c r="K337" s="69" t="s">
        <v>3433</v>
      </c>
      <c r="L337" s="69" t="str">
        <f>VLOOKUP(LinkTable6789[[#This Row],[Coluna1]],[4]AlarmCatalog!$A:$M,11,FALSE)</f>
        <v>Severidade 4</v>
      </c>
    </row>
    <row r="338" spans="1:12" s="67" customFormat="1" ht="16.5" customHeight="1" x14ac:dyDescent="0.25">
      <c r="A338" s="68" t="s">
        <v>3548</v>
      </c>
      <c r="B338" s="68" t="s">
        <v>2349</v>
      </c>
      <c r="C338" s="68" t="s">
        <v>3549</v>
      </c>
      <c r="D338" s="68" t="s">
        <v>2809</v>
      </c>
      <c r="E338" s="68" t="s">
        <v>3053</v>
      </c>
      <c r="F338" s="68" t="s">
        <v>3047</v>
      </c>
      <c r="G338" s="68" t="s">
        <v>3048</v>
      </c>
      <c r="H338" s="68" t="s">
        <v>3058</v>
      </c>
      <c r="I338" s="68" t="s">
        <v>3050</v>
      </c>
      <c r="J338" s="68"/>
      <c r="K338" s="69" t="s">
        <v>3439</v>
      </c>
      <c r="L338" s="69" t="str">
        <f>VLOOKUP(LinkTable6789[[#This Row],[Coluna1]],[4]AlarmCatalog!$A:$M,11,FALSE)</f>
        <v>Severidade 4</v>
      </c>
    </row>
    <row r="339" spans="1:12" s="67" customFormat="1" ht="16.5" customHeight="1" x14ac:dyDescent="0.25">
      <c r="A339" s="68" t="s">
        <v>3550</v>
      </c>
      <c r="B339" s="68" t="s">
        <v>2349</v>
      </c>
      <c r="C339" s="68" t="s">
        <v>2989</v>
      </c>
      <c r="D339" s="68" t="s">
        <v>2809</v>
      </c>
      <c r="E339" s="68" t="s">
        <v>3053</v>
      </c>
      <c r="F339" s="68" t="s">
        <v>3047</v>
      </c>
      <c r="G339" s="68" t="s">
        <v>3048</v>
      </c>
      <c r="H339" s="68" t="s">
        <v>3058</v>
      </c>
      <c r="I339" s="68" t="s">
        <v>3050</v>
      </c>
      <c r="J339" s="68" t="s">
        <v>3439</v>
      </c>
      <c r="K339" s="69" t="s">
        <v>3439</v>
      </c>
      <c r="L339" s="69" t="str">
        <f>VLOOKUP(LinkTable6789[[#This Row],[Coluna1]],[4]AlarmCatalog!$A:$M,11,FALSE)</f>
        <v>Severidade 4</v>
      </c>
    </row>
    <row r="340" spans="1:12" s="67" customFormat="1" ht="16.5" customHeight="1" x14ac:dyDescent="0.25">
      <c r="A340" s="68" t="s">
        <v>3551</v>
      </c>
      <c r="B340" s="68" t="s">
        <v>2349</v>
      </c>
      <c r="C340" s="68" t="s">
        <v>3552</v>
      </c>
      <c r="D340" s="68" t="s">
        <v>2809</v>
      </c>
      <c r="E340" s="68" t="s">
        <v>3046</v>
      </c>
      <c r="F340" s="68" t="s">
        <v>3047</v>
      </c>
      <c r="G340" s="68" t="s">
        <v>3048</v>
      </c>
      <c r="H340" s="68" t="s">
        <v>3058</v>
      </c>
      <c r="I340" s="68" t="s">
        <v>3050</v>
      </c>
      <c r="J340" s="68" t="s">
        <v>3439</v>
      </c>
      <c r="K340" s="69" t="s">
        <v>3439</v>
      </c>
      <c r="L340" s="69" t="str">
        <f>VLOOKUP(LinkTable6789[[#This Row],[Coluna1]],[4]AlarmCatalog!$A:$M,11,FALSE)</f>
        <v>Severidade 4</v>
      </c>
    </row>
    <row r="341" spans="1:12" s="67" customFormat="1" ht="16.5" customHeight="1" x14ac:dyDescent="0.25">
      <c r="A341" s="68" t="s">
        <v>3553</v>
      </c>
      <c r="B341" s="68" t="s">
        <v>2349</v>
      </c>
      <c r="C341" s="68" t="s">
        <v>3554</v>
      </c>
      <c r="D341" s="68" t="s">
        <v>2809</v>
      </c>
      <c r="E341" s="68" t="s">
        <v>3053</v>
      </c>
      <c r="F341" s="68" t="s">
        <v>3047</v>
      </c>
      <c r="G341" s="68" t="s">
        <v>3048</v>
      </c>
      <c r="H341" s="68" t="s">
        <v>3058</v>
      </c>
      <c r="I341" s="68" t="s">
        <v>3050</v>
      </c>
      <c r="J341" s="68" t="s">
        <v>3439</v>
      </c>
      <c r="K341" s="69" t="s">
        <v>3439</v>
      </c>
      <c r="L341" s="69" t="str">
        <f>VLOOKUP(LinkTable6789[[#This Row],[Coluna1]],[4]AlarmCatalog!$A:$M,11,FALSE)</f>
        <v>Severidade 4</v>
      </c>
    </row>
    <row r="342" spans="1:12" s="67" customFormat="1" ht="16.5" customHeight="1" x14ac:dyDescent="0.25">
      <c r="A342" s="68" t="s">
        <v>3555</v>
      </c>
      <c r="B342" s="68" t="s">
        <v>2349</v>
      </c>
      <c r="C342" s="68" t="s">
        <v>2991</v>
      </c>
      <c r="D342" s="68" t="s">
        <v>2809</v>
      </c>
      <c r="E342" s="68" t="s">
        <v>3046</v>
      </c>
      <c r="F342" s="68" t="s">
        <v>3047</v>
      </c>
      <c r="G342" s="68" t="s">
        <v>3048</v>
      </c>
      <c r="H342" s="68" t="s">
        <v>3058</v>
      </c>
      <c r="I342" s="68" t="s">
        <v>3050</v>
      </c>
      <c r="J342" s="68" t="s">
        <v>3439</v>
      </c>
      <c r="K342" s="69" t="s">
        <v>3439</v>
      </c>
      <c r="L342" s="69" t="str">
        <f>VLOOKUP(LinkTable6789[[#This Row],[Coluna1]],[4]AlarmCatalog!$A:$M,11,FALSE)</f>
        <v>Severidade 4</v>
      </c>
    </row>
    <row r="343" spans="1:12" s="67" customFormat="1" ht="16.5" customHeight="1" x14ac:dyDescent="0.25">
      <c r="A343" s="68" t="s">
        <v>3556</v>
      </c>
      <c r="B343" s="68" t="s">
        <v>2349</v>
      </c>
      <c r="C343" s="68" t="s">
        <v>3103</v>
      </c>
      <c r="D343" s="68" t="s">
        <v>2809</v>
      </c>
      <c r="E343" s="68" t="s">
        <v>3053</v>
      </c>
      <c r="F343" s="68" t="s">
        <v>3145</v>
      </c>
      <c r="G343" s="68" t="s">
        <v>3048</v>
      </c>
      <c r="H343" s="68" t="s">
        <v>3075</v>
      </c>
      <c r="I343" s="68" t="s">
        <v>3050</v>
      </c>
      <c r="J343" s="68" t="s">
        <v>3433</v>
      </c>
      <c r="K343" s="69" t="s">
        <v>3433</v>
      </c>
      <c r="L343" s="69" t="str">
        <f>VLOOKUP(LinkTable6789[[#This Row],[Coluna1]],[4]AlarmCatalog!$A:$M,11,FALSE)</f>
        <v>Severidade 4</v>
      </c>
    </row>
    <row r="344" spans="1:12" s="67" customFormat="1" ht="16.5" customHeight="1" x14ac:dyDescent="0.25">
      <c r="A344" s="68" t="s">
        <v>3557</v>
      </c>
      <c r="B344" s="68" t="s">
        <v>2349</v>
      </c>
      <c r="C344" s="68" t="s">
        <v>3558</v>
      </c>
      <c r="D344" s="68" t="s">
        <v>2809</v>
      </c>
      <c r="E344" s="68" t="s">
        <v>3053</v>
      </c>
      <c r="F344" s="68" t="s">
        <v>3047</v>
      </c>
      <c r="G344" s="68" t="s">
        <v>3048</v>
      </c>
      <c r="H344" s="68" t="s">
        <v>3058</v>
      </c>
      <c r="I344" s="68" t="s">
        <v>3050</v>
      </c>
      <c r="J344" s="68" t="s">
        <v>3439</v>
      </c>
      <c r="K344" s="69" t="s">
        <v>3439</v>
      </c>
      <c r="L344" s="69" t="str">
        <f>VLOOKUP(LinkTable6789[[#This Row],[Coluna1]],[4]AlarmCatalog!$A:$M,11,FALSE)</f>
        <v>Severidade 4</v>
      </c>
    </row>
    <row r="345" spans="1:12" s="67" customFormat="1" ht="16.5" customHeight="1" x14ac:dyDescent="0.25">
      <c r="A345" s="68" t="s">
        <v>3559</v>
      </c>
      <c r="B345" s="68" t="s">
        <v>2349</v>
      </c>
      <c r="C345" s="68" t="s">
        <v>2982</v>
      </c>
      <c r="D345" s="68" t="s">
        <v>2809</v>
      </c>
      <c r="E345" s="68" t="s">
        <v>3053</v>
      </c>
      <c r="F345" s="68" t="s">
        <v>3047</v>
      </c>
      <c r="G345" s="68" t="s">
        <v>3048</v>
      </c>
      <c r="H345" s="68" t="s">
        <v>3075</v>
      </c>
      <c r="I345" s="68" t="s">
        <v>3050</v>
      </c>
      <c r="J345" s="68" t="s">
        <v>3297</v>
      </c>
      <c r="K345" s="69" t="s">
        <v>3297</v>
      </c>
      <c r="L345" s="69" t="str">
        <f>VLOOKUP(LinkTable6789[[#This Row],[Coluna1]],[4]AlarmCatalog!$A:$M,11,FALSE)</f>
        <v>Severidade 4</v>
      </c>
    </row>
    <row r="346" spans="1:12" s="67" customFormat="1" ht="16.5" customHeight="1" x14ac:dyDescent="0.25">
      <c r="A346" s="68" t="s">
        <v>3560</v>
      </c>
      <c r="B346" s="68" t="s">
        <v>2349</v>
      </c>
      <c r="C346" s="68" t="s">
        <v>3306</v>
      </c>
      <c r="D346" s="68" t="s">
        <v>2809</v>
      </c>
      <c r="E346" s="68" t="s">
        <v>3053</v>
      </c>
      <c r="F346" s="68" t="s">
        <v>3047</v>
      </c>
      <c r="G346" s="68" t="s">
        <v>3048</v>
      </c>
      <c r="H346" s="68" t="s">
        <v>3058</v>
      </c>
      <c r="I346" s="68" t="s">
        <v>3050</v>
      </c>
      <c r="J346" s="68" t="s">
        <v>3439</v>
      </c>
      <c r="K346" s="69" t="s">
        <v>3439</v>
      </c>
      <c r="L346" s="69" t="str">
        <f>VLOOKUP(LinkTable6789[[#This Row],[Coluna1]],[4]AlarmCatalog!$A:$M,11,FALSE)</f>
        <v>Severidade 4</v>
      </c>
    </row>
    <row r="347" spans="1:12" s="67" customFormat="1" ht="16.5" customHeight="1" x14ac:dyDescent="0.25">
      <c r="A347" s="68" t="s">
        <v>3561</v>
      </c>
      <c r="B347" s="68" t="s">
        <v>2349</v>
      </c>
      <c r="C347" s="68" t="s">
        <v>2991</v>
      </c>
      <c r="D347" s="68" t="s">
        <v>2809</v>
      </c>
      <c r="E347" s="68" t="s">
        <v>3053</v>
      </c>
      <c r="F347" s="68" t="s">
        <v>3047</v>
      </c>
      <c r="G347" s="68" t="s">
        <v>3048</v>
      </c>
      <c r="H347" s="68" t="s">
        <v>3159</v>
      </c>
      <c r="I347" s="68" t="s">
        <v>3050</v>
      </c>
      <c r="J347" s="68" t="s">
        <v>3439</v>
      </c>
      <c r="K347" s="69" t="s">
        <v>3439</v>
      </c>
      <c r="L347" s="69" t="str">
        <f>VLOOKUP(LinkTable6789[[#This Row],[Coluna1]],[4]AlarmCatalog!$A:$M,11,FALSE)</f>
        <v>Severidade 4</v>
      </c>
    </row>
    <row r="348" spans="1:12" s="67" customFormat="1" ht="16.5" customHeight="1" x14ac:dyDescent="0.25">
      <c r="A348" s="68" t="s">
        <v>1227</v>
      </c>
      <c r="B348" s="68" t="s">
        <v>2349</v>
      </c>
      <c r="C348" s="68" t="s">
        <v>3468</v>
      </c>
      <c r="D348" s="68" t="s">
        <v>2809</v>
      </c>
      <c r="E348" s="68" t="s">
        <v>3053</v>
      </c>
      <c r="F348" s="68" t="s">
        <v>3047</v>
      </c>
      <c r="G348" s="68" t="s">
        <v>3048</v>
      </c>
      <c r="H348" s="68" t="s">
        <v>3058</v>
      </c>
      <c r="I348" s="68" t="s">
        <v>3050</v>
      </c>
      <c r="J348" s="68" t="s">
        <v>3439</v>
      </c>
      <c r="K348" s="69" t="s">
        <v>3439</v>
      </c>
      <c r="L348" s="69" t="str">
        <f>VLOOKUP(LinkTable6789[[#This Row],[Coluna1]],[4]AlarmCatalog!$A:$M,11,FALSE)</f>
        <v>Severidade 4</v>
      </c>
    </row>
    <row r="349" spans="1:12" s="67" customFormat="1" ht="16.5" customHeight="1" x14ac:dyDescent="0.25">
      <c r="A349" s="68" t="s">
        <v>3562</v>
      </c>
      <c r="B349" s="68" t="s">
        <v>2349</v>
      </c>
      <c r="C349" s="68" t="s">
        <v>2986</v>
      </c>
      <c r="D349" s="68" t="s">
        <v>2809</v>
      </c>
      <c r="E349" s="68" t="s">
        <v>3053</v>
      </c>
      <c r="F349" s="68" t="s">
        <v>3056</v>
      </c>
      <c r="G349" s="68" t="s">
        <v>3057</v>
      </c>
      <c r="H349" s="68" t="s">
        <v>3058</v>
      </c>
      <c r="I349" s="68" t="s">
        <v>3050</v>
      </c>
      <c r="J349" s="68" t="s">
        <v>3059</v>
      </c>
      <c r="K349" s="69" t="s">
        <v>3059</v>
      </c>
      <c r="L349" s="69" t="str">
        <f>VLOOKUP(LinkTable6789[[#This Row],[Coluna1]],[4]AlarmCatalog!$A:$M,11,FALSE)</f>
        <v>Severidade 2</v>
      </c>
    </row>
    <row r="350" spans="1:12" s="67" customFormat="1" ht="16.5" customHeight="1" x14ac:dyDescent="0.25">
      <c r="A350" s="68" t="s">
        <v>3563</v>
      </c>
      <c r="B350" s="68" t="s">
        <v>2349</v>
      </c>
      <c r="C350" s="68" t="s">
        <v>3292</v>
      </c>
      <c r="D350" s="68" t="s">
        <v>2809</v>
      </c>
      <c r="E350" s="68" t="s">
        <v>3053</v>
      </c>
      <c r="F350" s="68" t="s">
        <v>3047</v>
      </c>
      <c r="G350" s="68" t="s">
        <v>3048</v>
      </c>
      <c r="H350" s="68" t="s">
        <v>3058</v>
      </c>
      <c r="I350" s="68" t="s">
        <v>3050</v>
      </c>
      <c r="J350" s="68" t="s">
        <v>3439</v>
      </c>
      <c r="K350" s="69" t="s">
        <v>3439</v>
      </c>
      <c r="L350" s="69" t="str">
        <f>VLOOKUP(LinkTable6789[[#This Row],[Coluna1]],[4]AlarmCatalog!$A:$M,11,FALSE)</f>
        <v>Severidade 4</v>
      </c>
    </row>
    <row r="351" spans="1:12" s="67" customFormat="1" ht="16.5" customHeight="1" x14ac:dyDescent="0.25">
      <c r="A351" s="68" t="s">
        <v>3564</v>
      </c>
      <c r="B351" s="68" t="s">
        <v>2349</v>
      </c>
      <c r="C351" s="68" t="s">
        <v>3337</v>
      </c>
      <c r="D351" s="68" t="s">
        <v>2809</v>
      </c>
      <c r="E351" s="68" t="s">
        <v>3046</v>
      </c>
      <c r="F351" s="68" t="s">
        <v>3047</v>
      </c>
      <c r="G351" s="68" t="s">
        <v>3048</v>
      </c>
      <c r="H351" s="68" t="s">
        <v>3058</v>
      </c>
      <c r="I351" s="68" t="s">
        <v>3050</v>
      </c>
      <c r="J351" s="68" t="s">
        <v>3439</v>
      </c>
      <c r="K351" s="69" t="s">
        <v>3439</v>
      </c>
      <c r="L351" s="69" t="str">
        <f>VLOOKUP(LinkTable6789[[#This Row],[Coluna1]],[4]AlarmCatalog!$A:$M,11,FALSE)</f>
        <v>Severidade 4</v>
      </c>
    </row>
    <row r="352" spans="1:12" s="67" customFormat="1" ht="16.5" customHeight="1" x14ac:dyDescent="0.25">
      <c r="A352" s="68" t="s">
        <v>1208</v>
      </c>
      <c r="B352" s="68" t="s">
        <v>2349</v>
      </c>
      <c r="C352" s="68" t="s">
        <v>2993</v>
      </c>
      <c r="D352" s="68" t="s">
        <v>2990</v>
      </c>
      <c r="E352" s="68" t="s">
        <v>3046</v>
      </c>
      <c r="F352" s="68" t="s">
        <v>3565</v>
      </c>
      <c r="G352" s="68" t="s">
        <v>3048</v>
      </c>
      <c r="H352" s="68" t="s">
        <v>3058</v>
      </c>
      <c r="I352" s="68" t="s">
        <v>3050</v>
      </c>
      <c r="J352" s="68" t="s">
        <v>3433</v>
      </c>
      <c r="K352" s="69" t="s">
        <v>3433</v>
      </c>
      <c r="L352" s="69" t="str">
        <f>VLOOKUP(LinkTable6789[[#This Row],[Coluna1]],[4]AlarmCatalog!$A:$M,11,FALSE)</f>
        <v>Severidade 4</v>
      </c>
    </row>
    <row r="353" spans="1:12" s="67" customFormat="1" ht="16.5" customHeight="1" x14ac:dyDescent="0.25">
      <c r="A353" s="68" t="s">
        <v>1233</v>
      </c>
      <c r="B353" s="68" t="s">
        <v>2349</v>
      </c>
      <c r="C353" s="68" t="s">
        <v>3566</v>
      </c>
      <c r="D353" s="68" t="s">
        <v>2809</v>
      </c>
      <c r="E353" s="68" t="s">
        <v>3053</v>
      </c>
      <c r="F353" s="68" t="s">
        <v>3047</v>
      </c>
      <c r="G353" s="68" t="s">
        <v>3048</v>
      </c>
      <c r="H353" s="68" t="s">
        <v>3058</v>
      </c>
      <c r="I353" s="68" t="s">
        <v>3050</v>
      </c>
      <c r="J353" s="68" t="s">
        <v>3439</v>
      </c>
      <c r="K353" s="69" t="s">
        <v>3439</v>
      </c>
      <c r="L353" s="69" t="str">
        <f>VLOOKUP(LinkTable6789[[#This Row],[Coluna1]],[4]AlarmCatalog!$A:$M,11,FALSE)</f>
        <v>Severidade 4</v>
      </c>
    </row>
    <row r="354" spans="1:12" s="67" customFormat="1" ht="16.5" customHeight="1" x14ac:dyDescent="0.25">
      <c r="A354" s="68" t="s">
        <v>1275</v>
      </c>
      <c r="B354" s="68" t="s">
        <v>2349</v>
      </c>
      <c r="C354" s="68" t="s">
        <v>3567</v>
      </c>
      <c r="D354" s="68" t="s">
        <v>2809</v>
      </c>
      <c r="E354" s="68" t="s">
        <v>3053</v>
      </c>
      <c r="F354" s="68" t="s">
        <v>3047</v>
      </c>
      <c r="G354" s="68" t="s">
        <v>3048</v>
      </c>
      <c r="H354" s="68" t="s">
        <v>3058</v>
      </c>
      <c r="I354" s="68" t="s">
        <v>3050</v>
      </c>
      <c r="J354" s="68" t="s">
        <v>3439</v>
      </c>
      <c r="K354" s="69" t="s">
        <v>3439</v>
      </c>
      <c r="L354" s="69" t="str">
        <f>VLOOKUP(LinkTable6789[[#This Row],[Coluna1]],[4]AlarmCatalog!$A:$M,11,FALSE)</f>
        <v>Severidade 4</v>
      </c>
    </row>
    <row r="355" spans="1:12" s="67" customFormat="1" ht="16.5" customHeight="1" x14ac:dyDescent="0.25">
      <c r="A355" s="68" t="s">
        <v>1276</v>
      </c>
      <c r="B355" s="68" t="s">
        <v>2349</v>
      </c>
      <c r="C355" s="68" t="s">
        <v>3568</v>
      </c>
      <c r="D355" s="68" t="s">
        <v>2809</v>
      </c>
      <c r="E355" s="68" t="s">
        <v>3053</v>
      </c>
      <c r="F355" s="68" t="s">
        <v>3047</v>
      </c>
      <c r="G355" s="68" t="s">
        <v>3048</v>
      </c>
      <c r="H355" s="68" t="s">
        <v>3058</v>
      </c>
      <c r="I355" s="68" t="s">
        <v>3050</v>
      </c>
      <c r="J355" s="68" t="s">
        <v>3439</v>
      </c>
      <c r="K355" s="69" t="s">
        <v>3439</v>
      </c>
      <c r="L355" s="69" t="str">
        <f>VLOOKUP(LinkTable6789[[#This Row],[Coluna1]],[4]AlarmCatalog!$A:$M,11,FALSE)</f>
        <v>Severidade 4</v>
      </c>
    </row>
    <row r="356" spans="1:12" s="67" customFormat="1" ht="16.5" customHeight="1" x14ac:dyDescent="0.25">
      <c r="A356" s="68" t="s">
        <v>3569</v>
      </c>
      <c r="B356" s="68" t="s">
        <v>2349</v>
      </c>
      <c r="C356" s="68" t="s">
        <v>2991</v>
      </c>
      <c r="D356" s="68" t="s">
        <v>2809</v>
      </c>
      <c r="E356" s="68" t="s">
        <v>3046</v>
      </c>
      <c r="F356" s="68" t="s">
        <v>3047</v>
      </c>
      <c r="G356" s="68" t="s">
        <v>3057</v>
      </c>
      <c r="H356" s="68" t="s">
        <v>3058</v>
      </c>
      <c r="I356" s="68" t="s">
        <v>3050</v>
      </c>
      <c r="J356" s="68" t="s">
        <v>3512</v>
      </c>
      <c r="K356" s="69" t="s">
        <v>3512</v>
      </c>
      <c r="L356" s="69" t="str">
        <f>VLOOKUP(LinkTable6789[[#This Row],[Coluna1]],[4]AlarmCatalog!$A:$M,11,FALSE)</f>
        <v>Severidade 4</v>
      </c>
    </row>
    <row r="357" spans="1:12" s="67" customFormat="1" ht="16.5" customHeight="1" x14ac:dyDescent="0.25">
      <c r="A357" s="68" t="s">
        <v>3570</v>
      </c>
      <c r="B357" s="68" t="s">
        <v>2349</v>
      </c>
      <c r="C357" s="68" t="s">
        <v>3519</v>
      </c>
      <c r="D357" s="68" t="s">
        <v>2809</v>
      </c>
      <c r="E357" s="68" t="s">
        <v>3046</v>
      </c>
      <c r="F357" s="68" t="s">
        <v>3047</v>
      </c>
      <c r="G357" s="68" t="s">
        <v>3048</v>
      </c>
      <c r="H357" s="68" t="s">
        <v>3058</v>
      </c>
      <c r="I357" s="68" t="s">
        <v>3050</v>
      </c>
      <c r="J357" s="68" t="s">
        <v>3571</v>
      </c>
      <c r="K357" s="69" t="s">
        <v>3571</v>
      </c>
      <c r="L357" s="69" t="str">
        <f>VLOOKUP(LinkTable6789[[#This Row],[Coluna1]],[4]AlarmCatalog!$A:$M,11,FALSE)</f>
        <v>Severidade 4</v>
      </c>
    </row>
    <row r="358" spans="1:12" s="67" customFormat="1" ht="16.5" customHeight="1" x14ac:dyDescent="0.25">
      <c r="A358" s="68" t="s">
        <v>3572</v>
      </c>
      <c r="B358" s="68" t="s">
        <v>2349</v>
      </c>
      <c r="C358" s="68" t="s">
        <v>2991</v>
      </c>
      <c r="D358" s="68" t="s">
        <v>2809</v>
      </c>
      <c r="E358" s="68" t="s">
        <v>3053</v>
      </c>
      <c r="F358" s="68" t="s">
        <v>3047</v>
      </c>
      <c r="G358" s="68" t="s">
        <v>3048</v>
      </c>
      <c r="H358" s="68" t="s">
        <v>3058</v>
      </c>
      <c r="I358" s="68" t="s">
        <v>3050</v>
      </c>
      <c r="J358" s="68" t="s">
        <v>3571</v>
      </c>
      <c r="K358" s="69" t="s">
        <v>3571</v>
      </c>
      <c r="L358" s="69" t="str">
        <f>VLOOKUP(LinkTable6789[[#This Row],[Coluna1]],[4]AlarmCatalog!$A:$M,11,FALSE)</f>
        <v>Severidade 4</v>
      </c>
    </row>
    <row r="359" spans="1:12" s="67" customFormat="1" ht="16.5" customHeight="1" x14ac:dyDescent="0.25">
      <c r="A359" s="68" t="s">
        <v>3573</v>
      </c>
      <c r="B359" s="68" t="s">
        <v>2349</v>
      </c>
      <c r="C359" s="68" t="s">
        <v>2985</v>
      </c>
      <c r="D359" s="68" t="s">
        <v>2809</v>
      </c>
      <c r="E359" s="68" t="s">
        <v>3046</v>
      </c>
      <c r="F359" s="68" t="s">
        <v>3209</v>
      </c>
      <c r="G359" s="68" t="s">
        <v>3048</v>
      </c>
      <c r="H359" s="68" t="s">
        <v>3058</v>
      </c>
      <c r="I359" s="68" t="s">
        <v>3050</v>
      </c>
      <c r="J359" s="68" t="s">
        <v>3574</v>
      </c>
      <c r="K359" s="69" t="s">
        <v>3574</v>
      </c>
      <c r="L359" s="69" t="str">
        <f>VLOOKUP(LinkTable6789[[#This Row],[Coluna1]],[4]AlarmCatalog!$A:$M,11,FALSE)</f>
        <v>Severidade 4</v>
      </c>
    </row>
    <row r="360" spans="1:12" s="67" customFormat="1" ht="16.5" customHeight="1" x14ac:dyDescent="0.25">
      <c r="A360" s="68" t="s">
        <v>3575</v>
      </c>
      <c r="B360" s="68" t="s">
        <v>2349</v>
      </c>
      <c r="C360" s="68" t="s">
        <v>2985</v>
      </c>
      <c r="D360" s="68" t="s">
        <v>2809</v>
      </c>
      <c r="E360" s="68" t="s">
        <v>3046</v>
      </c>
      <c r="F360" s="68" t="s">
        <v>3047</v>
      </c>
      <c r="G360" s="68" t="s">
        <v>3048</v>
      </c>
      <c r="H360" s="68" t="s">
        <v>3075</v>
      </c>
      <c r="I360" s="68" t="s">
        <v>3050</v>
      </c>
      <c r="J360" s="68" t="s">
        <v>3576</v>
      </c>
      <c r="K360" s="69" t="s">
        <v>3576</v>
      </c>
      <c r="L360" s="69" t="str">
        <f>VLOOKUP(LinkTable6789[[#This Row],[Coluna1]],[4]AlarmCatalog!$A:$M,11,FALSE)</f>
        <v>Severidade 4</v>
      </c>
    </row>
    <row r="361" spans="1:12" s="67" customFormat="1" ht="16.5" customHeight="1" x14ac:dyDescent="0.25">
      <c r="A361" s="68" t="s">
        <v>3577</v>
      </c>
      <c r="B361" s="68" t="s">
        <v>2349</v>
      </c>
      <c r="C361" s="68" t="s">
        <v>3094</v>
      </c>
      <c r="D361" s="68" t="s">
        <v>2809</v>
      </c>
      <c r="E361" s="68" t="s">
        <v>3053</v>
      </c>
      <c r="F361" s="68" t="s">
        <v>3180</v>
      </c>
      <c r="G361" s="68" t="s">
        <v>3048</v>
      </c>
      <c r="H361" s="68" t="s">
        <v>3068</v>
      </c>
      <c r="I361" s="68" t="s">
        <v>3050</v>
      </c>
      <c r="J361" s="68" t="s">
        <v>3297</v>
      </c>
      <c r="K361" s="69" t="s">
        <v>3297</v>
      </c>
      <c r="L361" s="69" t="str">
        <f>VLOOKUP(LinkTable6789[[#This Row],[Coluna1]],[4]AlarmCatalog!$A:$M,11,FALSE)</f>
        <v>Severidade 4</v>
      </c>
    </row>
    <row r="362" spans="1:12" s="67" customFormat="1" ht="16.5" customHeight="1" x14ac:dyDescent="0.25">
      <c r="A362" s="68" t="s">
        <v>3578</v>
      </c>
      <c r="B362" s="68" t="s">
        <v>2349</v>
      </c>
      <c r="C362" s="68" t="s">
        <v>3579</v>
      </c>
      <c r="D362" s="68" t="s">
        <v>2809</v>
      </c>
      <c r="E362" s="68" t="s">
        <v>3053</v>
      </c>
      <c r="F362" s="68" t="s">
        <v>3047</v>
      </c>
      <c r="G362" s="68" t="s">
        <v>3048</v>
      </c>
      <c r="H362" s="68" t="s">
        <v>3058</v>
      </c>
      <c r="I362" s="68" t="s">
        <v>3050</v>
      </c>
      <c r="J362" s="68" t="s">
        <v>3297</v>
      </c>
      <c r="K362" s="69" t="s">
        <v>3297</v>
      </c>
      <c r="L362" s="69" t="str">
        <f>VLOOKUP(LinkTable6789[[#This Row],[Coluna1]],[4]AlarmCatalog!$A:$M,11,FALSE)</f>
        <v>Severidade 4</v>
      </c>
    </row>
    <row r="363" spans="1:12" s="67" customFormat="1" ht="16.5" customHeight="1" x14ac:dyDescent="0.25">
      <c r="A363" s="68" t="s">
        <v>3580</v>
      </c>
      <c r="B363" s="68" t="s">
        <v>2349</v>
      </c>
      <c r="C363" s="68" t="s">
        <v>2991</v>
      </c>
      <c r="D363" s="68" t="s">
        <v>2809</v>
      </c>
      <c r="E363" s="68" t="s">
        <v>3053</v>
      </c>
      <c r="F363" s="68" t="s">
        <v>3047</v>
      </c>
      <c r="G363" s="68" t="s">
        <v>3048</v>
      </c>
      <c r="H363" s="68" t="s">
        <v>3077</v>
      </c>
      <c r="I363" s="68" t="s">
        <v>3050</v>
      </c>
      <c r="J363" s="68" t="s">
        <v>3508</v>
      </c>
      <c r="K363" s="69" t="s">
        <v>3508</v>
      </c>
      <c r="L363" s="69" t="str">
        <f>VLOOKUP(LinkTable6789[[#This Row],[Coluna1]],[4]AlarmCatalog!$A:$M,11,FALSE)</f>
        <v>Severidade 4</v>
      </c>
    </row>
    <row r="364" spans="1:12" s="67" customFormat="1" ht="16.5" customHeight="1" x14ac:dyDescent="0.25">
      <c r="A364" s="68" t="s">
        <v>3581</v>
      </c>
      <c r="B364" s="68" t="s">
        <v>2349</v>
      </c>
      <c r="C364" s="68" t="s">
        <v>3579</v>
      </c>
      <c r="D364" s="68" t="s">
        <v>2809</v>
      </c>
      <c r="E364" s="68" t="s">
        <v>3053</v>
      </c>
      <c r="F364" s="68" t="s">
        <v>3047</v>
      </c>
      <c r="G364" s="68" t="s">
        <v>3048</v>
      </c>
      <c r="H364" s="68" t="s">
        <v>3068</v>
      </c>
      <c r="I364" s="68" t="s">
        <v>3050</v>
      </c>
      <c r="J364" s="68" t="s">
        <v>3297</v>
      </c>
      <c r="K364" s="69" t="s">
        <v>3297</v>
      </c>
      <c r="L364" s="69" t="str">
        <f>VLOOKUP(LinkTable6789[[#This Row],[Coluna1]],[4]AlarmCatalog!$A:$M,11,FALSE)</f>
        <v>Severidade 4</v>
      </c>
    </row>
    <row r="365" spans="1:12" s="67" customFormat="1" ht="16.5" customHeight="1" x14ac:dyDescent="0.25">
      <c r="A365" s="68" t="s">
        <v>3582</v>
      </c>
      <c r="B365" s="68" t="s">
        <v>2349</v>
      </c>
      <c r="C365" s="68" t="s">
        <v>2991</v>
      </c>
      <c r="D365" s="68" t="s">
        <v>2809</v>
      </c>
      <c r="E365" s="68" t="s">
        <v>3046</v>
      </c>
      <c r="F365" s="68" t="s">
        <v>3047</v>
      </c>
      <c r="G365" s="68" t="s">
        <v>3048</v>
      </c>
      <c r="H365" s="68" t="s">
        <v>3077</v>
      </c>
      <c r="I365" s="68" t="s">
        <v>3050</v>
      </c>
      <c r="J365" s="68" t="s">
        <v>3508</v>
      </c>
      <c r="K365" s="69" t="s">
        <v>3508</v>
      </c>
      <c r="L365" s="69" t="str">
        <f>VLOOKUP(LinkTable6789[[#This Row],[Coluna1]],[4]AlarmCatalog!$A:$M,11,FALSE)</f>
        <v>Severidade 4</v>
      </c>
    </row>
    <row r="366" spans="1:12" s="67" customFormat="1" ht="16.5" customHeight="1" x14ac:dyDescent="0.25">
      <c r="A366" s="68" t="s">
        <v>3583</v>
      </c>
      <c r="B366" s="68" t="s">
        <v>2349</v>
      </c>
      <c r="C366" s="68" t="s">
        <v>3584</v>
      </c>
      <c r="D366" s="68" t="s">
        <v>2990</v>
      </c>
      <c r="E366" s="68" t="s">
        <v>3053</v>
      </c>
      <c r="F366" s="68" t="s">
        <v>3585</v>
      </c>
      <c r="G366" s="68" t="s">
        <v>3586</v>
      </c>
      <c r="H366" s="68" t="s">
        <v>3077</v>
      </c>
      <c r="I366" s="68" t="s">
        <v>3050</v>
      </c>
      <c r="J366" s="68" t="s">
        <v>3587</v>
      </c>
      <c r="K366" s="69" t="s">
        <v>3587</v>
      </c>
      <c r="L366" s="69" t="str">
        <f>VLOOKUP(LinkTable6789[[#This Row],[Coluna1]],[4]AlarmCatalog!$A:$M,11,FALSE)</f>
        <v>Severidade 5</v>
      </c>
    </row>
    <row r="367" spans="1:12" s="67" customFormat="1" ht="16.5" customHeight="1" x14ac:dyDescent="0.25">
      <c r="A367" s="68" t="s">
        <v>3588</v>
      </c>
      <c r="B367" s="68" t="s">
        <v>2349</v>
      </c>
      <c r="C367" s="68" t="s">
        <v>3097</v>
      </c>
      <c r="D367" s="68" t="s">
        <v>2809</v>
      </c>
      <c r="E367" s="68" t="s">
        <v>3053</v>
      </c>
      <c r="F367" s="68" t="s">
        <v>3047</v>
      </c>
      <c r="G367" s="68" t="s">
        <v>3048</v>
      </c>
      <c r="H367" s="68" t="s">
        <v>3589</v>
      </c>
      <c r="I367" s="68" t="s">
        <v>3050</v>
      </c>
      <c r="J367" s="68" t="s">
        <v>3590</v>
      </c>
      <c r="K367" s="69" t="s">
        <v>3590</v>
      </c>
      <c r="L367" s="69" t="str">
        <f>VLOOKUP(LinkTable6789[[#This Row],[Coluna1]],[4]AlarmCatalog!$A:$M,11,FALSE)</f>
        <v>Severidade 5</v>
      </c>
    </row>
    <row r="368" spans="1:12" s="67" customFormat="1" ht="16.5" customHeight="1" x14ac:dyDescent="0.25">
      <c r="A368" s="68" t="s">
        <v>3591</v>
      </c>
      <c r="B368" s="68" t="s">
        <v>2349</v>
      </c>
      <c r="C368" s="68" t="s">
        <v>3220</v>
      </c>
      <c r="D368" s="68" t="s">
        <v>2809</v>
      </c>
      <c r="E368" s="68" t="s">
        <v>3053</v>
      </c>
      <c r="F368" s="68" t="s">
        <v>3047</v>
      </c>
      <c r="G368" s="68" t="s">
        <v>3048</v>
      </c>
      <c r="H368" s="68" t="s">
        <v>3075</v>
      </c>
      <c r="I368" s="68" t="s">
        <v>3050</v>
      </c>
      <c r="J368" s="68" t="s">
        <v>3394</v>
      </c>
      <c r="K368" s="69" t="s">
        <v>3394</v>
      </c>
      <c r="L368" s="69" t="str">
        <f>VLOOKUP(LinkTable6789[[#This Row],[Coluna1]],[4]AlarmCatalog!$A:$M,11,FALSE)</f>
        <v>Severidade 5</v>
      </c>
    </row>
    <row r="369" spans="1:12" s="67" customFormat="1" ht="16.5" customHeight="1" x14ac:dyDescent="0.25">
      <c r="A369" s="68" t="s">
        <v>3592</v>
      </c>
      <c r="B369" s="68" t="s">
        <v>2349</v>
      </c>
      <c r="C369" s="68" t="s">
        <v>3212</v>
      </c>
      <c r="D369" s="68" t="s">
        <v>2809</v>
      </c>
      <c r="E369" s="68" t="s">
        <v>2809</v>
      </c>
      <c r="F369" s="68" t="s">
        <v>3213</v>
      </c>
      <c r="G369" s="68" t="s">
        <v>3048</v>
      </c>
      <c r="H369" s="68" t="s">
        <v>3075</v>
      </c>
      <c r="I369" s="68" t="s">
        <v>3050</v>
      </c>
      <c r="J369" s="68" t="s">
        <v>3593</v>
      </c>
      <c r="K369" s="69" t="s">
        <v>3593</v>
      </c>
      <c r="L369" s="69" t="str">
        <f>VLOOKUP(LinkTable6789[[#This Row],[Coluna1]],[4]AlarmCatalog!$A:$M,11,FALSE)</f>
        <v>Severidade 5</v>
      </c>
    </row>
    <row r="370" spans="1:12" s="67" customFormat="1" ht="16.5" customHeight="1" x14ac:dyDescent="0.25">
      <c r="A370" s="68" t="s">
        <v>3594</v>
      </c>
      <c r="B370" s="68" t="s">
        <v>2349</v>
      </c>
      <c r="C370" s="68" t="s">
        <v>3097</v>
      </c>
      <c r="D370" s="68" t="s">
        <v>2809</v>
      </c>
      <c r="E370" s="68" t="s">
        <v>3053</v>
      </c>
      <c r="F370" s="68" t="s">
        <v>3047</v>
      </c>
      <c r="G370" s="68" t="s">
        <v>3048</v>
      </c>
      <c r="H370" s="68" t="s">
        <v>3058</v>
      </c>
      <c r="I370" s="68" t="s">
        <v>3050</v>
      </c>
      <c r="J370" s="68" t="s">
        <v>3590</v>
      </c>
      <c r="K370" s="69" t="s">
        <v>3590</v>
      </c>
      <c r="L370" s="69" t="str">
        <f>VLOOKUP(LinkTable6789[[#This Row],[Coluna1]],[4]AlarmCatalog!$A:$M,11,FALSE)</f>
        <v>Severidade 5</v>
      </c>
    </row>
    <row r="371" spans="1:12" s="67" customFormat="1" ht="16.5" customHeight="1" x14ac:dyDescent="0.25">
      <c r="A371" s="68" t="s">
        <v>3595</v>
      </c>
      <c r="B371" s="68" t="s">
        <v>2349</v>
      </c>
      <c r="C371" s="68" t="s">
        <v>3220</v>
      </c>
      <c r="D371" s="68" t="s">
        <v>2809</v>
      </c>
      <c r="E371" s="68" t="s">
        <v>3053</v>
      </c>
      <c r="F371" s="68" t="s">
        <v>3221</v>
      </c>
      <c r="G371" s="68" t="s">
        <v>3048</v>
      </c>
      <c r="H371" s="68" t="s">
        <v>3075</v>
      </c>
      <c r="I371" s="68" t="s">
        <v>3050</v>
      </c>
      <c r="J371" s="68" t="s">
        <v>3593</v>
      </c>
      <c r="K371" s="69" t="s">
        <v>3593</v>
      </c>
      <c r="L371" s="69" t="str">
        <f>VLOOKUP(LinkTable6789[[#This Row],[Coluna1]],[4]AlarmCatalog!$A:$M,11,FALSE)</f>
        <v>Severidade 5</v>
      </c>
    </row>
    <row r="372" spans="1:12" s="67" customFormat="1" ht="16.5" customHeight="1" x14ac:dyDescent="0.25">
      <c r="A372" s="68" t="s">
        <v>3596</v>
      </c>
      <c r="B372" s="68" t="s">
        <v>2349</v>
      </c>
      <c r="C372" s="68" t="s">
        <v>2985</v>
      </c>
      <c r="D372" s="68" t="s">
        <v>2809</v>
      </c>
      <c r="E372" s="68" t="s">
        <v>3053</v>
      </c>
      <c r="F372" s="68" t="s">
        <v>3209</v>
      </c>
      <c r="G372" s="68" t="s">
        <v>3048</v>
      </c>
      <c r="H372" s="68" t="s">
        <v>3058</v>
      </c>
      <c r="I372" s="68" t="s">
        <v>3050</v>
      </c>
      <c r="J372" s="68" t="s">
        <v>3597</v>
      </c>
      <c r="K372" s="69" t="s">
        <v>3597</v>
      </c>
      <c r="L372" s="69" t="str">
        <f>VLOOKUP(LinkTable6789[[#This Row],[Coluna1]],[4]AlarmCatalog!$A:$M,11,FALSE)</f>
        <v>Severidade 5</v>
      </c>
    </row>
    <row r="373" spans="1:12" s="67" customFormat="1" ht="16.5" customHeight="1" x14ac:dyDescent="0.25">
      <c r="A373" s="68" t="s">
        <v>3598</v>
      </c>
      <c r="B373" s="68" t="s">
        <v>2349</v>
      </c>
      <c r="C373" s="68" t="s">
        <v>2991</v>
      </c>
      <c r="D373" s="68" t="s">
        <v>2809</v>
      </c>
      <c r="E373" s="68" t="s">
        <v>3053</v>
      </c>
      <c r="F373" s="68" t="s">
        <v>3047</v>
      </c>
      <c r="G373" s="68" t="s">
        <v>3048</v>
      </c>
      <c r="H373" s="68" t="s">
        <v>3058</v>
      </c>
      <c r="I373" s="68" t="s">
        <v>3050</v>
      </c>
      <c r="J373" s="68" t="s">
        <v>3599</v>
      </c>
      <c r="K373" s="69" t="s">
        <v>3599</v>
      </c>
      <c r="L373" s="69" t="str">
        <f>VLOOKUP(LinkTable6789[[#This Row],[Coluna1]],[4]AlarmCatalog!$A:$M,11,FALSE)</f>
        <v>Severidade 5</v>
      </c>
    </row>
    <row r="374" spans="1:12" s="67" customFormat="1" ht="16.5" customHeight="1" x14ac:dyDescent="0.25">
      <c r="A374" s="68" t="s">
        <v>3600</v>
      </c>
      <c r="B374" s="68" t="s">
        <v>2349</v>
      </c>
      <c r="C374" s="68" t="s">
        <v>3601</v>
      </c>
      <c r="D374" s="68" t="s">
        <v>2809</v>
      </c>
      <c r="E374" s="68" t="s">
        <v>3053</v>
      </c>
      <c r="F374" s="68" t="s">
        <v>3047</v>
      </c>
      <c r="G374" s="68" t="s">
        <v>3048</v>
      </c>
      <c r="H374" s="68" t="s">
        <v>3058</v>
      </c>
      <c r="I374" s="68" t="s">
        <v>3050</v>
      </c>
      <c r="J374" s="68" t="s">
        <v>3297</v>
      </c>
      <c r="K374" s="69" t="s">
        <v>3297</v>
      </c>
      <c r="L374" s="69" t="str">
        <f>VLOOKUP(LinkTable6789[[#This Row],[Coluna1]],[4]AlarmCatalog!$A:$M,11,FALSE)</f>
        <v>Severidade 4</v>
      </c>
    </row>
    <row r="375" spans="1:12" s="67" customFormat="1" ht="16.5" customHeight="1" x14ac:dyDescent="0.25">
      <c r="A375" s="68" t="s">
        <v>1235</v>
      </c>
      <c r="B375" s="68" t="s">
        <v>2349</v>
      </c>
      <c r="C375" s="68" t="s">
        <v>3094</v>
      </c>
      <c r="D375" s="68" t="s">
        <v>2809</v>
      </c>
      <c r="E375" s="68" t="s">
        <v>3053</v>
      </c>
      <c r="F375" s="68" t="s">
        <v>3180</v>
      </c>
      <c r="G375" s="68" t="s">
        <v>3048</v>
      </c>
      <c r="H375" s="68" t="s">
        <v>3068</v>
      </c>
      <c r="I375" s="68" t="s">
        <v>3050</v>
      </c>
      <c r="J375" s="68" t="s">
        <v>3593</v>
      </c>
      <c r="K375" s="69" t="s">
        <v>3593</v>
      </c>
      <c r="L375" s="69" t="str">
        <f>VLOOKUP(LinkTable6789[[#This Row],[Coluna1]],[4]AlarmCatalog!$A:$M,11,FALSE)</f>
        <v>Severidade 5</v>
      </c>
    </row>
    <row r="376" spans="1:12" s="67" customFormat="1" ht="16.5" customHeight="1" x14ac:dyDescent="0.25">
      <c r="A376" s="68" t="s">
        <v>1236</v>
      </c>
      <c r="B376" s="68" t="s">
        <v>2349</v>
      </c>
      <c r="C376" s="68" t="s">
        <v>3094</v>
      </c>
      <c r="D376" s="68" t="s">
        <v>2809</v>
      </c>
      <c r="E376" s="68" t="s">
        <v>3053</v>
      </c>
      <c r="F376" s="68" t="s">
        <v>3047</v>
      </c>
      <c r="G376" s="68" t="s">
        <v>3048</v>
      </c>
      <c r="H376" s="68" t="s">
        <v>3075</v>
      </c>
      <c r="I376" s="68" t="s">
        <v>3050</v>
      </c>
      <c r="J376" s="68" t="s">
        <v>3602</v>
      </c>
      <c r="K376" s="69" t="s">
        <v>3602</v>
      </c>
      <c r="L376" s="69" t="str">
        <f>VLOOKUP(LinkTable6789[[#This Row],[Coluna1]],[4]AlarmCatalog!$A:$M,11,FALSE)</f>
        <v>Severidade 5</v>
      </c>
    </row>
    <row r="377" spans="1:12" s="67" customFormat="1" ht="16.5" customHeight="1" x14ac:dyDescent="0.25">
      <c r="A377" s="68" t="s">
        <v>3603</v>
      </c>
      <c r="B377" s="68" t="s">
        <v>2349</v>
      </c>
      <c r="C377" s="68" t="s">
        <v>3326</v>
      </c>
      <c r="D377" s="68" t="s">
        <v>2809</v>
      </c>
      <c r="E377" s="68" t="s">
        <v>3053</v>
      </c>
      <c r="F377" s="68" t="s">
        <v>3047</v>
      </c>
      <c r="G377" s="68" t="s">
        <v>3048</v>
      </c>
      <c r="H377" s="68" t="s">
        <v>3075</v>
      </c>
      <c r="I377" s="68" t="s">
        <v>3050</v>
      </c>
      <c r="J377" s="68" t="s">
        <v>3602</v>
      </c>
      <c r="K377" s="69" t="s">
        <v>3602</v>
      </c>
      <c r="L377" s="69" t="str">
        <f>VLOOKUP(LinkTable6789[[#This Row],[Coluna1]],[4]AlarmCatalog!$A:$M,11,FALSE)</f>
        <v>Severidade 5</v>
      </c>
    </row>
    <row r="378" spans="1:12" s="67" customFormat="1" ht="16.5" customHeight="1" x14ac:dyDescent="0.25">
      <c r="A378" s="68" t="s">
        <v>3604</v>
      </c>
      <c r="B378" s="68" t="s">
        <v>2349</v>
      </c>
      <c r="C378" s="68" t="s">
        <v>3097</v>
      </c>
      <c r="D378" s="68" t="s">
        <v>2809</v>
      </c>
      <c r="E378" s="68" t="s">
        <v>3046</v>
      </c>
      <c r="F378" s="68" t="s">
        <v>3047</v>
      </c>
      <c r="G378" s="68" t="s">
        <v>3048</v>
      </c>
      <c r="H378" s="68" t="s">
        <v>3058</v>
      </c>
      <c r="I378" s="68" t="s">
        <v>3050</v>
      </c>
      <c r="J378" s="68" t="s">
        <v>3599</v>
      </c>
      <c r="K378" s="69" t="s">
        <v>3599</v>
      </c>
      <c r="L378" s="69" t="str">
        <f>VLOOKUP(LinkTable6789[[#This Row],[Coluna1]],[4]AlarmCatalog!$A:$M,11,FALSE)</f>
        <v>Severidade 5</v>
      </c>
    </row>
    <row r="379" spans="1:12" s="67" customFormat="1" ht="16.5" customHeight="1" x14ac:dyDescent="0.25">
      <c r="A379" s="68" t="s">
        <v>124</v>
      </c>
      <c r="B379" s="68" t="s">
        <v>2349</v>
      </c>
      <c r="C379" s="68" t="s">
        <v>2985</v>
      </c>
      <c r="D379" s="68" t="s">
        <v>2809</v>
      </c>
      <c r="E379" s="68" t="s">
        <v>3053</v>
      </c>
      <c r="F379" s="68" t="s">
        <v>3209</v>
      </c>
      <c r="G379" s="68" t="s">
        <v>3048</v>
      </c>
      <c r="H379" s="68" t="s">
        <v>3077</v>
      </c>
      <c r="I379" s="68" t="s">
        <v>3050</v>
      </c>
      <c r="J379" s="68" t="s">
        <v>3593</v>
      </c>
      <c r="K379" s="69" t="s">
        <v>3593</v>
      </c>
      <c r="L379" s="69" t="str">
        <f>VLOOKUP(LinkTable6789[[#This Row],[Coluna1]],[4]AlarmCatalog!$A:$M,11,FALSE)</f>
        <v>Severidade 5</v>
      </c>
    </row>
    <row r="380" spans="1:12" s="67" customFormat="1" ht="16.5" customHeight="1" x14ac:dyDescent="0.25">
      <c r="A380" s="68" t="s">
        <v>3605</v>
      </c>
      <c r="B380" s="68" t="s">
        <v>2349</v>
      </c>
      <c r="C380" s="68" t="s">
        <v>2985</v>
      </c>
      <c r="D380" s="68" t="s">
        <v>2809</v>
      </c>
      <c r="E380" s="68" t="s">
        <v>3053</v>
      </c>
      <c r="F380" s="68" t="s">
        <v>3047</v>
      </c>
      <c r="G380" s="68" t="s">
        <v>3048</v>
      </c>
      <c r="H380" s="68" t="s">
        <v>3075</v>
      </c>
      <c r="I380" s="68" t="s">
        <v>3050</v>
      </c>
      <c r="J380" s="68" t="s">
        <v>3602</v>
      </c>
      <c r="K380" s="69" t="s">
        <v>3602</v>
      </c>
      <c r="L380" s="69" t="str">
        <f>VLOOKUP(LinkTable6789[[#This Row],[Coluna1]],[4]AlarmCatalog!$A:$M,11,FALSE)</f>
        <v>Severidade 5</v>
      </c>
    </row>
    <row r="381" spans="1:12" s="67" customFormat="1" ht="16.5" customHeight="1" x14ac:dyDescent="0.25">
      <c r="A381" s="68" t="s">
        <v>1169</v>
      </c>
      <c r="B381" s="68" t="s">
        <v>2349</v>
      </c>
      <c r="C381" s="68" t="s">
        <v>2985</v>
      </c>
      <c r="D381" s="68" t="s">
        <v>2809</v>
      </c>
      <c r="E381" s="68" t="s">
        <v>3053</v>
      </c>
      <c r="F381" s="68" t="s">
        <v>3047</v>
      </c>
      <c r="G381" s="68" t="s">
        <v>3048</v>
      </c>
      <c r="H381" s="68" t="s">
        <v>3058</v>
      </c>
      <c r="I381" s="68" t="s">
        <v>3050</v>
      </c>
      <c r="J381" s="68" t="s">
        <v>3602</v>
      </c>
      <c r="K381" s="69" t="s">
        <v>3602</v>
      </c>
      <c r="L381" s="69" t="str">
        <f>VLOOKUP(LinkTable6789[[#This Row],[Coluna1]],[4]AlarmCatalog!$A:$M,11,FALSE)</f>
        <v>Severidade 5</v>
      </c>
    </row>
    <row r="382" spans="1:12" s="67" customFormat="1" ht="16.5" customHeight="1" x14ac:dyDescent="0.25">
      <c r="A382" s="68" t="s">
        <v>1168</v>
      </c>
      <c r="B382" s="68" t="s">
        <v>2349</v>
      </c>
      <c r="C382" s="68" t="s">
        <v>2985</v>
      </c>
      <c r="D382" s="68" t="s">
        <v>2809</v>
      </c>
      <c r="E382" s="68" t="s">
        <v>3053</v>
      </c>
      <c r="F382" s="68" t="s">
        <v>3047</v>
      </c>
      <c r="G382" s="68" t="s">
        <v>3048</v>
      </c>
      <c r="H382" s="68" t="s">
        <v>3075</v>
      </c>
      <c r="I382" s="68" t="s">
        <v>3050</v>
      </c>
      <c r="J382" s="68" t="s">
        <v>3602</v>
      </c>
      <c r="K382" s="69" t="s">
        <v>3602</v>
      </c>
      <c r="L382" s="69" t="str">
        <f>VLOOKUP(LinkTable6789[[#This Row],[Coluna1]],[4]AlarmCatalog!$A:$M,11,FALSE)</f>
        <v>Severidade 5</v>
      </c>
    </row>
    <row r="383" spans="1:12" s="67" customFormat="1" ht="16.5" customHeight="1" x14ac:dyDescent="0.25">
      <c r="A383" s="68" t="s">
        <v>3606</v>
      </c>
      <c r="B383" s="68" t="s">
        <v>2349</v>
      </c>
      <c r="C383" s="68" t="s">
        <v>3103</v>
      </c>
      <c r="D383" s="68" t="s">
        <v>2809</v>
      </c>
      <c r="E383" s="68" t="s">
        <v>3053</v>
      </c>
      <c r="F383" s="68" t="s">
        <v>3145</v>
      </c>
      <c r="G383" s="68" t="s">
        <v>3048</v>
      </c>
      <c r="H383" s="68" t="s">
        <v>3058</v>
      </c>
      <c r="I383" s="68" t="s">
        <v>3050</v>
      </c>
      <c r="J383" s="68" t="s">
        <v>3593</v>
      </c>
      <c r="K383" s="69" t="s">
        <v>3593</v>
      </c>
      <c r="L383" s="69" t="str">
        <f>VLOOKUP(LinkTable6789[[#This Row],[Coluna1]],[4]AlarmCatalog!$A:$M,11,FALSE)</f>
        <v>Severidade 5</v>
      </c>
    </row>
    <row r="384" spans="1:12" s="67" customFormat="1" ht="16.5" customHeight="1" x14ac:dyDescent="0.25">
      <c r="A384" s="68" t="s">
        <v>1219</v>
      </c>
      <c r="B384" s="68" t="s">
        <v>2349</v>
      </c>
      <c r="C384" s="68" t="s">
        <v>3097</v>
      </c>
      <c r="D384" s="68" t="s">
        <v>2809</v>
      </c>
      <c r="E384" s="68" t="s">
        <v>3053</v>
      </c>
      <c r="F384" s="68" t="s">
        <v>3047</v>
      </c>
      <c r="G384" s="68" t="s">
        <v>3048</v>
      </c>
      <c r="H384" s="68" t="s">
        <v>3058</v>
      </c>
      <c r="I384" s="68" t="s">
        <v>3050</v>
      </c>
      <c r="J384" s="68" t="s">
        <v>3599</v>
      </c>
      <c r="K384" s="69" t="s">
        <v>3599</v>
      </c>
      <c r="L384" s="69" t="str">
        <f>VLOOKUP(LinkTable6789[[#This Row],[Coluna1]],[4]AlarmCatalog!$A:$M,11,FALSE)</f>
        <v>Severidade 5</v>
      </c>
    </row>
    <row r="385" spans="1:12" s="67" customFormat="1" ht="16.5" customHeight="1" x14ac:dyDescent="0.25">
      <c r="A385" s="68" t="s">
        <v>1189</v>
      </c>
      <c r="B385" s="68" t="s">
        <v>2349</v>
      </c>
      <c r="C385" s="68" t="s">
        <v>3286</v>
      </c>
      <c r="D385" s="68" t="s">
        <v>2809</v>
      </c>
      <c r="E385" s="68" t="s">
        <v>3053</v>
      </c>
      <c r="F385" s="68" t="s">
        <v>3047</v>
      </c>
      <c r="G385" s="68" t="s">
        <v>3048</v>
      </c>
      <c r="H385" s="68" t="s">
        <v>3058</v>
      </c>
      <c r="I385" s="68" t="s">
        <v>3050</v>
      </c>
      <c r="J385" s="68" t="s">
        <v>3599</v>
      </c>
      <c r="K385" s="69" t="s">
        <v>3599</v>
      </c>
      <c r="L385" s="69" t="str">
        <f>VLOOKUP(LinkTable6789[[#This Row],[Coluna1]],[4]AlarmCatalog!$A:$M,11,FALSE)</f>
        <v>Severidade 5</v>
      </c>
    </row>
    <row r="386" spans="1:12" s="67" customFormat="1" ht="16.5" customHeight="1" x14ac:dyDescent="0.25">
      <c r="A386" s="68" t="s">
        <v>3607</v>
      </c>
      <c r="B386" s="68" t="s">
        <v>2349</v>
      </c>
      <c r="C386" s="68" t="s">
        <v>2985</v>
      </c>
      <c r="D386" s="68" t="s">
        <v>2809</v>
      </c>
      <c r="E386" s="68" t="s">
        <v>3053</v>
      </c>
      <c r="F386" s="68" t="s">
        <v>3047</v>
      </c>
      <c r="G386" s="68" t="s">
        <v>3048</v>
      </c>
      <c r="H386" s="68" t="s">
        <v>3058</v>
      </c>
      <c r="I386" s="68" t="s">
        <v>3050</v>
      </c>
      <c r="J386" s="68" t="s">
        <v>3599</v>
      </c>
      <c r="K386" s="69" t="s">
        <v>3599</v>
      </c>
      <c r="L386" s="69" t="str">
        <f>VLOOKUP(LinkTable6789[[#This Row],[Coluna1]],[4]AlarmCatalog!$A:$M,11,FALSE)</f>
        <v>Severidade 5</v>
      </c>
    </row>
    <row r="387" spans="1:12" s="67" customFormat="1" ht="16.5" customHeight="1" x14ac:dyDescent="0.25">
      <c r="A387" s="68" t="s">
        <v>3608</v>
      </c>
      <c r="B387" s="68" t="s">
        <v>2349</v>
      </c>
      <c r="C387" s="68" t="s">
        <v>3609</v>
      </c>
      <c r="D387" s="68" t="s">
        <v>2809</v>
      </c>
      <c r="E387" s="68" t="s">
        <v>2809</v>
      </c>
      <c r="F387" s="68" t="s">
        <v>3609</v>
      </c>
      <c r="G387" s="68" t="s">
        <v>3122</v>
      </c>
      <c r="H387" s="68" t="s">
        <v>3123</v>
      </c>
      <c r="I387" s="68" t="s">
        <v>3124</v>
      </c>
      <c r="J387" s="68" t="s">
        <v>3587</v>
      </c>
      <c r="K387" s="69" t="s">
        <v>3587</v>
      </c>
      <c r="L387" s="69" t="str">
        <f>VLOOKUP(LinkTable6789[[#This Row],[Coluna1]],[4]AlarmCatalog!$A:$M,11,FALSE)</f>
        <v>Severidade 5</v>
      </c>
    </row>
    <row r="388" spans="1:12" s="67" customFormat="1" ht="16.5" customHeight="1" x14ac:dyDescent="0.25">
      <c r="A388" s="68" t="s">
        <v>3610</v>
      </c>
      <c r="B388" s="68" t="s">
        <v>2349</v>
      </c>
      <c r="C388" s="68" t="s">
        <v>2982</v>
      </c>
      <c r="D388" s="68" t="s">
        <v>2809</v>
      </c>
      <c r="E388" s="68" t="s">
        <v>3046</v>
      </c>
      <c r="F388" s="68" t="s">
        <v>3047</v>
      </c>
      <c r="G388" s="68" t="s">
        <v>3048</v>
      </c>
      <c r="H388" s="68" t="s">
        <v>3058</v>
      </c>
      <c r="I388" s="68" t="s">
        <v>3050</v>
      </c>
      <c r="J388" s="68" t="s">
        <v>3297</v>
      </c>
      <c r="K388" s="69" t="s">
        <v>3297</v>
      </c>
      <c r="L388" s="69" t="str">
        <f>VLOOKUP(LinkTable6789[[#This Row],[Coluna1]],[4]AlarmCatalog!$A:$M,11,FALSE)</f>
        <v>Severidade 4</v>
      </c>
    </row>
    <row r="389" spans="1:12" s="67" customFormat="1" ht="16.5" customHeight="1" x14ac:dyDescent="0.25">
      <c r="A389" s="68" t="s">
        <v>3611</v>
      </c>
      <c r="B389" s="68" t="s">
        <v>2349</v>
      </c>
      <c r="C389" s="68" t="s">
        <v>3220</v>
      </c>
      <c r="D389" s="68" t="s">
        <v>2809</v>
      </c>
      <c r="E389" s="68" t="s">
        <v>2809</v>
      </c>
      <c r="F389" s="68" t="s">
        <v>3612</v>
      </c>
      <c r="G389" s="68" t="s">
        <v>3048</v>
      </c>
      <c r="H389" s="68" t="s">
        <v>3075</v>
      </c>
      <c r="I389" s="68" t="s">
        <v>3050</v>
      </c>
      <c r="J389" s="68" t="s">
        <v>3587</v>
      </c>
      <c r="K389" s="69" t="s">
        <v>3587</v>
      </c>
      <c r="L389" s="69" t="str">
        <f>VLOOKUP(LinkTable6789[[#This Row],[Coluna1]],[4]AlarmCatalog!$A:$M,11,FALSE)</f>
        <v>Severidade 5</v>
      </c>
    </row>
    <row r="390" spans="1:12" s="67" customFormat="1" ht="16.5" customHeight="1" x14ac:dyDescent="0.25">
      <c r="A390" s="68" t="s">
        <v>3613</v>
      </c>
      <c r="B390" s="68" t="s">
        <v>2349</v>
      </c>
      <c r="C390" s="68" t="s">
        <v>3584</v>
      </c>
      <c r="D390" s="68" t="s">
        <v>2809</v>
      </c>
      <c r="E390" s="68" t="s">
        <v>3053</v>
      </c>
      <c r="F390" s="68" t="s">
        <v>3047</v>
      </c>
      <c r="G390" s="68" t="s">
        <v>3048</v>
      </c>
      <c r="H390" s="68" t="s">
        <v>3075</v>
      </c>
      <c r="I390" s="68" t="s">
        <v>3050</v>
      </c>
      <c r="J390" s="68" t="s">
        <v>3587</v>
      </c>
      <c r="K390" s="69" t="s">
        <v>3587</v>
      </c>
      <c r="L390" s="69" t="str">
        <f>VLOOKUP(LinkTable6789[[#This Row],[Coluna1]],[4]AlarmCatalog!$A:$M,11,FALSE)</f>
        <v>Severidade 5</v>
      </c>
    </row>
    <row r="391" spans="1:12" s="67" customFormat="1" ht="16.5" customHeight="1" x14ac:dyDescent="0.25">
      <c r="A391" s="68" t="s">
        <v>3614</v>
      </c>
      <c r="B391" s="68" t="s">
        <v>2349</v>
      </c>
      <c r="C391" s="68" t="s">
        <v>3615</v>
      </c>
      <c r="D391" s="68" t="s">
        <v>2809</v>
      </c>
      <c r="E391" s="68" t="s">
        <v>3053</v>
      </c>
      <c r="F391" s="68" t="s">
        <v>3047</v>
      </c>
      <c r="G391" s="68" t="s">
        <v>3048</v>
      </c>
      <c r="H391" s="68" t="s">
        <v>3058</v>
      </c>
      <c r="I391" s="68" t="s">
        <v>3050</v>
      </c>
      <c r="J391" s="68" t="s">
        <v>3394</v>
      </c>
      <c r="K391" s="69" t="s">
        <v>3394</v>
      </c>
      <c r="L391" s="69" t="str">
        <f>VLOOKUP(LinkTable6789[[#This Row],[Coluna1]],[4]AlarmCatalog!$A:$M,11,FALSE)</f>
        <v>Severidade 5</v>
      </c>
    </row>
    <row r="392" spans="1:12" s="67" customFormat="1" ht="16.5" customHeight="1" x14ac:dyDescent="0.25">
      <c r="A392" s="68" t="s">
        <v>3616</v>
      </c>
      <c r="B392" s="68" t="s">
        <v>2349</v>
      </c>
      <c r="C392" s="68" t="s">
        <v>3584</v>
      </c>
      <c r="D392" s="68" t="s">
        <v>2809</v>
      </c>
      <c r="E392" s="68" t="s">
        <v>3053</v>
      </c>
      <c r="F392" s="68" t="s">
        <v>3585</v>
      </c>
      <c r="G392" s="68" t="s">
        <v>3586</v>
      </c>
      <c r="H392" s="68" t="s">
        <v>3068</v>
      </c>
      <c r="I392" s="68" t="s">
        <v>3050</v>
      </c>
      <c r="J392" s="68" t="s">
        <v>3587</v>
      </c>
      <c r="K392" s="69" t="s">
        <v>3587</v>
      </c>
      <c r="L392" s="69" t="str">
        <f>VLOOKUP(LinkTable6789[[#This Row],[Coluna1]],[4]AlarmCatalog!$A:$M,11,FALSE)</f>
        <v>Severidade 5</v>
      </c>
    </row>
    <row r="393" spans="1:12" s="67" customFormat="1" ht="16.5" customHeight="1" x14ac:dyDescent="0.25">
      <c r="A393" s="68" t="s">
        <v>3617</v>
      </c>
      <c r="B393" s="68" t="s">
        <v>2349</v>
      </c>
      <c r="C393" s="68" t="s">
        <v>3618</v>
      </c>
      <c r="D393" s="68" t="s">
        <v>2809</v>
      </c>
      <c r="E393" s="68" t="s">
        <v>3053</v>
      </c>
      <c r="F393" s="68" t="s">
        <v>3047</v>
      </c>
      <c r="G393" s="68" t="s">
        <v>3048</v>
      </c>
      <c r="H393" s="68" t="s">
        <v>3058</v>
      </c>
      <c r="I393" s="68" t="s">
        <v>3050</v>
      </c>
      <c r="J393" s="68" t="s">
        <v>3394</v>
      </c>
      <c r="K393" s="69" t="s">
        <v>3394</v>
      </c>
      <c r="L393" s="69" t="str">
        <f>VLOOKUP(LinkTable6789[[#This Row],[Coluna1]],[4]AlarmCatalog!$A:$M,11,FALSE)</f>
        <v>Severidade 5</v>
      </c>
    </row>
    <row r="394" spans="1:12" s="67" customFormat="1" ht="16.5" customHeight="1" x14ac:dyDescent="0.25">
      <c r="A394" s="68" t="s">
        <v>3619</v>
      </c>
      <c r="B394" s="68" t="s">
        <v>2349</v>
      </c>
      <c r="C394" s="68" t="s">
        <v>3097</v>
      </c>
      <c r="D394" s="68" t="s">
        <v>2809</v>
      </c>
      <c r="E394" s="68" t="s">
        <v>3046</v>
      </c>
      <c r="F394" s="68" t="s">
        <v>3047</v>
      </c>
      <c r="G394" s="68" t="s">
        <v>3048</v>
      </c>
      <c r="H394" s="68" t="s">
        <v>3058</v>
      </c>
      <c r="I394" s="68" t="s">
        <v>3050</v>
      </c>
      <c r="J394" s="68" t="s">
        <v>3590</v>
      </c>
      <c r="K394" s="69" t="s">
        <v>3590</v>
      </c>
      <c r="L394" s="69" t="str">
        <f>VLOOKUP(LinkTable6789[[#This Row],[Coluna1]],[4]AlarmCatalog!$A:$M,11,FALSE)</f>
        <v>Severidade 5</v>
      </c>
    </row>
    <row r="395" spans="1:12" s="67" customFormat="1" ht="16.5" customHeight="1" x14ac:dyDescent="0.25">
      <c r="A395" s="68" t="s">
        <v>3620</v>
      </c>
      <c r="B395" s="68" t="s">
        <v>2349</v>
      </c>
      <c r="C395" s="68" t="s">
        <v>2991</v>
      </c>
      <c r="D395" s="68" t="s">
        <v>2809</v>
      </c>
      <c r="E395" s="68" t="s">
        <v>3053</v>
      </c>
      <c r="F395" s="68" t="s">
        <v>3047</v>
      </c>
      <c r="G395" s="68" t="s">
        <v>3048</v>
      </c>
      <c r="H395" s="68" t="s">
        <v>3077</v>
      </c>
      <c r="I395" s="68" t="s">
        <v>3050</v>
      </c>
      <c r="J395" s="68" t="s">
        <v>3394</v>
      </c>
      <c r="K395" s="69" t="s">
        <v>3394</v>
      </c>
      <c r="L395" s="69" t="str">
        <f>VLOOKUP(LinkTable6789[[#This Row],[Coluna1]],[4]AlarmCatalog!$A:$M,11,FALSE)</f>
        <v>Severidade 5</v>
      </c>
    </row>
    <row r="396" spans="1:12" s="67" customFormat="1" ht="16.5" customHeight="1" x14ac:dyDescent="0.25">
      <c r="A396" s="68" t="s">
        <v>3621</v>
      </c>
      <c r="B396" s="68" t="s">
        <v>2349</v>
      </c>
      <c r="C396" s="68" t="s">
        <v>3230</v>
      </c>
      <c r="D396" s="68" t="s">
        <v>2809</v>
      </c>
      <c r="E396" s="68" t="s">
        <v>3046</v>
      </c>
      <c r="F396" s="68" t="s">
        <v>3235</v>
      </c>
      <c r="G396" s="68" t="s">
        <v>3048</v>
      </c>
      <c r="H396" s="68" t="s">
        <v>3058</v>
      </c>
      <c r="I396" s="68" t="s">
        <v>3050</v>
      </c>
      <c r="J396" s="68" t="s">
        <v>3587</v>
      </c>
      <c r="K396" s="69" t="s">
        <v>3587</v>
      </c>
      <c r="L396" s="69" t="str">
        <f>VLOOKUP(LinkTable6789[[#This Row],[Coluna1]],[4]AlarmCatalog!$A:$M,11,FALSE)</f>
        <v>Severidade 5</v>
      </c>
    </row>
    <row r="397" spans="1:12" s="67" customFormat="1" ht="16.5" customHeight="1" x14ac:dyDescent="0.25">
      <c r="A397" s="68" t="s">
        <v>3622</v>
      </c>
      <c r="B397" s="68" t="s">
        <v>2349</v>
      </c>
      <c r="C397" s="68" t="s">
        <v>3493</v>
      </c>
      <c r="D397" s="68" t="s">
        <v>2809</v>
      </c>
      <c r="E397" s="68" t="s">
        <v>2809</v>
      </c>
      <c r="F397" s="68" t="s">
        <v>3047</v>
      </c>
      <c r="G397" s="68" t="s">
        <v>3122</v>
      </c>
      <c r="H397" s="68" t="s">
        <v>3123</v>
      </c>
      <c r="I397" s="68" t="s">
        <v>3124</v>
      </c>
      <c r="J397" s="68" t="s">
        <v>3394</v>
      </c>
      <c r="K397" s="69" t="s">
        <v>3394</v>
      </c>
      <c r="L397" s="69" t="str">
        <f>VLOOKUP(LinkTable6789[[#This Row],[Coluna1]],[4]AlarmCatalog!$A:$M,11,FALSE)</f>
        <v>Severidade 5</v>
      </c>
    </row>
    <row r="398" spans="1:12" s="67" customFormat="1" ht="16.5" customHeight="1" x14ac:dyDescent="0.25">
      <c r="A398" s="68" t="s">
        <v>3623</v>
      </c>
      <c r="B398" s="68" t="s">
        <v>2349</v>
      </c>
      <c r="C398" s="68" t="s">
        <v>3230</v>
      </c>
      <c r="D398" s="68" t="s">
        <v>2809</v>
      </c>
      <c r="E398" s="68" t="s">
        <v>3053</v>
      </c>
      <c r="F398" s="68" t="s">
        <v>3047</v>
      </c>
      <c r="G398" s="68" t="s">
        <v>3048</v>
      </c>
      <c r="H398" s="68" t="s">
        <v>3058</v>
      </c>
      <c r="I398" s="68" t="s">
        <v>3050</v>
      </c>
      <c r="J398" s="68" t="s">
        <v>3394</v>
      </c>
      <c r="K398" s="69" t="s">
        <v>3394</v>
      </c>
      <c r="L398" s="69" t="str">
        <f>VLOOKUP(LinkTable6789[[#This Row],[Coluna1]],[4]AlarmCatalog!$A:$M,11,FALSE)</f>
        <v>Severidade 5</v>
      </c>
    </row>
    <row r="399" spans="1:12" s="67" customFormat="1" ht="16.5" customHeight="1" x14ac:dyDescent="0.25">
      <c r="A399" s="68" t="s">
        <v>3624</v>
      </c>
      <c r="B399" s="68" t="s">
        <v>2349</v>
      </c>
      <c r="C399" s="68" t="s">
        <v>3625</v>
      </c>
      <c r="D399" s="68" t="s">
        <v>2809</v>
      </c>
      <c r="E399" s="68" t="s">
        <v>3053</v>
      </c>
      <c r="F399" s="68" t="s">
        <v>3239</v>
      </c>
      <c r="G399" s="68" t="s">
        <v>3048</v>
      </c>
      <c r="H399" s="68" t="s">
        <v>3058</v>
      </c>
      <c r="I399" s="68" t="s">
        <v>3050</v>
      </c>
      <c r="J399" s="68" t="s">
        <v>3587</v>
      </c>
      <c r="K399" s="69" t="s">
        <v>3587</v>
      </c>
      <c r="L399" s="69" t="str">
        <f>VLOOKUP(LinkTable6789[[#This Row],[Coluna1]],[4]AlarmCatalog!$A:$M,11,FALSE)</f>
        <v>Severidade 5</v>
      </c>
    </row>
    <row r="400" spans="1:12" s="67" customFormat="1" ht="16.5" customHeight="1" x14ac:dyDescent="0.25">
      <c r="A400" s="68" t="s">
        <v>3626</v>
      </c>
      <c r="B400" s="68" t="s">
        <v>2349</v>
      </c>
      <c r="C400" s="68" t="s">
        <v>3230</v>
      </c>
      <c r="D400" s="68" t="s">
        <v>2809</v>
      </c>
      <c r="E400" s="68" t="s">
        <v>3046</v>
      </c>
      <c r="F400" s="68" t="s">
        <v>3231</v>
      </c>
      <c r="G400" s="68" t="s">
        <v>3048</v>
      </c>
      <c r="H400" s="68" t="s">
        <v>3058</v>
      </c>
      <c r="I400" s="68" t="s">
        <v>3050</v>
      </c>
      <c r="J400" s="68" t="s">
        <v>3587</v>
      </c>
      <c r="K400" s="69" t="s">
        <v>3587</v>
      </c>
      <c r="L400" s="69" t="str">
        <f>VLOOKUP(LinkTable6789[[#This Row],[Coluna1]],[4]AlarmCatalog!$A:$M,11,FALSE)</f>
        <v>Severidade 5</v>
      </c>
    </row>
    <row r="401" spans="1:12" s="67" customFormat="1" ht="16.5" customHeight="1" x14ac:dyDescent="0.25">
      <c r="A401" s="68" t="s">
        <v>3627</v>
      </c>
      <c r="B401" s="68" t="s">
        <v>2349</v>
      </c>
      <c r="C401" s="68" t="s">
        <v>3203</v>
      </c>
      <c r="D401" s="68" t="s">
        <v>2809</v>
      </c>
      <c r="E401" s="68" t="s">
        <v>3053</v>
      </c>
      <c r="F401" s="68" t="s">
        <v>3233</v>
      </c>
      <c r="G401" s="68" t="s">
        <v>3048</v>
      </c>
      <c r="H401" s="68" t="s">
        <v>3075</v>
      </c>
      <c r="I401" s="68" t="s">
        <v>3050</v>
      </c>
      <c r="J401" s="68" t="s">
        <v>3593</v>
      </c>
      <c r="K401" s="69" t="s">
        <v>3593</v>
      </c>
      <c r="L401" s="69" t="str">
        <f>VLOOKUP(LinkTable6789[[#This Row],[Coluna1]],[4]AlarmCatalog!$A:$M,11,FALSE)</f>
        <v>Severidade 5</v>
      </c>
    </row>
    <row r="402" spans="1:12" s="67" customFormat="1" ht="16.5" customHeight="1" x14ac:dyDescent="0.25">
      <c r="A402" s="68" t="s">
        <v>3628</v>
      </c>
      <c r="B402" s="68" t="s">
        <v>2349</v>
      </c>
      <c r="C402" s="68" t="s">
        <v>2985</v>
      </c>
      <c r="D402" s="68" t="s">
        <v>2809</v>
      </c>
      <c r="E402" s="68" t="s">
        <v>3053</v>
      </c>
      <c r="F402" s="68" t="s">
        <v>3629</v>
      </c>
      <c r="G402" s="68" t="s">
        <v>3048</v>
      </c>
      <c r="H402" s="68" t="s">
        <v>3058</v>
      </c>
      <c r="I402" s="68" t="s">
        <v>3050</v>
      </c>
      <c r="J402" s="68" t="s">
        <v>3593</v>
      </c>
      <c r="K402" s="69" t="s">
        <v>3593</v>
      </c>
      <c r="L402" s="69" t="str">
        <f>VLOOKUP(LinkTable6789[[#This Row],[Coluna1]],[4]AlarmCatalog!$A:$M,11,FALSE)</f>
        <v>Severidade 5</v>
      </c>
    </row>
    <row r="403" spans="1:12" s="67" customFormat="1" ht="16.5" customHeight="1" x14ac:dyDescent="0.25">
      <c r="A403" s="68" t="s">
        <v>3630</v>
      </c>
      <c r="B403" s="68" t="s">
        <v>2349</v>
      </c>
      <c r="C403" s="68" t="s">
        <v>3286</v>
      </c>
      <c r="D403" s="68" t="s">
        <v>2809</v>
      </c>
      <c r="E403" s="68" t="s">
        <v>3046</v>
      </c>
      <c r="F403" s="68" t="s">
        <v>3047</v>
      </c>
      <c r="G403" s="68" t="s">
        <v>3048</v>
      </c>
      <c r="H403" s="68" t="s">
        <v>3058</v>
      </c>
      <c r="I403" s="68" t="s">
        <v>3050</v>
      </c>
      <c r="J403" s="68" t="s">
        <v>3599</v>
      </c>
      <c r="K403" s="69" t="s">
        <v>3599</v>
      </c>
      <c r="L403" s="69" t="str">
        <f>VLOOKUP(LinkTable6789[[#This Row],[Coluna1]],[4]AlarmCatalog!$A:$M,11,FALSE)</f>
        <v>Severidade 5</v>
      </c>
    </row>
    <row r="404" spans="1:12" s="67" customFormat="1" ht="16.5" customHeight="1" x14ac:dyDescent="0.25">
      <c r="A404" s="68" t="s">
        <v>3631</v>
      </c>
      <c r="B404" s="68" t="s">
        <v>2349</v>
      </c>
      <c r="C404" s="68" t="s">
        <v>3253</v>
      </c>
      <c r="D404" s="68" t="s">
        <v>2809</v>
      </c>
      <c r="E404" s="68" t="s">
        <v>3053</v>
      </c>
      <c r="F404" s="68" t="s">
        <v>3047</v>
      </c>
      <c r="G404" s="68" t="s">
        <v>3048</v>
      </c>
      <c r="H404" s="68" t="s">
        <v>3058</v>
      </c>
      <c r="I404" s="68" t="s">
        <v>3050</v>
      </c>
      <c r="J404" s="68" t="s">
        <v>3599</v>
      </c>
      <c r="K404" s="69" t="s">
        <v>3599</v>
      </c>
      <c r="L404" s="69" t="str">
        <f>VLOOKUP(LinkTable6789[[#This Row],[Coluna1]],[4]AlarmCatalog!$A:$M,11,FALSE)</f>
        <v>Severidade 5</v>
      </c>
    </row>
    <row r="405" spans="1:12" s="67" customFormat="1" ht="16.5" customHeight="1" x14ac:dyDescent="0.25">
      <c r="A405" s="68" t="s">
        <v>3632</v>
      </c>
      <c r="B405" s="68" t="s">
        <v>2349</v>
      </c>
      <c r="C405" s="68" t="s">
        <v>3230</v>
      </c>
      <c r="D405" s="68" t="s">
        <v>2990</v>
      </c>
      <c r="E405" s="68" t="s">
        <v>3046</v>
      </c>
      <c r="F405" s="68" t="s">
        <v>3235</v>
      </c>
      <c r="G405" s="68" t="s">
        <v>3048</v>
      </c>
      <c r="H405" s="68" t="s">
        <v>3058</v>
      </c>
      <c r="I405" s="68" t="s">
        <v>3050</v>
      </c>
      <c r="J405" s="68" t="s">
        <v>3587</v>
      </c>
      <c r="K405" s="69" t="s">
        <v>3587</v>
      </c>
      <c r="L405" s="69" t="str">
        <f>VLOOKUP(LinkTable6789[[#This Row],[Coluna1]],[4]AlarmCatalog!$A:$M,11,FALSE)</f>
        <v>Severidade 5</v>
      </c>
    </row>
    <row r="406" spans="1:12" s="67" customFormat="1" ht="16.5" customHeight="1" x14ac:dyDescent="0.25">
      <c r="A406" s="68" t="s">
        <v>3633</v>
      </c>
      <c r="B406" s="68" t="s">
        <v>2349</v>
      </c>
      <c r="C406" s="68" t="s">
        <v>3230</v>
      </c>
      <c r="D406" s="68" t="s">
        <v>2990</v>
      </c>
      <c r="E406" s="68" t="s">
        <v>3053</v>
      </c>
      <c r="F406" s="68" t="s">
        <v>3047</v>
      </c>
      <c r="G406" s="68" t="s">
        <v>3048</v>
      </c>
      <c r="H406" s="68" t="s">
        <v>3058</v>
      </c>
      <c r="I406" s="68" t="s">
        <v>3050</v>
      </c>
      <c r="J406" s="68" t="s">
        <v>3394</v>
      </c>
      <c r="K406" s="69" t="s">
        <v>3394</v>
      </c>
      <c r="L406" s="69" t="str">
        <f>VLOOKUP(LinkTable6789[[#This Row],[Coluna1]],[4]AlarmCatalog!$A:$M,11,FALSE)</f>
        <v>Severidade 5</v>
      </c>
    </row>
    <row r="407" spans="1:12" s="67" customFormat="1" ht="16.5" customHeight="1" x14ac:dyDescent="0.25">
      <c r="A407" s="68" t="s">
        <v>3634</v>
      </c>
      <c r="B407" s="68" t="s">
        <v>2349</v>
      </c>
      <c r="C407" s="68" t="s">
        <v>3230</v>
      </c>
      <c r="D407" s="68" t="s">
        <v>2990</v>
      </c>
      <c r="E407" s="68" t="s">
        <v>3046</v>
      </c>
      <c r="F407" s="68" t="s">
        <v>3231</v>
      </c>
      <c r="G407" s="68" t="s">
        <v>3048</v>
      </c>
      <c r="H407" s="68" t="s">
        <v>3058</v>
      </c>
      <c r="I407" s="68" t="s">
        <v>3050</v>
      </c>
      <c r="J407" s="68" t="s">
        <v>3587</v>
      </c>
      <c r="K407" s="69" t="s">
        <v>3587</v>
      </c>
      <c r="L407" s="69" t="str">
        <f>VLOOKUP(LinkTable6789[[#This Row],[Coluna1]],[4]AlarmCatalog!$A:$M,11,FALSE)</f>
        <v>Severidade 5</v>
      </c>
    </row>
    <row r="408" spans="1:12" s="67" customFormat="1" ht="16.5" customHeight="1" x14ac:dyDescent="0.25">
      <c r="A408" s="68" t="s">
        <v>3635</v>
      </c>
      <c r="B408" s="68" t="s">
        <v>2349</v>
      </c>
      <c r="C408" s="68" t="s">
        <v>3220</v>
      </c>
      <c r="D408" s="68" t="s">
        <v>2809</v>
      </c>
      <c r="E408" s="68" t="s">
        <v>3046</v>
      </c>
      <c r="F408" s="68" t="s">
        <v>3047</v>
      </c>
      <c r="G408" s="68" t="s">
        <v>3048</v>
      </c>
      <c r="H408" s="68" t="s">
        <v>3075</v>
      </c>
      <c r="I408" s="68" t="s">
        <v>3050</v>
      </c>
      <c r="J408" s="68" t="s">
        <v>3394</v>
      </c>
      <c r="K408" s="69" t="s">
        <v>3394</v>
      </c>
      <c r="L408" s="69" t="str">
        <f>VLOOKUP(LinkTable6789[[#This Row],[Coluna1]],[4]AlarmCatalog!$A:$M,11,FALSE)</f>
        <v>Severidade 5</v>
      </c>
    </row>
    <row r="409" spans="1:12" s="67" customFormat="1" ht="16.5" customHeight="1" x14ac:dyDescent="0.25">
      <c r="A409" s="68" t="s">
        <v>1180</v>
      </c>
      <c r="B409" s="68" t="s">
        <v>2349</v>
      </c>
      <c r="C409" s="68" t="s">
        <v>2991</v>
      </c>
      <c r="D409" s="68" t="s">
        <v>2809</v>
      </c>
      <c r="E409" s="68" t="s">
        <v>3053</v>
      </c>
      <c r="F409" s="68" t="s">
        <v>3047</v>
      </c>
      <c r="G409" s="68" t="s">
        <v>3048</v>
      </c>
      <c r="H409" s="68" t="s">
        <v>3058</v>
      </c>
      <c r="I409" s="68" t="s">
        <v>3050</v>
      </c>
      <c r="J409" s="68" t="s">
        <v>3602</v>
      </c>
      <c r="K409" s="69" t="s">
        <v>3602</v>
      </c>
      <c r="L409" s="69" t="str">
        <f>VLOOKUP(LinkTable6789[[#This Row],[Coluna1]],[4]AlarmCatalog!$A:$M,11,FALSE)</f>
        <v>Severidade 5</v>
      </c>
    </row>
    <row r="410" spans="1:12" s="67" customFormat="1" ht="16.5" customHeight="1" x14ac:dyDescent="0.25">
      <c r="A410" s="68" t="s">
        <v>1237</v>
      </c>
      <c r="B410" s="68" t="s">
        <v>2349</v>
      </c>
      <c r="C410" s="68" t="s">
        <v>3374</v>
      </c>
      <c r="D410" s="68" t="s">
        <v>2990</v>
      </c>
      <c r="E410" s="68" t="s">
        <v>3053</v>
      </c>
      <c r="F410" s="68" t="s">
        <v>3047</v>
      </c>
      <c r="G410" s="68" t="s">
        <v>3048</v>
      </c>
      <c r="H410" s="68" t="s">
        <v>3058</v>
      </c>
      <c r="I410" s="68" t="s">
        <v>3050</v>
      </c>
      <c r="J410" s="68" t="s">
        <v>3602</v>
      </c>
      <c r="K410" s="69" t="s">
        <v>3602</v>
      </c>
      <c r="L410" s="69" t="str">
        <f>VLOOKUP(LinkTable6789[[#This Row],[Coluna1]],[4]AlarmCatalog!$A:$M,11,FALSE)</f>
        <v>Severidade 5</v>
      </c>
    </row>
    <row r="411" spans="1:12" s="67" customFormat="1" ht="16.5" customHeight="1" x14ac:dyDescent="0.25">
      <c r="A411" s="68" t="s">
        <v>3636</v>
      </c>
      <c r="B411" s="68" t="s">
        <v>2349</v>
      </c>
      <c r="C411" s="68" t="s">
        <v>2989</v>
      </c>
      <c r="D411" s="68" t="s">
        <v>2809</v>
      </c>
      <c r="E411" s="68" t="s">
        <v>3053</v>
      </c>
      <c r="F411" s="68" t="s">
        <v>3047</v>
      </c>
      <c r="G411" s="68" t="s">
        <v>3048</v>
      </c>
      <c r="H411" s="68" t="s">
        <v>3058</v>
      </c>
      <c r="I411" s="68" t="s">
        <v>3050</v>
      </c>
      <c r="J411" s="68" t="s">
        <v>3599</v>
      </c>
      <c r="K411" s="69" t="s">
        <v>3599</v>
      </c>
      <c r="L411" s="69" t="str">
        <f>VLOOKUP(LinkTable6789[[#This Row],[Coluna1]],[4]AlarmCatalog!$A:$M,11,FALSE)</f>
        <v>Severidade 5</v>
      </c>
    </row>
    <row r="412" spans="1:12" s="67" customFormat="1" ht="16.5" customHeight="1" x14ac:dyDescent="0.25">
      <c r="A412" s="68" t="s">
        <v>3637</v>
      </c>
      <c r="B412" s="68" t="s">
        <v>2349</v>
      </c>
      <c r="C412" s="68" t="s">
        <v>3094</v>
      </c>
      <c r="D412" s="68" t="s">
        <v>2809</v>
      </c>
      <c r="E412" s="68" t="s">
        <v>2809</v>
      </c>
      <c r="F412" s="68" t="s">
        <v>3047</v>
      </c>
      <c r="G412" s="68" t="s">
        <v>3048</v>
      </c>
      <c r="H412" s="68" t="s">
        <v>3058</v>
      </c>
      <c r="I412" s="68" t="s">
        <v>3050</v>
      </c>
      <c r="J412" s="68" t="s">
        <v>3599</v>
      </c>
      <c r="K412" s="69" t="s">
        <v>3599</v>
      </c>
      <c r="L412" s="69" t="str">
        <f>VLOOKUP(LinkTable6789[[#This Row],[Coluna1]],[4]AlarmCatalog!$A:$M,11,FALSE)</f>
        <v>Severidade 5</v>
      </c>
    </row>
    <row r="413" spans="1:12" s="67" customFormat="1" ht="16.5" customHeight="1" x14ac:dyDescent="0.25">
      <c r="A413" s="68" t="s">
        <v>3638</v>
      </c>
      <c r="B413" s="68" t="s">
        <v>2349</v>
      </c>
      <c r="C413" s="68" t="s">
        <v>3094</v>
      </c>
      <c r="D413" s="68" t="s">
        <v>2809</v>
      </c>
      <c r="E413" s="68" t="s">
        <v>3046</v>
      </c>
      <c r="F413" s="68" t="s">
        <v>3180</v>
      </c>
      <c r="G413" s="68" t="s">
        <v>3048</v>
      </c>
      <c r="H413" s="68" t="s">
        <v>3068</v>
      </c>
      <c r="I413" s="68" t="s">
        <v>3050</v>
      </c>
      <c r="J413" s="68" t="s">
        <v>3593</v>
      </c>
      <c r="K413" s="69" t="s">
        <v>3593</v>
      </c>
      <c r="L413" s="69" t="str">
        <f>VLOOKUP(LinkTable6789[[#This Row],[Coluna1]],[4]AlarmCatalog!$A:$M,11,FALSE)</f>
        <v>Severidade 5</v>
      </c>
    </row>
    <row r="414" spans="1:12" s="67" customFormat="1" ht="16.5" customHeight="1" x14ac:dyDescent="0.25">
      <c r="A414" s="68" t="s">
        <v>3639</v>
      </c>
      <c r="B414" s="68" t="s">
        <v>2349</v>
      </c>
      <c r="C414" s="68" t="s">
        <v>2991</v>
      </c>
      <c r="D414" s="68" t="s">
        <v>2809</v>
      </c>
      <c r="E414" s="68" t="s">
        <v>3046</v>
      </c>
      <c r="F414" s="68" t="s">
        <v>3047</v>
      </c>
      <c r="G414" s="68" t="s">
        <v>3048</v>
      </c>
      <c r="H414" s="68" t="s">
        <v>3058</v>
      </c>
      <c r="I414" s="68" t="s">
        <v>3050</v>
      </c>
      <c r="J414" s="68" t="s">
        <v>3599</v>
      </c>
      <c r="K414" s="69" t="s">
        <v>3599</v>
      </c>
      <c r="L414" s="69" t="str">
        <f>VLOOKUP(LinkTable6789[[#This Row],[Coluna1]],[4]AlarmCatalog!$A:$M,11,FALSE)</f>
        <v>Severidade 5</v>
      </c>
    </row>
    <row r="415" spans="1:12" s="67" customFormat="1" ht="16.5" customHeight="1" x14ac:dyDescent="0.25">
      <c r="A415" s="68" t="s">
        <v>3640</v>
      </c>
      <c r="B415" s="68" t="s">
        <v>2349</v>
      </c>
      <c r="C415" s="68" t="s">
        <v>3374</v>
      </c>
      <c r="D415" s="68" t="s">
        <v>2990</v>
      </c>
      <c r="E415" s="68" t="s">
        <v>3053</v>
      </c>
      <c r="F415" s="68" t="s">
        <v>3641</v>
      </c>
      <c r="G415" s="68" t="s">
        <v>3048</v>
      </c>
      <c r="H415" s="68" t="s">
        <v>3075</v>
      </c>
      <c r="I415" s="68" t="s">
        <v>3050</v>
      </c>
      <c r="J415" s="68" t="s">
        <v>3593</v>
      </c>
      <c r="K415" s="69" t="s">
        <v>3593</v>
      </c>
      <c r="L415" s="69" t="str">
        <f>VLOOKUP(LinkTable6789[[#This Row],[Coluna1]],[4]AlarmCatalog!$A:$M,11,FALSE)</f>
        <v>Severidade 5</v>
      </c>
    </row>
    <row r="416" spans="1:12" s="67" customFormat="1" ht="16.5" customHeight="1" x14ac:dyDescent="0.25">
      <c r="A416" s="68" t="s">
        <v>3642</v>
      </c>
      <c r="B416" s="68" t="s">
        <v>2349</v>
      </c>
      <c r="C416" s="68" t="s">
        <v>2982</v>
      </c>
      <c r="D416" s="68" t="s">
        <v>2809</v>
      </c>
      <c r="E416" s="68" t="s">
        <v>3046</v>
      </c>
      <c r="F416" s="68" t="s">
        <v>3047</v>
      </c>
      <c r="G416" s="68" t="s">
        <v>3048</v>
      </c>
      <c r="H416" s="68" t="s">
        <v>3058</v>
      </c>
      <c r="I416" s="68" t="s">
        <v>3050</v>
      </c>
      <c r="J416" s="68" t="s">
        <v>3160</v>
      </c>
      <c r="K416" s="69" t="s">
        <v>3160</v>
      </c>
      <c r="L416" s="69" t="str">
        <f>VLOOKUP(LinkTable6789[[#This Row],[Coluna1]],[4]AlarmCatalog!$A:$M,11,FALSE)</f>
        <v>Severidade 8</v>
      </c>
    </row>
    <row r="417" spans="1:12" s="67" customFormat="1" ht="16.5" customHeight="1" x14ac:dyDescent="0.25">
      <c r="A417" s="68" t="s">
        <v>1207</v>
      </c>
      <c r="B417" s="68" t="s">
        <v>2349</v>
      </c>
      <c r="C417" s="68" t="s">
        <v>3212</v>
      </c>
      <c r="D417" s="68" t="s">
        <v>2809</v>
      </c>
      <c r="E417" s="68" t="s">
        <v>3053</v>
      </c>
      <c r="F417" s="68" t="s">
        <v>3213</v>
      </c>
      <c r="G417" s="68" t="s">
        <v>3048</v>
      </c>
      <c r="H417" s="68" t="s">
        <v>3075</v>
      </c>
      <c r="I417" s="68" t="s">
        <v>3050</v>
      </c>
      <c r="J417" s="68" t="s">
        <v>3593</v>
      </c>
      <c r="K417" s="69" t="s">
        <v>3593</v>
      </c>
      <c r="L417" s="69" t="str">
        <f>VLOOKUP(LinkTable6789[[#This Row],[Coluna1]],[4]AlarmCatalog!$A:$M,11,FALSE)</f>
        <v>Severidade 5</v>
      </c>
    </row>
    <row r="418" spans="1:12" s="67" customFormat="1" ht="16.5" customHeight="1" x14ac:dyDescent="0.25">
      <c r="A418" s="68" t="s">
        <v>3643</v>
      </c>
      <c r="B418" s="68" t="s">
        <v>2349</v>
      </c>
      <c r="C418" s="68" t="s">
        <v>2985</v>
      </c>
      <c r="D418" s="68" t="s">
        <v>2809</v>
      </c>
      <c r="E418" s="68" t="s">
        <v>3046</v>
      </c>
      <c r="F418" s="68" t="s">
        <v>3047</v>
      </c>
      <c r="G418" s="68" t="s">
        <v>3048</v>
      </c>
      <c r="H418" s="68" t="s">
        <v>3075</v>
      </c>
      <c r="I418" s="68" t="s">
        <v>3050</v>
      </c>
      <c r="J418" s="68" t="s">
        <v>3602</v>
      </c>
      <c r="K418" s="69" t="s">
        <v>3602</v>
      </c>
      <c r="L418" s="69" t="str">
        <f>VLOOKUP(LinkTable6789[[#This Row],[Coluna1]],[4]AlarmCatalog!$A:$M,11,FALSE)</f>
        <v>Severidade 5</v>
      </c>
    </row>
    <row r="419" spans="1:12" s="67" customFormat="1" ht="16.5" customHeight="1" x14ac:dyDescent="0.25">
      <c r="A419" s="70" t="s">
        <v>1181</v>
      </c>
      <c r="B419" s="68" t="s">
        <v>2349</v>
      </c>
      <c r="C419" s="68" t="s">
        <v>3601</v>
      </c>
      <c r="D419" s="68" t="s">
        <v>2809</v>
      </c>
      <c r="E419" s="68" t="s">
        <v>3053</v>
      </c>
      <c r="F419" s="68" t="s">
        <v>3047</v>
      </c>
      <c r="G419" s="68" t="s">
        <v>3048</v>
      </c>
      <c r="H419" s="68" t="s">
        <v>3058</v>
      </c>
      <c r="I419" s="68" t="s">
        <v>3050</v>
      </c>
      <c r="J419" s="68" t="s">
        <v>3599</v>
      </c>
      <c r="K419" s="69" t="s">
        <v>3602</v>
      </c>
      <c r="L419" s="69" t="str">
        <f>VLOOKUP(LinkTable6789[[#This Row],[Coluna1]],[4]AlarmCatalog!$A:$M,11,FALSE)</f>
        <v>Severidade 5</v>
      </c>
    </row>
    <row r="420" spans="1:12" s="67" customFormat="1" ht="16.5" customHeight="1" x14ac:dyDescent="0.25">
      <c r="A420" s="68" t="s">
        <v>3644</v>
      </c>
      <c r="B420" s="68" t="s">
        <v>2349</v>
      </c>
      <c r="C420" s="68" t="s">
        <v>3645</v>
      </c>
      <c r="D420" s="68" t="s">
        <v>2809</v>
      </c>
      <c r="E420" s="68" t="s">
        <v>3053</v>
      </c>
      <c r="F420" s="68" t="s">
        <v>3047</v>
      </c>
      <c r="G420" s="68" t="s">
        <v>3048</v>
      </c>
      <c r="H420" s="68" t="s">
        <v>3058</v>
      </c>
      <c r="I420" s="68" t="s">
        <v>3050</v>
      </c>
      <c r="J420" s="68" t="s">
        <v>3599</v>
      </c>
      <c r="K420" s="69" t="s">
        <v>3599</v>
      </c>
      <c r="L420" s="69" t="str">
        <f>VLOOKUP(LinkTable6789[[#This Row],[Coluna1]],[4]AlarmCatalog!$A:$M,11,FALSE)</f>
        <v>Severidade 5</v>
      </c>
    </row>
    <row r="421" spans="1:12" s="67" customFormat="1" ht="16.5" customHeight="1" x14ac:dyDescent="0.25">
      <c r="A421" s="68" t="s">
        <v>3646</v>
      </c>
      <c r="B421" s="68" t="s">
        <v>2349</v>
      </c>
      <c r="C421" s="68" t="s">
        <v>3647</v>
      </c>
      <c r="D421" s="68" t="s">
        <v>2809</v>
      </c>
      <c r="E421" s="68" t="s">
        <v>3053</v>
      </c>
      <c r="F421" s="68" t="s">
        <v>3648</v>
      </c>
      <c r="G421" s="68" t="s">
        <v>3586</v>
      </c>
      <c r="H421" s="68" t="s">
        <v>3068</v>
      </c>
      <c r="I421" s="68" t="s">
        <v>3124</v>
      </c>
      <c r="J421" s="68" t="s">
        <v>3587</v>
      </c>
      <c r="K421" s="69" t="s">
        <v>3587</v>
      </c>
      <c r="L421" s="69" t="str">
        <f>VLOOKUP(LinkTable6789[[#This Row],[Coluna1]],[4]AlarmCatalog!$A:$M,11,FALSE)</f>
        <v>Severidade 5</v>
      </c>
    </row>
    <row r="422" spans="1:12" s="67" customFormat="1" ht="16.5" customHeight="1" x14ac:dyDescent="0.25">
      <c r="A422" s="68" t="s">
        <v>3649</v>
      </c>
      <c r="B422" s="68" t="s">
        <v>2349</v>
      </c>
      <c r="C422" s="68" t="s">
        <v>3650</v>
      </c>
      <c r="D422" s="68" t="s">
        <v>2809</v>
      </c>
      <c r="E422" s="68" t="s">
        <v>3053</v>
      </c>
      <c r="F422" s="68" t="s">
        <v>3651</v>
      </c>
      <c r="G422" s="68" t="s">
        <v>3586</v>
      </c>
      <c r="H422" s="68" t="s">
        <v>3068</v>
      </c>
      <c r="I422" s="68" t="s">
        <v>3124</v>
      </c>
      <c r="J422" s="68" t="s">
        <v>3587</v>
      </c>
      <c r="K422" s="69" t="s">
        <v>3587</v>
      </c>
      <c r="L422" s="69" t="str">
        <f>VLOOKUP(LinkTable6789[[#This Row],[Coluna1]],[4]AlarmCatalog!$A:$M,11,FALSE)</f>
        <v>Severidade 5</v>
      </c>
    </row>
    <row r="423" spans="1:12" s="67" customFormat="1" ht="16.5" customHeight="1" x14ac:dyDescent="0.25">
      <c r="A423" s="68" t="s">
        <v>3652</v>
      </c>
      <c r="B423" s="68" t="s">
        <v>2349</v>
      </c>
      <c r="C423" s="68" t="s">
        <v>3374</v>
      </c>
      <c r="D423" s="68" t="s">
        <v>2990</v>
      </c>
      <c r="E423" s="68" t="s">
        <v>3046</v>
      </c>
      <c r="F423" s="68" t="s">
        <v>3047</v>
      </c>
      <c r="G423" s="68" t="s">
        <v>3048</v>
      </c>
      <c r="H423" s="68" t="s">
        <v>3075</v>
      </c>
      <c r="I423" s="68" t="s">
        <v>3050</v>
      </c>
      <c r="J423" s="68" t="s">
        <v>3602</v>
      </c>
      <c r="K423" s="69" t="s">
        <v>3602</v>
      </c>
      <c r="L423" s="69" t="str">
        <f>VLOOKUP(LinkTable6789[[#This Row],[Coluna1]],[4]AlarmCatalog!$A:$M,11,FALSE)</f>
        <v>Severidade 5</v>
      </c>
    </row>
    <row r="424" spans="1:12" s="67" customFormat="1" ht="16.5" customHeight="1" x14ac:dyDescent="0.25">
      <c r="A424" s="68" t="s">
        <v>3653</v>
      </c>
      <c r="B424" s="68" t="s">
        <v>2349</v>
      </c>
      <c r="C424" s="68" t="s">
        <v>2985</v>
      </c>
      <c r="D424" s="68" t="s">
        <v>2809</v>
      </c>
      <c r="E424" s="68" t="s">
        <v>3053</v>
      </c>
      <c r="F424" s="68" t="s">
        <v>3047</v>
      </c>
      <c r="G424" s="68" t="s">
        <v>3048</v>
      </c>
      <c r="H424" s="68" t="s">
        <v>3075</v>
      </c>
      <c r="I424" s="68" t="s">
        <v>3050</v>
      </c>
      <c r="J424" s="68" t="s">
        <v>3602</v>
      </c>
      <c r="K424" s="69" t="s">
        <v>3602</v>
      </c>
      <c r="L424" s="69" t="str">
        <f>VLOOKUP(LinkTable6789[[#This Row],[Coluna1]],[4]AlarmCatalog!$A:$M,11,FALSE)</f>
        <v>Severidade 5</v>
      </c>
    </row>
    <row r="425" spans="1:12" s="67" customFormat="1" ht="16.5" customHeight="1" x14ac:dyDescent="0.25">
      <c r="A425" s="68" t="s">
        <v>3654</v>
      </c>
      <c r="B425" s="68" t="s">
        <v>2349</v>
      </c>
      <c r="C425" s="68" t="s">
        <v>2985</v>
      </c>
      <c r="D425" s="68" t="s">
        <v>2809</v>
      </c>
      <c r="E425" s="68" t="s">
        <v>3053</v>
      </c>
      <c r="F425" s="68" t="s">
        <v>3655</v>
      </c>
      <c r="G425" s="68" t="s">
        <v>3048</v>
      </c>
      <c r="H425" s="68" t="s">
        <v>3075</v>
      </c>
      <c r="I425" s="68" t="s">
        <v>3050</v>
      </c>
      <c r="J425" s="68" t="s">
        <v>3593</v>
      </c>
      <c r="K425" s="69" t="s">
        <v>3593</v>
      </c>
      <c r="L425" s="69" t="str">
        <f>VLOOKUP(LinkTable6789[[#This Row],[Coluna1]],[4]AlarmCatalog!$A:$M,11,FALSE)</f>
        <v>Severidade 5</v>
      </c>
    </row>
    <row r="426" spans="1:12" s="67" customFormat="1" ht="16.5" customHeight="1" x14ac:dyDescent="0.25">
      <c r="A426" s="68" t="s">
        <v>3656</v>
      </c>
      <c r="B426" s="68" t="s">
        <v>2349</v>
      </c>
      <c r="C426" s="68" t="s">
        <v>3657</v>
      </c>
      <c r="D426" s="68" t="s">
        <v>2809</v>
      </c>
      <c r="E426" s="68" t="s">
        <v>3053</v>
      </c>
      <c r="F426" s="68" t="s">
        <v>3658</v>
      </c>
      <c r="G426" s="68" t="s">
        <v>3586</v>
      </c>
      <c r="H426" s="68" t="s">
        <v>3068</v>
      </c>
      <c r="I426" s="68" t="s">
        <v>3124</v>
      </c>
      <c r="J426" s="68" t="s">
        <v>3587</v>
      </c>
      <c r="K426" s="69" t="s">
        <v>3587</v>
      </c>
      <c r="L426" s="69" t="str">
        <f>VLOOKUP(LinkTable6789[[#This Row],[Coluna1]],[4]AlarmCatalog!$A:$M,11,FALSE)</f>
        <v>Severidade 5</v>
      </c>
    </row>
    <row r="427" spans="1:12" s="67" customFormat="1" ht="16.5" customHeight="1" x14ac:dyDescent="0.25">
      <c r="A427" s="68" t="s">
        <v>3659</v>
      </c>
      <c r="B427" s="68" t="s">
        <v>2349</v>
      </c>
      <c r="C427" s="68" t="s">
        <v>3660</v>
      </c>
      <c r="D427" s="68" t="s">
        <v>2809</v>
      </c>
      <c r="E427" s="68" t="s">
        <v>2809</v>
      </c>
      <c r="F427" s="68" t="s">
        <v>3047</v>
      </c>
      <c r="G427" s="68" t="s">
        <v>3122</v>
      </c>
      <c r="H427" s="68" t="s">
        <v>3123</v>
      </c>
      <c r="I427" s="68" t="s">
        <v>3124</v>
      </c>
      <c r="J427" s="68" t="s">
        <v>3587</v>
      </c>
      <c r="K427" s="69" t="s">
        <v>3587</v>
      </c>
      <c r="L427" s="69" t="str">
        <f>VLOOKUP(LinkTable6789[[#This Row],[Coluna1]],[4]AlarmCatalog!$A:$M,11,FALSE)</f>
        <v>Severidade 5</v>
      </c>
    </row>
    <row r="428" spans="1:12" s="67" customFormat="1" ht="16.5" customHeight="1" x14ac:dyDescent="0.25">
      <c r="A428" s="68" t="s">
        <v>3661</v>
      </c>
      <c r="B428" s="68" t="s">
        <v>2349</v>
      </c>
      <c r="C428" s="68" t="s">
        <v>3662</v>
      </c>
      <c r="D428" s="68" t="s">
        <v>2809</v>
      </c>
      <c r="E428" s="68" t="s">
        <v>3053</v>
      </c>
      <c r="F428" s="68" t="s">
        <v>3107</v>
      </c>
      <c r="G428" s="68" t="s">
        <v>3586</v>
      </c>
      <c r="H428" s="68" t="s">
        <v>3068</v>
      </c>
      <c r="I428" s="68" t="s">
        <v>3124</v>
      </c>
      <c r="J428" s="68" t="s">
        <v>3587</v>
      </c>
      <c r="K428" s="69" t="s">
        <v>3587</v>
      </c>
      <c r="L428" s="69" t="str">
        <f>VLOOKUP(LinkTable6789[[#This Row],[Coluna1]],[4]AlarmCatalog!$A:$M,11,FALSE)</f>
        <v>Severidade 5</v>
      </c>
    </row>
    <row r="429" spans="1:12" s="67" customFormat="1" ht="16.5" customHeight="1" x14ac:dyDescent="0.25">
      <c r="A429" s="68" t="s">
        <v>3663</v>
      </c>
      <c r="B429" s="68" t="s">
        <v>2349</v>
      </c>
      <c r="C429" s="68" t="s">
        <v>3664</v>
      </c>
      <c r="D429" s="68" t="s">
        <v>2809</v>
      </c>
      <c r="E429" s="68" t="s">
        <v>3053</v>
      </c>
      <c r="F429" s="68" t="s">
        <v>3665</v>
      </c>
      <c r="G429" s="68" t="s">
        <v>3586</v>
      </c>
      <c r="H429" s="68" t="s">
        <v>3068</v>
      </c>
      <c r="I429" s="68" t="s">
        <v>3124</v>
      </c>
      <c r="J429" s="68" t="s">
        <v>3587</v>
      </c>
      <c r="K429" s="69" t="s">
        <v>3587</v>
      </c>
      <c r="L429" s="69" t="str">
        <f>VLOOKUP(LinkTable6789[[#This Row],[Coluna1]],[4]AlarmCatalog!$A:$M,11,FALSE)</f>
        <v>Severidade 5</v>
      </c>
    </row>
    <row r="430" spans="1:12" s="67" customFormat="1" ht="16.5" customHeight="1" x14ac:dyDescent="0.25">
      <c r="A430" s="68" t="s">
        <v>3666</v>
      </c>
      <c r="B430" s="68" t="s">
        <v>2349</v>
      </c>
      <c r="C430" s="68" t="s">
        <v>2982</v>
      </c>
      <c r="D430" s="68" t="s">
        <v>2809</v>
      </c>
      <c r="E430" s="68" t="s">
        <v>3053</v>
      </c>
      <c r="F430" s="68" t="s">
        <v>3047</v>
      </c>
      <c r="G430" s="68" t="s">
        <v>3048</v>
      </c>
      <c r="H430" s="68" t="s">
        <v>3058</v>
      </c>
      <c r="I430" s="68" t="s">
        <v>3050</v>
      </c>
      <c r="J430" s="68" t="s">
        <v>3125</v>
      </c>
      <c r="K430" s="69" t="s">
        <v>3125</v>
      </c>
      <c r="L430" s="69" t="str">
        <f>VLOOKUP(LinkTable6789[[#This Row],[Coluna1]],[4]AlarmCatalog!$A:$M,11,FALSE)</f>
        <v>Severidade 8</v>
      </c>
    </row>
    <row r="431" spans="1:12" s="67" customFormat="1" ht="16.5" customHeight="1" x14ac:dyDescent="0.25">
      <c r="A431" s="68" t="s">
        <v>3667</v>
      </c>
      <c r="B431" s="68" t="s">
        <v>2349</v>
      </c>
      <c r="C431" s="68" t="s">
        <v>3645</v>
      </c>
      <c r="D431" s="68" t="s">
        <v>2809</v>
      </c>
      <c r="E431" s="68" t="s">
        <v>3046</v>
      </c>
      <c r="F431" s="68" t="s">
        <v>3047</v>
      </c>
      <c r="G431" s="68" t="s">
        <v>3048</v>
      </c>
      <c r="H431" s="68" t="s">
        <v>3058</v>
      </c>
      <c r="I431" s="68" t="s">
        <v>3050</v>
      </c>
      <c r="J431" s="68" t="s">
        <v>3599</v>
      </c>
      <c r="K431" s="69" t="s">
        <v>3599</v>
      </c>
      <c r="L431" s="69" t="str">
        <f>VLOOKUP(LinkTable6789[[#This Row],[Coluna1]],[4]AlarmCatalog!$A:$M,11,FALSE)</f>
        <v>Severidade 5</v>
      </c>
    </row>
    <row r="432" spans="1:12" s="67" customFormat="1" ht="16.5" customHeight="1" x14ac:dyDescent="0.25">
      <c r="A432" s="68" t="s">
        <v>3668</v>
      </c>
      <c r="B432" s="68" t="s">
        <v>2349</v>
      </c>
      <c r="C432" s="68" t="s">
        <v>3094</v>
      </c>
      <c r="D432" s="68" t="s">
        <v>2809</v>
      </c>
      <c r="E432" s="68" t="s">
        <v>3053</v>
      </c>
      <c r="F432" s="68" t="s">
        <v>3047</v>
      </c>
      <c r="G432" s="68" t="s">
        <v>3048</v>
      </c>
      <c r="H432" s="68" t="s">
        <v>3058</v>
      </c>
      <c r="I432" s="68" t="s">
        <v>3050</v>
      </c>
      <c r="J432" s="68" t="s">
        <v>3599</v>
      </c>
      <c r="K432" s="69" t="s">
        <v>3599</v>
      </c>
      <c r="L432" s="69" t="str">
        <f>VLOOKUP(LinkTable6789[[#This Row],[Coluna1]],[4]AlarmCatalog!$A:$M,11,FALSE)</f>
        <v>Severidade 5</v>
      </c>
    </row>
    <row r="433" spans="1:12" s="67" customFormat="1" ht="16.5" customHeight="1" x14ac:dyDescent="0.25">
      <c r="A433" s="68" t="s">
        <v>3669</v>
      </c>
      <c r="B433" s="68" t="s">
        <v>2349</v>
      </c>
      <c r="C433" s="68" t="s">
        <v>3094</v>
      </c>
      <c r="D433" s="68" t="s">
        <v>2809</v>
      </c>
      <c r="E433" s="68" t="s">
        <v>3046</v>
      </c>
      <c r="F433" s="68" t="s">
        <v>3047</v>
      </c>
      <c r="G433" s="68" t="s">
        <v>3048</v>
      </c>
      <c r="H433" s="68" t="s">
        <v>3075</v>
      </c>
      <c r="I433" s="68" t="s">
        <v>3050</v>
      </c>
      <c r="J433" s="68" t="s">
        <v>3602</v>
      </c>
      <c r="K433" s="69" t="s">
        <v>3602</v>
      </c>
      <c r="L433" s="69" t="str">
        <f>VLOOKUP(LinkTable6789[[#This Row],[Coluna1]],[4]AlarmCatalog!$A:$M,11,FALSE)</f>
        <v>Severidade 5</v>
      </c>
    </row>
    <row r="434" spans="1:12" s="67" customFormat="1" ht="16.5" customHeight="1" x14ac:dyDescent="0.25">
      <c r="A434" s="68" t="s">
        <v>3670</v>
      </c>
      <c r="B434" s="68" t="s">
        <v>2349</v>
      </c>
      <c r="C434" s="68" t="s">
        <v>3094</v>
      </c>
      <c r="D434" s="68" t="s">
        <v>2809</v>
      </c>
      <c r="E434" s="68" t="s">
        <v>3053</v>
      </c>
      <c r="F434" s="68" t="s">
        <v>3180</v>
      </c>
      <c r="G434" s="68" t="s">
        <v>3048</v>
      </c>
      <c r="H434" s="68" t="s">
        <v>3075</v>
      </c>
      <c r="I434" s="68" t="s">
        <v>3050</v>
      </c>
      <c r="J434" s="68" t="s">
        <v>3602</v>
      </c>
      <c r="K434" s="69" t="s">
        <v>3602</v>
      </c>
      <c r="L434" s="69" t="str">
        <f>VLOOKUP(LinkTable6789[[#This Row],[Coluna1]],[4]AlarmCatalog!$A:$M,11,FALSE)</f>
        <v>Severidade 5</v>
      </c>
    </row>
    <row r="435" spans="1:12" s="67" customFormat="1" ht="16.5" customHeight="1" x14ac:dyDescent="0.25">
      <c r="A435" s="68" t="s">
        <v>3671</v>
      </c>
      <c r="B435" s="68" t="s">
        <v>2349</v>
      </c>
      <c r="C435" s="68" t="s">
        <v>3165</v>
      </c>
      <c r="D435" s="68" t="s">
        <v>2809</v>
      </c>
      <c r="E435" s="68" t="s">
        <v>2809</v>
      </c>
      <c r="F435" s="68" t="s">
        <v>3165</v>
      </c>
      <c r="G435" s="68" t="s">
        <v>3122</v>
      </c>
      <c r="H435" s="68" t="s">
        <v>3123</v>
      </c>
      <c r="I435" s="68" t="s">
        <v>3124</v>
      </c>
      <c r="J435" s="68" t="s">
        <v>3587</v>
      </c>
      <c r="K435" s="69" t="s">
        <v>3587</v>
      </c>
      <c r="L435" s="69" t="str">
        <f>VLOOKUP(LinkTable6789[[#This Row],[Coluna1]],[4]AlarmCatalog!$A:$M,11,FALSE)</f>
        <v>Severidade 5</v>
      </c>
    </row>
    <row r="436" spans="1:12" s="67" customFormat="1" ht="16.5" customHeight="1" x14ac:dyDescent="0.25">
      <c r="A436" s="68" t="s">
        <v>3672</v>
      </c>
      <c r="B436" s="68" t="s">
        <v>2349</v>
      </c>
      <c r="C436" s="68" t="s">
        <v>3103</v>
      </c>
      <c r="D436" s="68" t="s">
        <v>2809</v>
      </c>
      <c r="E436" s="68" t="s">
        <v>3053</v>
      </c>
      <c r="F436" s="68" t="s">
        <v>3239</v>
      </c>
      <c r="G436" s="68" t="s">
        <v>3048</v>
      </c>
      <c r="H436" s="68" t="s">
        <v>3058</v>
      </c>
      <c r="I436" s="68" t="s">
        <v>3050</v>
      </c>
      <c r="J436" s="68" t="s">
        <v>3587</v>
      </c>
      <c r="K436" s="69" t="s">
        <v>3587</v>
      </c>
      <c r="L436" s="69" t="str">
        <f>VLOOKUP(LinkTable6789[[#This Row],[Coluna1]],[4]AlarmCatalog!$A:$M,11,FALSE)</f>
        <v>Severidade 5</v>
      </c>
    </row>
    <row r="437" spans="1:12" s="67" customFormat="1" ht="16.5" customHeight="1" x14ac:dyDescent="0.25">
      <c r="A437" s="68" t="s">
        <v>3673</v>
      </c>
      <c r="B437" s="68" t="s">
        <v>2349</v>
      </c>
      <c r="C437" s="68" t="s">
        <v>3230</v>
      </c>
      <c r="D437" s="68" t="s">
        <v>2990</v>
      </c>
      <c r="E437" s="68" t="s">
        <v>3053</v>
      </c>
      <c r="F437" s="68" t="s">
        <v>3231</v>
      </c>
      <c r="G437" s="68" t="s">
        <v>3048</v>
      </c>
      <c r="H437" s="68" t="s">
        <v>3058</v>
      </c>
      <c r="I437" s="68" t="s">
        <v>3050</v>
      </c>
      <c r="J437" s="68" t="s">
        <v>3587</v>
      </c>
      <c r="K437" s="69" t="s">
        <v>3587</v>
      </c>
      <c r="L437" s="69" t="str">
        <f>VLOOKUP(LinkTable6789[[#This Row],[Coluna1]],[4]AlarmCatalog!$A:$M,11,FALSE)</f>
        <v>Severidade 5</v>
      </c>
    </row>
    <row r="438" spans="1:12" s="67" customFormat="1" ht="16.5" customHeight="1" x14ac:dyDescent="0.25">
      <c r="A438" s="68" t="s">
        <v>1206</v>
      </c>
      <c r="B438" s="68" t="s">
        <v>2349</v>
      </c>
      <c r="C438" s="68" t="s">
        <v>3220</v>
      </c>
      <c r="D438" s="68" t="s">
        <v>2809</v>
      </c>
      <c r="E438" s="68" t="s">
        <v>3053</v>
      </c>
      <c r="F438" s="68" t="s">
        <v>3145</v>
      </c>
      <c r="G438" s="68" t="s">
        <v>3048</v>
      </c>
      <c r="H438" s="68" t="s">
        <v>3075</v>
      </c>
      <c r="I438" s="68" t="s">
        <v>3050</v>
      </c>
      <c r="J438" s="68" t="s">
        <v>3593</v>
      </c>
      <c r="K438" s="69" t="s">
        <v>3593</v>
      </c>
      <c r="L438" s="69" t="str">
        <f>VLOOKUP(LinkTable6789[[#This Row],[Coluna1]],[4]AlarmCatalog!$A:$M,11,FALSE)</f>
        <v>Severidade 5</v>
      </c>
    </row>
    <row r="439" spans="1:12" s="67" customFormat="1" ht="16.5" customHeight="1" x14ac:dyDescent="0.25">
      <c r="A439" s="68" t="s">
        <v>3674</v>
      </c>
      <c r="B439" s="68" t="s">
        <v>2349</v>
      </c>
      <c r="C439" s="68" t="s">
        <v>3103</v>
      </c>
      <c r="D439" s="68" t="s">
        <v>2809</v>
      </c>
      <c r="E439" s="68" t="s">
        <v>3053</v>
      </c>
      <c r="F439" s="68" t="s">
        <v>3047</v>
      </c>
      <c r="G439" s="68" t="s">
        <v>3048</v>
      </c>
      <c r="H439" s="68" t="s">
        <v>3075</v>
      </c>
      <c r="I439" s="68" t="s">
        <v>3050</v>
      </c>
      <c r="J439" s="68" t="s">
        <v>3602</v>
      </c>
      <c r="K439" s="69" t="s">
        <v>3602</v>
      </c>
      <c r="L439" s="69" t="str">
        <f>VLOOKUP(LinkTable6789[[#This Row],[Coluna1]],[4]AlarmCatalog!$A:$M,11,FALSE)</f>
        <v>Severidade 5</v>
      </c>
    </row>
    <row r="440" spans="1:12" s="67" customFormat="1" ht="16.5" customHeight="1" x14ac:dyDescent="0.25">
      <c r="A440" s="68" t="s">
        <v>3675</v>
      </c>
      <c r="B440" s="68" t="s">
        <v>2349</v>
      </c>
      <c r="C440" s="68" t="s">
        <v>2985</v>
      </c>
      <c r="D440" s="68" t="s">
        <v>2809</v>
      </c>
      <c r="E440" s="68" t="s">
        <v>3053</v>
      </c>
      <c r="F440" s="68" t="s">
        <v>3629</v>
      </c>
      <c r="G440" s="68" t="s">
        <v>3048</v>
      </c>
      <c r="H440" s="68" t="s">
        <v>3075</v>
      </c>
      <c r="I440" s="68" t="s">
        <v>3050</v>
      </c>
      <c r="J440" s="68" t="s">
        <v>3587</v>
      </c>
      <c r="K440" s="69" t="s">
        <v>3587</v>
      </c>
      <c r="L440" s="69" t="str">
        <f>VLOOKUP(LinkTable6789[[#This Row],[Coluna1]],[4]AlarmCatalog!$A:$M,11,FALSE)</f>
        <v>Severidade 5</v>
      </c>
    </row>
    <row r="441" spans="1:12" s="67" customFormat="1" ht="16.5" customHeight="1" x14ac:dyDescent="0.25">
      <c r="A441" s="68" t="s">
        <v>1205</v>
      </c>
      <c r="B441" s="68" t="s">
        <v>2349</v>
      </c>
      <c r="C441" s="68" t="s">
        <v>3103</v>
      </c>
      <c r="D441" s="68" t="s">
        <v>2809</v>
      </c>
      <c r="E441" s="68" t="s">
        <v>3053</v>
      </c>
      <c r="F441" s="68" t="s">
        <v>3221</v>
      </c>
      <c r="G441" s="68" t="s">
        <v>3048</v>
      </c>
      <c r="H441" s="68" t="s">
        <v>3075</v>
      </c>
      <c r="I441" s="68" t="s">
        <v>3050</v>
      </c>
      <c r="J441" s="68" t="s">
        <v>3593</v>
      </c>
      <c r="K441" s="69" t="s">
        <v>3593</v>
      </c>
      <c r="L441" s="69" t="str">
        <f>VLOOKUP(LinkTable6789[[#This Row],[Coluna1]],[4]AlarmCatalog!$A:$M,11,FALSE)</f>
        <v>Severidade 5</v>
      </c>
    </row>
    <row r="442" spans="1:12" s="67" customFormat="1" ht="16.5" customHeight="1" x14ac:dyDescent="0.25">
      <c r="A442" s="68" t="s">
        <v>3676</v>
      </c>
      <c r="B442" s="68" t="s">
        <v>2349</v>
      </c>
      <c r="C442" s="68" t="s">
        <v>3677</v>
      </c>
      <c r="D442" s="68" t="s">
        <v>2809</v>
      </c>
      <c r="E442" s="68" t="s">
        <v>3064</v>
      </c>
      <c r="F442" s="68" t="s">
        <v>3047</v>
      </c>
      <c r="G442" s="68" t="s">
        <v>3122</v>
      </c>
      <c r="H442" s="68" t="s">
        <v>3123</v>
      </c>
      <c r="I442" s="68" t="s">
        <v>3124</v>
      </c>
      <c r="J442" s="68" t="s">
        <v>3587</v>
      </c>
      <c r="K442" s="69" t="s">
        <v>3587</v>
      </c>
      <c r="L442" s="69" t="str">
        <f>VLOOKUP(LinkTable6789[[#This Row],[Coluna1]],[4]AlarmCatalog!$A:$M,11,FALSE)</f>
        <v>Severidade 5</v>
      </c>
    </row>
    <row r="443" spans="1:12" s="67" customFormat="1" ht="16.5" customHeight="1" x14ac:dyDescent="0.25">
      <c r="A443" s="68" t="s">
        <v>3678</v>
      </c>
      <c r="B443" s="68" t="s">
        <v>2349</v>
      </c>
      <c r="C443" s="68" t="s">
        <v>2985</v>
      </c>
      <c r="D443" s="68" t="s">
        <v>2990</v>
      </c>
      <c r="E443" s="68" t="s">
        <v>3053</v>
      </c>
      <c r="F443" s="68" t="s">
        <v>3629</v>
      </c>
      <c r="G443" s="68" t="s">
        <v>3048</v>
      </c>
      <c r="H443" s="68" t="s">
        <v>3075</v>
      </c>
      <c r="I443" s="68" t="s">
        <v>3050</v>
      </c>
      <c r="J443" s="68" t="s">
        <v>3593</v>
      </c>
      <c r="K443" s="69" t="s">
        <v>3593</v>
      </c>
      <c r="L443" s="69" t="str">
        <f>VLOOKUP(LinkTable6789[[#This Row],[Coluna1]],[4]AlarmCatalog!$A:$M,11,FALSE)</f>
        <v>Severidade 5</v>
      </c>
    </row>
    <row r="444" spans="1:12" s="67" customFormat="1" ht="16.5" customHeight="1" x14ac:dyDescent="0.25">
      <c r="A444" s="68" t="s">
        <v>3679</v>
      </c>
      <c r="B444" s="68" t="s">
        <v>2349</v>
      </c>
      <c r="C444" s="68" t="s">
        <v>2985</v>
      </c>
      <c r="D444" s="68" t="s">
        <v>2809</v>
      </c>
      <c r="E444" s="68" t="s">
        <v>3053</v>
      </c>
      <c r="F444" s="68" t="s">
        <v>3629</v>
      </c>
      <c r="G444" s="68" t="s">
        <v>3048</v>
      </c>
      <c r="H444" s="68" t="s">
        <v>3058</v>
      </c>
      <c r="I444" s="68" t="s">
        <v>3050</v>
      </c>
      <c r="J444" s="68" t="s">
        <v>3587</v>
      </c>
      <c r="K444" s="69" t="s">
        <v>3587</v>
      </c>
      <c r="L444" s="69" t="str">
        <f>VLOOKUP(LinkTable6789[[#This Row],[Coluna1]],[4]AlarmCatalog!$A:$M,11,FALSE)</f>
        <v>Severidade 5</v>
      </c>
    </row>
    <row r="445" spans="1:12" s="67" customFormat="1" ht="16.5" customHeight="1" x14ac:dyDescent="0.25">
      <c r="A445" s="68" t="s">
        <v>3680</v>
      </c>
      <c r="B445" s="68" t="s">
        <v>2349</v>
      </c>
      <c r="C445" s="68" t="s">
        <v>3677</v>
      </c>
      <c r="D445" s="68" t="s">
        <v>2809</v>
      </c>
      <c r="E445" s="68" t="s">
        <v>2809</v>
      </c>
      <c r="F445" s="68" t="s">
        <v>3677</v>
      </c>
      <c r="G445" s="68" t="s">
        <v>3122</v>
      </c>
      <c r="H445" s="68" t="s">
        <v>3123</v>
      </c>
      <c r="I445" s="68" t="s">
        <v>3124</v>
      </c>
      <c r="J445" s="68" t="s">
        <v>3394</v>
      </c>
      <c r="K445" s="69" t="s">
        <v>3394</v>
      </c>
      <c r="L445" s="69" t="str">
        <f>VLOOKUP(LinkTable6789[[#This Row],[Coluna1]],[4]AlarmCatalog!$A:$M,11,FALSE)</f>
        <v>Severidade 5</v>
      </c>
    </row>
    <row r="446" spans="1:12" s="67" customFormat="1" ht="16.5" customHeight="1" x14ac:dyDescent="0.25">
      <c r="A446" s="68" t="s">
        <v>3681</v>
      </c>
      <c r="B446" s="68" t="s">
        <v>2349</v>
      </c>
      <c r="C446" s="68" t="s">
        <v>3682</v>
      </c>
      <c r="D446" s="68" t="s">
        <v>2990</v>
      </c>
      <c r="E446" s="68" t="s">
        <v>3053</v>
      </c>
      <c r="F446" s="68" t="s">
        <v>3683</v>
      </c>
      <c r="G446" s="68" t="s">
        <v>3586</v>
      </c>
      <c r="H446" s="68" t="s">
        <v>3068</v>
      </c>
      <c r="I446" s="68" t="s">
        <v>3050</v>
      </c>
      <c r="J446" s="68" t="s">
        <v>3587</v>
      </c>
      <c r="K446" s="69" t="s">
        <v>3587</v>
      </c>
      <c r="L446" s="69" t="str">
        <f>VLOOKUP(LinkTable6789[[#This Row],[Coluna1]],[4]AlarmCatalog!$A:$M,11,FALSE)</f>
        <v>Severidade 5</v>
      </c>
    </row>
    <row r="447" spans="1:12" s="67" customFormat="1" ht="16.5" customHeight="1" x14ac:dyDescent="0.25">
      <c r="A447" s="68" t="s">
        <v>3684</v>
      </c>
      <c r="B447" s="68" t="s">
        <v>2349</v>
      </c>
      <c r="C447" s="68" t="s">
        <v>3218</v>
      </c>
      <c r="D447" s="68" t="s">
        <v>2809</v>
      </c>
      <c r="E447" s="68" t="s">
        <v>2809</v>
      </c>
      <c r="F447" s="68" t="s">
        <v>3218</v>
      </c>
      <c r="G447" s="68" t="s">
        <v>3122</v>
      </c>
      <c r="H447" s="68" t="s">
        <v>3123</v>
      </c>
      <c r="I447" s="68" t="s">
        <v>3124</v>
      </c>
      <c r="J447" s="68" t="s">
        <v>3394</v>
      </c>
      <c r="K447" s="69" t="s">
        <v>3394</v>
      </c>
      <c r="L447" s="69" t="str">
        <f>VLOOKUP(LinkTable6789[[#This Row],[Coluna1]],[4]AlarmCatalog!$A:$M,11,FALSE)</f>
        <v>Severidade 5</v>
      </c>
    </row>
    <row r="448" spans="1:12" s="67" customFormat="1" ht="16.5" customHeight="1" x14ac:dyDescent="0.25">
      <c r="A448" s="68" t="s">
        <v>3685</v>
      </c>
      <c r="B448" s="68" t="s">
        <v>2349</v>
      </c>
      <c r="C448" s="68" t="s">
        <v>3677</v>
      </c>
      <c r="D448" s="68" t="s">
        <v>2809</v>
      </c>
      <c r="E448" s="68" t="s">
        <v>3064</v>
      </c>
      <c r="F448" s="68" t="s">
        <v>3677</v>
      </c>
      <c r="G448" s="68" t="s">
        <v>3122</v>
      </c>
      <c r="H448" s="68" t="s">
        <v>3123</v>
      </c>
      <c r="I448" s="68" t="s">
        <v>3124</v>
      </c>
      <c r="J448" s="68" t="s">
        <v>3394</v>
      </c>
      <c r="K448" s="69" t="s">
        <v>3394</v>
      </c>
      <c r="L448" s="69" t="str">
        <f>VLOOKUP(LinkTable6789[[#This Row],[Coluna1]],[4]AlarmCatalog!$A:$M,11,FALSE)</f>
        <v>Severidade 5</v>
      </c>
    </row>
    <row r="449" spans="1:12" s="67" customFormat="1" ht="16.5" customHeight="1" x14ac:dyDescent="0.25">
      <c r="A449" s="68" t="s">
        <v>3686</v>
      </c>
      <c r="B449" s="68" t="s">
        <v>2349</v>
      </c>
      <c r="C449" s="68" t="s">
        <v>3220</v>
      </c>
      <c r="D449" s="68" t="s">
        <v>2809</v>
      </c>
      <c r="E449" s="68" t="s">
        <v>2809</v>
      </c>
      <c r="F449" s="68" t="s">
        <v>3612</v>
      </c>
      <c r="G449" s="68" t="s">
        <v>3057</v>
      </c>
      <c r="H449" s="68" t="s">
        <v>3068</v>
      </c>
      <c r="I449" s="68" t="s">
        <v>3050</v>
      </c>
      <c r="J449" s="68" t="s">
        <v>3587</v>
      </c>
      <c r="K449" s="69" t="s">
        <v>3587</v>
      </c>
      <c r="L449" s="69" t="str">
        <f>VLOOKUP(LinkTable6789[[#This Row],[Coluna1]],[4]AlarmCatalog!$A:$M,11,FALSE)</f>
        <v>Severidade 5</v>
      </c>
    </row>
    <row r="450" spans="1:12" s="67" customFormat="1" ht="16.5" customHeight="1" x14ac:dyDescent="0.25">
      <c r="A450" s="68" t="s">
        <v>3687</v>
      </c>
      <c r="B450" s="68" t="s">
        <v>2349</v>
      </c>
      <c r="C450" s="68" t="s">
        <v>3103</v>
      </c>
      <c r="D450" s="68" t="s">
        <v>2809</v>
      </c>
      <c r="E450" s="68" t="s">
        <v>3053</v>
      </c>
      <c r="F450" s="68" t="s">
        <v>3629</v>
      </c>
      <c r="G450" s="68" t="s">
        <v>3048</v>
      </c>
      <c r="H450" s="68" t="s">
        <v>3058</v>
      </c>
      <c r="I450" s="68" t="s">
        <v>3050</v>
      </c>
      <c r="J450" s="68" t="s">
        <v>3587</v>
      </c>
      <c r="K450" s="69" t="s">
        <v>3587</v>
      </c>
      <c r="L450" s="69" t="str">
        <f>VLOOKUP(LinkTable6789[[#This Row],[Coluna1]],[4]AlarmCatalog!$A:$M,11,FALSE)</f>
        <v>Severidade 5</v>
      </c>
    </row>
    <row r="451" spans="1:12" s="67" customFormat="1" ht="16.5" customHeight="1" x14ac:dyDescent="0.25">
      <c r="A451" s="68" t="s">
        <v>3688</v>
      </c>
      <c r="B451" s="68" t="s">
        <v>2349</v>
      </c>
      <c r="C451" s="68" t="s">
        <v>3689</v>
      </c>
      <c r="D451" s="68" t="s">
        <v>2809</v>
      </c>
      <c r="E451" s="68" t="s">
        <v>3053</v>
      </c>
      <c r="F451" s="68" t="s">
        <v>3690</v>
      </c>
      <c r="G451" s="68" t="s">
        <v>3057</v>
      </c>
      <c r="H451" s="68" t="s">
        <v>3068</v>
      </c>
      <c r="I451" s="68" t="s">
        <v>3050</v>
      </c>
      <c r="J451" s="68" t="s">
        <v>3587</v>
      </c>
      <c r="K451" s="69" t="s">
        <v>3587</v>
      </c>
      <c r="L451" s="69" t="str">
        <f>VLOOKUP(LinkTable6789[[#This Row],[Coluna1]],[4]AlarmCatalog!$A:$M,11,FALSE)</f>
        <v>Severidade 5</v>
      </c>
    </row>
    <row r="452" spans="1:12" s="67" customFormat="1" ht="16.5" customHeight="1" x14ac:dyDescent="0.25">
      <c r="A452" s="68" t="s">
        <v>3691</v>
      </c>
      <c r="B452" s="68" t="s">
        <v>2349</v>
      </c>
      <c r="C452" s="68" t="s">
        <v>3230</v>
      </c>
      <c r="D452" s="68" t="s">
        <v>2990</v>
      </c>
      <c r="E452" s="68" t="s">
        <v>3053</v>
      </c>
      <c r="F452" s="68" t="s">
        <v>3235</v>
      </c>
      <c r="G452" s="68" t="s">
        <v>3048</v>
      </c>
      <c r="H452" s="68" t="s">
        <v>3058</v>
      </c>
      <c r="I452" s="68" t="s">
        <v>3050</v>
      </c>
      <c r="J452" s="68" t="s">
        <v>3587</v>
      </c>
      <c r="K452" s="69" t="s">
        <v>3587</v>
      </c>
      <c r="L452" s="69" t="str">
        <f>VLOOKUP(LinkTable6789[[#This Row],[Coluna1]],[4]AlarmCatalog!$A:$M,11,FALSE)</f>
        <v>Severidade 5</v>
      </c>
    </row>
    <row r="453" spans="1:12" s="67" customFormat="1" ht="16.5" customHeight="1" x14ac:dyDescent="0.25">
      <c r="A453" s="68" t="s">
        <v>3692</v>
      </c>
      <c r="B453" s="68" t="s">
        <v>2349</v>
      </c>
      <c r="C453" s="68" t="s">
        <v>2985</v>
      </c>
      <c r="D453" s="68" t="s">
        <v>2990</v>
      </c>
      <c r="E453" s="68" t="s">
        <v>3053</v>
      </c>
      <c r="F453" s="68" t="s">
        <v>3629</v>
      </c>
      <c r="G453" s="68" t="s">
        <v>3048</v>
      </c>
      <c r="H453" s="68" t="s">
        <v>3058</v>
      </c>
      <c r="I453" s="68" t="s">
        <v>3050</v>
      </c>
      <c r="J453" s="68" t="s">
        <v>3587</v>
      </c>
      <c r="K453" s="69" t="s">
        <v>3587</v>
      </c>
      <c r="L453" s="69" t="str">
        <f>VLOOKUP(LinkTable6789[[#This Row],[Coluna1]],[4]AlarmCatalog!$A:$M,11,FALSE)</f>
        <v>Severidade 5</v>
      </c>
    </row>
    <row r="454" spans="1:12" s="67" customFormat="1" ht="16.5" customHeight="1" x14ac:dyDescent="0.25">
      <c r="A454" s="68" t="s">
        <v>3693</v>
      </c>
      <c r="B454" s="68" t="s">
        <v>2349</v>
      </c>
      <c r="C454" s="68" t="s">
        <v>2985</v>
      </c>
      <c r="D454" s="68" t="s">
        <v>2990</v>
      </c>
      <c r="E454" s="68" t="s">
        <v>3053</v>
      </c>
      <c r="F454" s="68" t="s">
        <v>3629</v>
      </c>
      <c r="G454" s="68" t="s">
        <v>3048</v>
      </c>
      <c r="H454" s="68" t="s">
        <v>3058</v>
      </c>
      <c r="I454" s="68" t="s">
        <v>3050</v>
      </c>
      <c r="J454" s="68" t="s">
        <v>3593</v>
      </c>
      <c r="K454" s="69" t="s">
        <v>3593</v>
      </c>
      <c r="L454" s="69" t="str">
        <f>VLOOKUP(LinkTable6789[[#This Row],[Coluna1]],[4]AlarmCatalog!$A:$M,11,FALSE)</f>
        <v>Severidade 5</v>
      </c>
    </row>
    <row r="455" spans="1:12" s="67" customFormat="1" ht="16.5" customHeight="1" x14ac:dyDescent="0.25">
      <c r="A455" s="68" t="s">
        <v>3694</v>
      </c>
      <c r="B455" s="68" t="s">
        <v>2349</v>
      </c>
      <c r="C455" s="68" t="s">
        <v>3218</v>
      </c>
      <c r="D455" s="68" t="s">
        <v>2990</v>
      </c>
      <c r="E455" s="68" t="s">
        <v>2809</v>
      </c>
      <c r="F455" s="68" t="s">
        <v>3218</v>
      </c>
      <c r="G455" s="68" t="s">
        <v>3122</v>
      </c>
      <c r="H455" s="68" t="s">
        <v>3695</v>
      </c>
      <c r="I455" s="68" t="s">
        <v>3124</v>
      </c>
      <c r="J455" s="68" t="s">
        <v>3394</v>
      </c>
      <c r="K455" s="69" t="s">
        <v>3394</v>
      </c>
      <c r="L455" s="69" t="str">
        <f>VLOOKUP(LinkTable6789[[#This Row],[Coluna1]],[4]AlarmCatalog!$A:$M,11,FALSE)</f>
        <v>Severidade 5</v>
      </c>
    </row>
    <row r="456" spans="1:12" s="67" customFormat="1" ht="16.5" customHeight="1" x14ac:dyDescent="0.25">
      <c r="A456" s="68" t="s">
        <v>3696</v>
      </c>
      <c r="B456" s="68" t="s">
        <v>2349</v>
      </c>
      <c r="C456" s="68" t="s">
        <v>3677</v>
      </c>
      <c r="D456" s="68" t="s">
        <v>3053</v>
      </c>
      <c r="E456" s="68" t="s">
        <v>3064</v>
      </c>
      <c r="F456" s="68" t="s">
        <v>3677</v>
      </c>
      <c r="G456" s="68" t="s">
        <v>3122</v>
      </c>
      <c r="H456" s="68" t="s">
        <v>3697</v>
      </c>
      <c r="I456" s="68" t="s">
        <v>3124</v>
      </c>
      <c r="J456" s="68" t="s">
        <v>3394</v>
      </c>
      <c r="K456" s="69" t="s">
        <v>3394</v>
      </c>
      <c r="L456" s="69" t="str">
        <f>VLOOKUP(LinkTable6789[[#This Row],[Coluna1]],[4]AlarmCatalog!$A:$M,11,FALSE)</f>
        <v>Severidade 5</v>
      </c>
    </row>
    <row r="457" spans="1:12" s="67" customFormat="1" ht="16.5" customHeight="1" x14ac:dyDescent="0.25">
      <c r="A457" s="68" t="s">
        <v>3698</v>
      </c>
      <c r="B457" s="68" t="s">
        <v>2349</v>
      </c>
      <c r="C457" s="68" t="s">
        <v>3682</v>
      </c>
      <c r="D457" s="68" t="s">
        <v>2809</v>
      </c>
      <c r="E457" s="68" t="s">
        <v>3053</v>
      </c>
      <c r="F457" s="68" t="s">
        <v>3683</v>
      </c>
      <c r="G457" s="68" t="s">
        <v>3586</v>
      </c>
      <c r="H457" s="68" t="s">
        <v>3589</v>
      </c>
      <c r="I457" s="68" t="s">
        <v>3050</v>
      </c>
      <c r="J457" s="68" t="s">
        <v>3587</v>
      </c>
      <c r="K457" s="69" t="s">
        <v>3587</v>
      </c>
      <c r="L457" s="69" t="str">
        <f>VLOOKUP(LinkTable6789[[#This Row],[Coluna1]],[4]AlarmCatalog!$A:$M,11,FALSE)</f>
        <v>Severidade 5</v>
      </c>
    </row>
    <row r="458" spans="1:12" s="67" customFormat="1" ht="16.5" customHeight="1" x14ac:dyDescent="0.25">
      <c r="A458" s="68" t="s">
        <v>3699</v>
      </c>
      <c r="B458" s="68" t="s">
        <v>2349</v>
      </c>
      <c r="C458" s="68" t="s">
        <v>3584</v>
      </c>
      <c r="D458" s="68" t="s">
        <v>2990</v>
      </c>
      <c r="E458" s="68" t="s">
        <v>3053</v>
      </c>
      <c r="F458" s="68" t="s">
        <v>3585</v>
      </c>
      <c r="G458" s="68" t="s">
        <v>3586</v>
      </c>
      <c r="H458" s="68" t="s">
        <v>3068</v>
      </c>
      <c r="I458" s="68" t="s">
        <v>3050</v>
      </c>
      <c r="J458" s="68" t="s">
        <v>3386</v>
      </c>
      <c r="K458" s="69" t="s">
        <v>3386</v>
      </c>
      <c r="L458" s="69" t="str">
        <f>VLOOKUP(LinkTable6789[[#This Row],[Coluna1]],[4]AlarmCatalog!$A:$M,11,FALSE)</f>
        <v>Severidade 5</v>
      </c>
    </row>
    <row r="459" spans="1:12" s="67" customFormat="1" ht="16.5" customHeight="1" x14ac:dyDescent="0.25">
      <c r="A459" s="68" t="s">
        <v>3700</v>
      </c>
      <c r="B459" s="68" t="s">
        <v>2349</v>
      </c>
      <c r="C459" s="68" t="s">
        <v>2985</v>
      </c>
      <c r="D459" s="68" t="s">
        <v>2809</v>
      </c>
      <c r="E459" s="68" t="s">
        <v>3053</v>
      </c>
      <c r="F459" s="68" t="s">
        <v>3047</v>
      </c>
      <c r="G459" s="68" t="s">
        <v>3048</v>
      </c>
      <c r="H459" s="68" t="s">
        <v>3075</v>
      </c>
      <c r="I459" s="68" t="s">
        <v>3050</v>
      </c>
      <c r="J459" s="68" t="s">
        <v>3701</v>
      </c>
      <c r="K459" s="69" t="s">
        <v>3701</v>
      </c>
      <c r="L459" s="69" t="str">
        <f>VLOOKUP(LinkTable6789[[#This Row],[Coluna1]],[4]AlarmCatalog!$A:$M,11,FALSE)</f>
        <v>Severidade 5</v>
      </c>
    </row>
    <row r="460" spans="1:12" s="67" customFormat="1" ht="16.5" customHeight="1" x14ac:dyDescent="0.25">
      <c r="A460" s="68" t="s">
        <v>3702</v>
      </c>
      <c r="B460" s="68" t="s">
        <v>2349</v>
      </c>
      <c r="C460" s="68" t="s">
        <v>2985</v>
      </c>
      <c r="D460" s="68" t="s">
        <v>2809</v>
      </c>
      <c r="E460" s="68" t="s">
        <v>3053</v>
      </c>
      <c r="F460" s="68" t="s">
        <v>3047</v>
      </c>
      <c r="G460" s="68" t="s">
        <v>3048</v>
      </c>
      <c r="H460" s="68" t="s">
        <v>3058</v>
      </c>
      <c r="I460" s="68" t="s">
        <v>3050</v>
      </c>
      <c r="J460" s="68" t="s">
        <v>3701</v>
      </c>
      <c r="K460" s="69" t="s">
        <v>3701</v>
      </c>
      <c r="L460" s="69" t="str">
        <f>VLOOKUP(LinkTable6789[[#This Row],[Coluna1]],[4]AlarmCatalog!$A:$M,11,FALSE)</f>
        <v>Severidade 5</v>
      </c>
    </row>
    <row r="461" spans="1:12" s="67" customFormat="1" ht="16.5" customHeight="1" x14ac:dyDescent="0.25">
      <c r="A461" s="68" t="s">
        <v>3703</v>
      </c>
      <c r="B461" s="68" t="s">
        <v>2349</v>
      </c>
      <c r="C461" s="68" t="s">
        <v>3220</v>
      </c>
      <c r="D461" s="68" t="s">
        <v>2809</v>
      </c>
      <c r="E461" s="68" t="s">
        <v>3053</v>
      </c>
      <c r="F461" s="68" t="s">
        <v>3047</v>
      </c>
      <c r="G461" s="68" t="s">
        <v>3048</v>
      </c>
      <c r="H461" s="68" t="s">
        <v>3075</v>
      </c>
      <c r="I461" s="68" t="s">
        <v>3050</v>
      </c>
      <c r="J461" s="68" t="s">
        <v>3704</v>
      </c>
      <c r="K461" s="69" t="s">
        <v>3704</v>
      </c>
      <c r="L461" s="69" t="str">
        <f>VLOOKUP(LinkTable6789[[#This Row],[Coluna1]],[4]AlarmCatalog!$A:$M,11,FALSE)</f>
        <v>Severidade 5</v>
      </c>
    </row>
    <row r="462" spans="1:12" s="67" customFormat="1" ht="16.5" customHeight="1" x14ac:dyDescent="0.25">
      <c r="A462" s="68" t="s">
        <v>3705</v>
      </c>
      <c r="B462" s="68" t="s">
        <v>2349</v>
      </c>
      <c r="C462" s="68" t="s">
        <v>3097</v>
      </c>
      <c r="D462" s="68" t="s">
        <v>2809</v>
      </c>
      <c r="E462" s="68" t="s">
        <v>3053</v>
      </c>
      <c r="F462" s="68" t="s">
        <v>3047</v>
      </c>
      <c r="G462" s="68" t="s">
        <v>3048</v>
      </c>
      <c r="H462" s="68" t="s">
        <v>3058</v>
      </c>
      <c r="I462" s="68" t="s">
        <v>3050</v>
      </c>
      <c r="J462" s="68" t="s">
        <v>3706</v>
      </c>
      <c r="K462" s="69" t="s">
        <v>3706</v>
      </c>
      <c r="L462" s="69" t="str">
        <f>VLOOKUP(LinkTable6789[[#This Row],[Coluna1]],[4]AlarmCatalog!$A:$M,11,FALSE)</f>
        <v>Severidade 5</v>
      </c>
    </row>
    <row r="463" spans="1:12" s="67" customFormat="1" ht="16.5" customHeight="1" x14ac:dyDescent="0.25">
      <c r="A463" s="68" t="s">
        <v>3707</v>
      </c>
      <c r="B463" s="68" t="s">
        <v>2349</v>
      </c>
      <c r="C463" s="68" t="s">
        <v>3618</v>
      </c>
      <c r="D463" s="68" t="s">
        <v>2809</v>
      </c>
      <c r="E463" s="68" t="s">
        <v>3053</v>
      </c>
      <c r="F463" s="68" t="s">
        <v>3047</v>
      </c>
      <c r="G463" s="68" t="s">
        <v>3048</v>
      </c>
      <c r="H463" s="68" t="s">
        <v>3058</v>
      </c>
      <c r="I463" s="68" t="s">
        <v>3050</v>
      </c>
      <c r="J463" s="68" t="s">
        <v>3704</v>
      </c>
      <c r="K463" s="69" t="s">
        <v>3704</v>
      </c>
      <c r="L463" s="69" t="str">
        <f>VLOOKUP(LinkTable6789[[#This Row],[Coluna1]],[4]AlarmCatalog!$A:$M,11,FALSE)</f>
        <v>Severidade 5</v>
      </c>
    </row>
    <row r="464" spans="1:12" s="67" customFormat="1" ht="16.5" customHeight="1" x14ac:dyDescent="0.25">
      <c r="A464" s="68" t="s">
        <v>3708</v>
      </c>
      <c r="B464" s="68" t="s">
        <v>2349</v>
      </c>
      <c r="C464" s="68" t="s">
        <v>3103</v>
      </c>
      <c r="D464" s="68" t="s">
        <v>2809</v>
      </c>
      <c r="E464" s="68" t="s">
        <v>3053</v>
      </c>
      <c r="F464" s="68" t="s">
        <v>3629</v>
      </c>
      <c r="G464" s="68" t="s">
        <v>3048</v>
      </c>
      <c r="H464" s="68" t="s">
        <v>3068</v>
      </c>
      <c r="I464" s="68" t="s">
        <v>3050</v>
      </c>
      <c r="J464" s="68" t="s">
        <v>3386</v>
      </c>
      <c r="K464" s="69" t="s">
        <v>3386</v>
      </c>
      <c r="L464" s="69" t="str">
        <f>VLOOKUP(LinkTable6789[[#This Row],[Coluna1]],[4]AlarmCatalog!$A:$M,11,FALSE)</f>
        <v>Severidade 5</v>
      </c>
    </row>
    <row r="465" spans="1:12" s="67" customFormat="1" ht="16.5" customHeight="1" x14ac:dyDescent="0.25">
      <c r="A465" s="68" t="s">
        <v>3709</v>
      </c>
      <c r="B465" s="68" t="s">
        <v>2349</v>
      </c>
      <c r="C465" s="68" t="s">
        <v>3212</v>
      </c>
      <c r="D465" s="68" t="s">
        <v>2809</v>
      </c>
      <c r="E465" s="68" t="s">
        <v>3053</v>
      </c>
      <c r="F465" s="68" t="s">
        <v>3213</v>
      </c>
      <c r="G465" s="68" t="s">
        <v>3048</v>
      </c>
      <c r="H465" s="68" t="s">
        <v>3075</v>
      </c>
      <c r="I465" s="68" t="s">
        <v>3050</v>
      </c>
      <c r="J465" s="68" t="s">
        <v>3710</v>
      </c>
      <c r="K465" s="69" t="s">
        <v>3710</v>
      </c>
      <c r="L465" s="69" t="str">
        <f>VLOOKUP(LinkTable6789[[#This Row],[Coluna1]],[4]AlarmCatalog!$A:$M,11,FALSE)</f>
        <v>Severidade 5</v>
      </c>
    </row>
    <row r="466" spans="1:12" s="67" customFormat="1" ht="16.5" customHeight="1" x14ac:dyDescent="0.25">
      <c r="A466" s="68" t="s">
        <v>3711</v>
      </c>
      <c r="B466" s="68" t="s">
        <v>2349</v>
      </c>
      <c r="C466" s="68" t="s">
        <v>2985</v>
      </c>
      <c r="D466" s="68" t="s">
        <v>2809</v>
      </c>
      <c r="E466" s="68" t="s">
        <v>3053</v>
      </c>
      <c r="F466" s="68" t="s">
        <v>3629</v>
      </c>
      <c r="G466" s="68" t="s">
        <v>3048</v>
      </c>
      <c r="H466" s="68" t="s">
        <v>3068</v>
      </c>
      <c r="I466" s="68" t="s">
        <v>3050</v>
      </c>
      <c r="J466" s="68" t="s">
        <v>3710</v>
      </c>
      <c r="K466" s="69" t="s">
        <v>3710</v>
      </c>
      <c r="L466" s="69" t="str">
        <f>VLOOKUP(LinkTable6789[[#This Row],[Coluna1]],[4]AlarmCatalog!$A:$M,11,FALSE)</f>
        <v>Severidade 5</v>
      </c>
    </row>
    <row r="467" spans="1:12" s="67" customFormat="1" ht="16.5" customHeight="1" x14ac:dyDescent="0.25">
      <c r="A467" s="68" t="s">
        <v>3712</v>
      </c>
      <c r="B467" s="68" t="s">
        <v>2349</v>
      </c>
      <c r="C467" s="68" t="s">
        <v>2985</v>
      </c>
      <c r="D467" s="68" t="s">
        <v>2990</v>
      </c>
      <c r="E467" s="68" t="s">
        <v>3053</v>
      </c>
      <c r="F467" s="68" t="s">
        <v>3629</v>
      </c>
      <c r="G467" s="68" t="s">
        <v>3048</v>
      </c>
      <c r="H467" s="68" t="s">
        <v>3068</v>
      </c>
      <c r="I467" s="68" t="s">
        <v>3050</v>
      </c>
      <c r="J467" s="68" t="s">
        <v>3386</v>
      </c>
      <c r="K467" s="69" t="s">
        <v>3386</v>
      </c>
      <c r="L467" s="69" t="str">
        <f>VLOOKUP(LinkTable6789[[#This Row],[Coluna1]],[4]AlarmCatalog!$A:$M,11,FALSE)</f>
        <v>Severidade 5</v>
      </c>
    </row>
    <row r="468" spans="1:12" s="67" customFormat="1" ht="16.5" customHeight="1" x14ac:dyDescent="0.25">
      <c r="A468" s="68" t="s">
        <v>3713</v>
      </c>
      <c r="B468" s="68" t="s">
        <v>2349</v>
      </c>
      <c r="C468" s="68" t="s">
        <v>3615</v>
      </c>
      <c r="D468" s="68" t="s">
        <v>2809</v>
      </c>
      <c r="E468" s="68" t="s">
        <v>3053</v>
      </c>
      <c r="F468" s="68" t="s">
        <v>3047</v>
      </c>
      <c r="G468" s="68" t="s">
        <v>3048</v>
      </c>
      <c r="H468" s="68" t="s">
        <v>3058</v>
      </c>
      <c r="I468" s="68" t="s">
        <v>3050</v>
      </c>
      <c r="J468" s="68" t="s">
        <v>3704</v>
      </c>
      <c r="K468" s="69" t="s">
        <v>3704</v>
      </c>
      <c r="L468" s="69" t="str">
        <f>VLOOKUP(LinkTable6789[[#This Row],[Coluna1]],[4]AlarmCatalog!$A:$M,11,FALSE)</f>
        <v>Severidade 5</v>
      </c>
    </row>
    <row r="469" spans="1:12" s="67" customFormat="1" ht="16.5" customHeight="1" x14ac:dyDescent="0.25">
      <c r="A469" s="68" t="s">
        <v>3714</v>
      </c>
      <c r="B469" s="68" t="s">
        <v>2349</v>
      </c>
      <c r="C469" s="68" t="s">
        <v>2985</v>
      </c>
      <c r="D469" s="68" t="s">
        <v>2809</v>
      </c>
      <c r="E469" s="68" t="s">
        <v>3053</v>
      </c>
      <c r="F469" s="68" t="s">
        <v>3629</v>
      </c>
      <c r="G469" s="68" t="s">
        <v>3048</v>
      </c>
      <c r="H469" s="68" t="s">
        <v>3068</v>
      </c>
      <c r="I469" s="68" t="s">
        <v>3050</v>
      </c>
      <c r="J469" s="68" t="s">
        <v>3386</v>
      </c>
      <c r="K469" s="69" t="s">
        <v>3386</v>
      </c>
      <c r="L469" s="69" t="str">
        <f>VLOOKUP(LinkTable6789[[#This Row],[Coluna1]],[4]AlarmCatalog!$A:$M,11,FALSE)</f>
        <v>Severidade 5</v>
      </c>
    </row>
    <row r="470" spans="1:12" s="67" customFormat="1" ht="16.5" customHeight="1" x14ac:dyDescent="0.25">
      <c r="A470" s="68" t="s">
        <v>3715</v>
      </c>
      <c r="B470" s="68" t="s">
        <v>2349</v>
      </c>
      <c r="C470" s="68" t="s">
        <v>2985</v>
      </c>
      <c r="D470" s="68" t="s">
        <v>2990</v>
      </c>
      <c r="E470" s="68" t="s">
        <v>3053</v>
      </c>
      <c r="F470" s="68" t="s">
        <v>3629</v>
      </c>
      <c r="G470" s="68" t="s">
        <v>3048</v>
      </c>
      <c r="H470" s="68" t="s">
        <v>3058</v>
      </c>
      <c r="I470" s="68" t="s">
        <v>3050</v>
      </c>
      <c r="J470" s="68" t="s">
        <v>3710</v>
      </c>
      <c r="K470" s="69" t="s">
        <v>3710</v>
      </c>
      <c r="L470" s="69" t="str">
        <f>VLOOKUP(LinkTable6789[[#This Row],[Coluna1]],[4]AlarmCatalog!$A:$M,11,FALSE)</f>
        <v>Severidade 5</v>
      </c>
    </row>
    <row r="471" spans="1:12" s="67" customFormat="1" ht="16.5" customHeight="1" x14ac:dyDescent="0.25">
      <c r="A471" s="68" t="s">
        <v>3716</v>
      </c>
      <c r="B471" s="68" t="s">
        <v>2349</v>
      </c>
      <c r="C471" s="68" t="s">
        <v>2985</v>
      </c>
      <c r="D471" s="68" t="s">
        <v>2809</v>
      </c>
      <c r="E471" s="68" t="s">
        <v>3053</v>
      </c>
      <c r="F471" s="68" t="s">
        <v>3209</v>
      </c>
      <c r="G471" s="68" t="s">
        <v>3048</v>
      </c>
      <c r="H471" s="68" t="s">
        <v>3058</v>
      </c>
      <c r="I471" s="68" t="s">
        <v>3050</v>
      </c>
      <c r="J471" s="68" t="s">
        <v>3710</v>
      </c>
      <c r="K471" s="69" t="s">
        <v>3710</v>
      </c>
      <c r="L471" s="69" t="str">
        <f>VLOOKUP(LinkTable6789[[#This Row],[Coluna1]],[4]AlarmCatalog!$A:$M,11,FALSE)</f>
        <v>Severidade 5</v>
      </c>
    </row>
    <row r="472" spans="1:12" s="67" customFormat="1" ht="16.5" customHeight="1" x14ac:dyDescent="0.25">
      <c r="A472" s="68" t="s">
        <v>3717</v>
      </c>
      <c r="B472" s="68" t="s">
        <v>2349</v>
      </c>
      <c r="C472" s="68" t="s">
        <v>3097</v>
      </c>
      <c r="D472" s="68" t="s">
        <v>2809</v>
      </c>
      <c r="E472" s="68" t="s">
        <v>3046</v>
      </c>
      <c r="F472" s="68" t="s">
        <v>3047</v>
      </c>
      <c r="G472" s="68" t="s">
        <v>3048</v>
      </c>
      <c r="H472" s="68" t="s">
        <v>3058</v>
      </c>
      <c r="I472" s="68" t="s">
        <v>3050</v>
      </c>
      <c r="J472" s="68" t="s">
        <v>3706</v>
      </c>
      <c r="K472" s="69" t="s">
        <v>3706</v>
      </c>
      <c r="L472" s="69" t="str">
        <f>VLOOKUP(LinkTable6789[[#This Row],[Coluna1]],[4]AlarmCatalog!$A:$M,11,FALSE)</f>
        <v>Severidade 5</v>
      </c>
    </row>
    <row r="473" spans="1:12" s="67" customFormat="1" ht="16.5" customHeight="1" x14ac:dyDescent="0.25">
      <c r="A473" s="68" t="s">
        <v>1231</v>
      </c>
      <c r="B473" s="68" t="s">
        <v>2349</v>
      </c>
      <c r="C473" s="68" t="s">
        <v>3097</v>
      </c>
      <c r="D473" s="68" t="s">
        <v>2809</v>
      </c>
      <c r="E473" s="68" t="s">
        <v>2809</v>
      </c>
      <c r="F473" s="68" t="s">
        <v>3098</v>
      </c>
      <c r="G473" s="68" t="s">
        <v>3048</v>
      </c>
      <c r="H473" s="68" t="s">
        <v>3058</v>
      </c>
      <c r="I473" s="68" t="s">
        <v>3050</v>
      </c>
      <c r="J473" s="68" t="s">
        <v>3718</v>
      </c>
      <c r="K473" s="69" t="s">
        <v>3718</v>
      </c>
      <c r="L473" s="69" t="str">
        <f>VLOOKUP(LinkTable6789[[#This Row],[Coluna1]],[4]AlarmCatalog!$A:$M,11,FALSE)</f>
        <v>Severidade 6</v>
      </c>
    </row>
    <row r="474" spans="1:12" s="67" customFormat="1" ht="16.5" customHeight="1" x14ac:dyDescent="0.25">
      <c r="A474" s="68" t="s">
        <v>3719</v>
      </c>
      <c r="B474" s="68" t="s">
        <v>2349</v>
      </c>
      <c r="C474" s="68" t="s">
        <v>3094</v>
      </c>
      <c r="D474" s="68" t="s">
        <v>2809</v>
      </c>
      <c r="E474" s="68" t="s">
        <v>2809</v>
      </c>
      <c r="F474" s="68" t="s">
        <v>3180</v>
      </c>
      <c r="G474" s="68" t="s">
        <v>3048</v>
      </c>
      <c r="H474" s="68" t="s">
        <v>3058</v>
      </c>
      <c r="I474" s="68" t="s">
        <v>3050</v>
      </c>
      <c r="J474" s="68" t="s">
        <v>3720</v>
      </c>
      <c r="K474" s="69" t="s">
        <v>3720</v>
      </c>
      <c r="L474" s="69" t="str">
        <f>VLOOKUP(LinkTable6789[[#This Row],[Coluna1]],[4]AlarmCatalog!$A:$M,11,FALSE)</f>
        <v>Severidade 6</v>
      </c>
    </row>
    <row r="475" spans="1:12" s="67" customFormat="1" ht="16.5" customHeight="1" x14ac:dyDescent="0.25">
      <c r="A475" s="68" t="s">
        <v>1230</v>
      </c>
      <c r="B475" s="68" t="s">
        <v>2349</v>
      </c>
      <c r="C475" s="68" t="s">
        <v>3097</v>
      </c>
      <c r="D475" s="68" t="s">
        <v>2809</v>
      </c>
      <c r="E475" s="68" t="s">
        <v>2809</v>
      </c>
      <c r="F475" s="68" t="s">
        <v>3098</v>
      </c>
      <c r="G475" s="68" t="s">
        <v>3048</v>
      </c>
      <c r="H475" s="68" t="s">
        <v>3058</v>
      </c>
      <c r="I475" s="68" t="s">
        <v>3241</v>
      </c>
      <c r="J475" s="68" t="s">
        <v>3721</v>
      </c>
      <c r="K475" s="69" t="s">
        <v>3721</v>
      </c>
      <c r="L475" s="69" t="str">
        <f>VLOOKUP(LinkTable6789[[#This Row],[Coluna1]],[4]AlarmCatalog!$A:$M,11,FALSE)</f>
        <v>Severidade 6</v>
      </c>
    </row>
    <row r="476" spans="1:12" s="67" customFormat="1" ht="16.5" customHeight="1" x14ac:dyDescent="0.25">
      <c r="A476" s="68" t="s">
        <v>3722</v>
      </c>
      <c r="B476" s="68" t="s">
        <v>2349</v>
      </c>
      <c r="C476" s="68" t="s">
        <v>3097</v>
      </c>
      <c r="D476" s="68" t="s">
        <v>2809</v>
      </c>
      <c r="E476" s="68" t="s">
        <v>3053</v>
      </c>
      <c r="F476" s="68" t="s">
        <v>3098</v>
      </c>
      <c r="G476" s="68" t="s">
        <v>3048</v>
      </c>
      <c r="H476" s="68" t="s">
        <v>3058</v>
      </c>
      <c r="I476" s="68" t="s">
        <v>3050</v>
      </c>
      <c r="J476" s="68" t="s">
        <v>3718</v>
      </c>
      <c r="K476" s="69" t="s">
        <v>3718</v>
      </c>
      <c r="L476" s="69" t="str">
        <f>VLOOKUP(LinkTable6789[[#This Row],[Coluna1]],[4]AlarmCatalog!$A:$M,11,FALSE)</f>
        <v>Severidade 6</v>
      </c>
    </row>
    <row r="477" spans="1:12" s="67" customFormat="1" ht="16.5" customHeight="1" x14ac:dyDescent="0.25">
      <c r="A477" s="68" t="s">
        <v>3723</v>
      </c>
      <c r="B477" s="68" t="s">
        <v>2349</v>
      </c>
      <c r="C477" s="68" t="s">
        <v>3097</v>
      </c>
      <c r="D477" s="68" t="s">
        <v>2809</v>
      </c>
      <c r="E477" s="68" t="s">
        <v>2990</v>
      </c>
      <c r="F477" s="68" t="s">
        <v>3098</v>
      </c>
      <c r="G477" s="68" t="s">
        <v>3048</v>
      </c>
      <c r="H477" s="68" t="s">
        <v>3058</v>
      </c>
      <c r="I477" s="68" t="s">
        <v>3050</v>
      </c>
      <c r="J477" s="68" t="s">
        <v>3718</v>
      </c>
      <c r="K477" s="69" t="s">
        <v>3718</v>
      </c>
      <c r="L477" s="69" t="str">
        <f>VLOOKUP(LinkTable6789[[#This Row],[Coluna1]],[4]AlarmCatalog!$A:$M,11,FALSE)</f>
        <v>Severidade 6</v>
      </c>
    </row>
    <row r="478" spans="1:12" s="67" customFormat="1" ht="16.5" customHeight="1" x14ac:dyDescent="0.25">
      <c r="A478" s="68" t="s">
        <v>3724</v>
      </c>
      <c r="B478" s="68" t="s">
        <v>2349</v>
      </c>
      <c r="C478" s="68" t="s">
        <v>3094</v>
      </c>
      <c r="D478" s="68" t="s">
        <v>2809</v>
      </c>
      <c r="E478" s="68" t="s">
        <v>2990</v>
      </c>
      <c r="F478" s="68" t="s">
        <v>3180</v>
      </c>
      <c r="G478" s="68" t="s">
        <v>3048</v>
      </c>
      <c r="H478" s="68" t="s">
        <v>3058</v>
      </c>
      <c r="I478" s="68" t="s">
        <v>3050</v>
      </c>
      <c r="J478" s="68" t="s">
        <v>3720</v>
      </c>
      <c r="K478" s="69" t="s">
        <v>3720</v>
      </c>
      <c r="L478" s="69" t="str">
        <f>VLOOKUP(LinkTable6789[[#This Row],[Coluna1]],[4]AlarmCatalog!$A:$M,11,FALSE)</f>
        <v>Severidade 6</v>
      </c>
    </row>
    <row r="479" spans="1:12" s="67" customFormat="1" ht="16.5" customHeight="1" x14ac:dyDescent="0.25">
      <c r="A479" s="68" t="s">
        <v>3725</v>
      </c>
      <c r="B479" s="68" t="s">
        <v>2349</v>
      </c>
      <c r="C479" s="68" t="s">
        <v>3094</v>
      </c>
      <c r="D479" s="68" t="s">
        <v>2809</v>
      </c>
      <c r="E479" s="68" t="s">
        <v>3053</v>
      </c>
      <c r="F479" s="68" t="s">
        <v>3180</v>
      </c>
      <c r="G479" s="68" t="s">
        <v>3048</v>
      </c>
      <c r="H479" s="68" t="s">
        <v>3058</v>
      </c>
      <c r="I479" s="68" t="s">
        <v>3050</v>
      </c>
      <c r="J479" s="68" t="s">
        <v>3720</v>
      </c>
      <c r="K479" s="69" t="s">
        <v>3720</v>
      </c>
      <c r="L479" s="69" t="str">
        <f>VLOOKUP(LinkTable6789[[#This Row],[Coluna1]],[4]AlarmCatalog!$A:$M,11,FALSE)</f>
        <v>Severidade 6</v>
      </c>
    </row>
    <row r="480" spans="1:12" s="67" customFormat="1" ht="16.5" customHeight="1" x14ac:dyDescent="0.25">
      <c r="A480" s="68" t="s">
        <v>3726</v>
      </c>
      <c r="B480" s="68" t="s">
        <v>2349</v>
      </c>
      <c r="C480" s="68" t="s">
        <v>3097</v>
      </c>
      <c r="D480" s="68" t="s">
        <v>2809</v>
      </c>
      <c r="E480" s="68" t="s">
        <v>3053</v>
      </c>
      <c r="F480" s="68" t="s">
        <v>3098</v>
      </c>
      <c r="G480" s="68" t="s">
        <v>3048</v>
      </c>
      <c r="H480" s="68" t="s">
        <v>3058</v>
      </c>
      <c r="I480" s="68" t="s">
        <v>3050</v>
      </c>
      <c r="J480" s="68" t="s">
        <v>3721</v>
      </c>
      <c r="K480" s="69" t="s">
        <v>3721</v>
      </c>
      <c r="L480" s="69" t="str">
        <f>VLOOKUP(LinkTable6789[[#This Row],[Coluna1]],[4]AlarmCatalog!$A:$M,11,FALSE)</f>
        <v>Severidade 6</v>
      </c>
    </row>
    <row r="481" spans="1:12" s="67" customFormat="1" ht="16.5" customHeight="1" x14ac:dyDescent="0.25">
      <c r="A481" s="68" t="s">
        <v>3727</v>
      </c>
      <c r="B481" s="68" t="s">
        <v>2349</v>
      </c>
      <c r="C481" s="68" t="s">
        <v>3097</v>
      </c>
      <c r="D481" s="68" t="s">
        <v>2809</v>
      </c>
      <c r="E481" s="68" t="s">
        <v>3046</v>
      </c>
      <c r="F481" s="68" t="s">
        <v>3098</v>
      </c>
      <c r="G481" s="68" t="s">
        <v>3048</v>
      </c>
      <c r="H481" s="68" t="s">
        <v>3058</v>
      </c>
      <c r="I481" s="68" t="s">
        <v>3050</v>
      </c>
      <c r="J481" s="68" t="s">
        <v>3718</v>
      </c>
      <c r="K481" s="69" t="s">
        <v>3718</v>
      </c>
      <c r="L481" s="69" t="str">
        <f>VLOOKUP(LinkTable6789[[#This Row],[Coluna1]],[4]AlarmCatalog!$A:$M,11,FALSE)</f>
        <v>Severidade 6</v>
      </c>
    </row>
    <row r="482" spans="1:12" s="67" customFormat="1" ht="16.5" customHeight="1" x14ac:dyDescent="0.25">
      <c r="A482" s="68" t="s">
        <v>3728</v>
      </c>
      <c r="B482" s="68" t="s">
        <v>2349</v>
      </c>
      <c r="C482" s="68" t="s">
        <v>3097</v>
      </c>
      <c r="D482" s="68" t="s">
        <v>2809</v>
      </c>
      <c r="E482" s="68" t="s">
        <v>3046</v>
      </c>
      <c r="F482" s="68" t="s">
        <v>3098</v>
      </c>
      <c r="G482" s="68" t="s">
        <v>3048</v>
      </c>
      <c r="H482" s="68" t="s">
        <v>3058</v>
      </c>
      <c r="I482" s="68" t="s">
        <v>3050</v>
      </c>
      <c r="J482" s="68" t="s">
        <v>3721</v>
      </c>
      <c r="K482" s="69" t="s">
        <v>3721</v>
      </c>
      <c r="L482" s="69" t="str">
        <f>VLOOKUP(LinkTable6789[[#This Row],[Coluna1]],[4]AlarmCatalog!$A:$M,11,FALSE)</f>
        <v>Severidade 6</v>
      </c>
    </row>
    <row r="483" spans="1:12" s="67" customFormat="1" ht="16.5" customHeight="1" x14ac:dyDescent="0.25">
      <c r="A483" s="68" t="s">
        <v>3729</v>
      </c>
      <c r="B483" s="68" t="s">
        <v>2349</v>
      </c>
      <c r="C483" s="68" t="s">
        <v>3097</v>
      </c>
      <c r="D483" s="68" t="s">
        <v>2809</v>
      </c>
      <c r="E483" s="68" t="s">
        <v>2990</v>
      </c>
      <c r="F483" s="68" t="s">
        <v>3098</v>
      </c>
      <c r="G483" s="68" t="s">
        <v>3048</v>
      </c>
      <c r="H483" s="68" t="s">
        <v>3058</v>
      </c>
      <c r="I483" s="68" t="s">
        <v>3050</v>
      </c>
      <c r="J483" s="68" t="s">
        <v>3721</v>
      </c>
      <c r="K483" s="69" t="s">
        <v>3721</v>
      </c>
      <c r="L483" s="69" t="str">
        <f>VLOOKUP(LinkTable6789[[#This Row],[Coluna1]],[4]AlarmCatalog!$A:$M,11,FALSE)</f>
        <v>Severidade 6</v>
      </c>
    </row>
    <row r="484" spans="1:12" s="67" customFormat="1" ht="16.5" customHeight="1" x14ac:dyDescent="0.25">
      <c r="A484" s="68" t="s">
        <v>3730</v>
      </c>
      <c r="B484" s="68" t="s">
        <v>2349</v>
      </c>
      <c r="C484" s="68" t="s">
        <v>3094</v>
      </c>
      <c r="D484" s="68" t="s">
        <v>2809</v>
      </c>
      <c r="E484" s="68" t="s">
        <v>3046</v>
      </c>
      <c r="F484" s="68" t="s">
        <v>3180</v>
      </c>
      <c r="G484" s="68" t="s">
        <v>3048</v>
      </c>
      <c r="H484" s="68" t="s">
        <v>3058</v>
      </c>
      <c r="I484" s="68" t="s">
        <v>3050</v>
      </c>
      <c r="J484" s="68" t="s">
        <v>3720</v>
      </c>
      <c r="K484" s="69" t="s">
        <v>3720</v>
      </c>
      <c r="L484" s="69" t="str">
        <f>VLOOKUP(LinkTable6789[[#This Row],[Coluna1]],[4]AlarmCatalog!$A:$M,11,FALSE)</f>
        <v>Severidade 6</v>
      </c>
    </row>
    <row r="485" spans="1:12" s="67" customFormat="1" ht="16.5" customHeight="1" x14ac:dyDescent="0.25">
      <c r="A485" s="68" t="s">
        <v>3731</v>
      </c>
      <c r="B485" s="68" t="s">
        <v>2349</v>
      </c>
      <c r="C485" s="68" t="s">
        <v>3094</v>
      </c>
      <c r="D485" s="68" t="s">
        <v>2809</v>
      </c>
      <c r="E485" s="68" t="s">
        <v>2990</v>
      </c>
      <c r="F485" s="68" t="s">
        <v>3047</v>
      </c>
      <c r="G485" s="68" t="s">
        <v>3048</v>
      </c>
      <c r="H485" s="68" t="s">
        <v>3058</v>
      </c>
      <c r="I485" s="68" t="s">
        <v>3050</v>
      </c>
      <c r="J485" s="68" t="s">
        <v>3732</v>
      </c>
      <c r="K485" s="69" t="s">
        <v>3732</v>
      </c>
      <c r="L485" s="69" t="str">
        <f>VLOOKUP(LinkTable6789[[#This Row],[Coluna1]],[4]AlarmCatalog!$A:$M,11,FALSE)</f>
        <v>Severidade 6</v>
      </c>
    </row>
    <row r="486" spans="1:12" s="67" customFormat="1" ht="16.5" customHeight="1" x14ac:dyDescent="0.25">
      <c r="A486" s="68" t="s">
        <v>3733</v>
      </c>
      <c r="B486" s="68" t="s">
        <v>2349</v>
      </c>
      <c r="C486" s="68" t="s">
        <v>3094</v>
      </c>
      <c r="D486" s="68" t="s">
        <v>2809</v>
      </c>
      <c r="E486" s="68" t="s">
        <v>3053</v>
      </c>
      <c r="F486" s="68" t="s">
        <v>3180</v>
      </c>
      <c r="G486" s="68" t="s">
        <v>3048</v>
      </c>
      <c r="H486" s="68" t="s">
        <v>3058</v>
      </c>
      <c r="I486" s="68" t="s">
        <v>3050</v>
      </c>
      <c r="J486" s="68" t="s">
        <v>3732</v>
      </c>
      <c r="K486" s="69" t="s">
        <v>3732</v>
      </c>
      <c r="L486" s="69" t="str">
        <f>VLOOKUP(LinkTable6789[[#This Row],[Coluna1]],[4]AlarmCatalog!$A:$M,11,FALSE)</f>
        <v>Severidade 6</v>
      </c>
    </row>
    <row r="487" spans="1:12" s="67" customFormat="1" ht="16.5" customHeight="1" x14ac:dyDescent="0.25">
      <c r="A487" s="68" t="s">
        <v>3734</v>
      </c>
      <c r="B487" s="68" t="s">
        <v>2349</v>
      </c>
      <c r="C487" s="68" t="s">
        <v>3094</v>
      </c>
      <c r="D487" s="68" t="s">
        <v>2809</v>
      </c>
      <c r="E487" s="68" t="s">
        <v>3046</v>
      </c>
      <c r="F487" s="68" t="s">
        <v>3047</v>
      </c>
      <c r="G487" s="68" t="s">
        <v>3048</v>
      </c>
      <c r="H487" s="68" t="s">
        <v>3058</v>
      </c>
      <c r="I487" s="68" t="s">
        <v>3050</v>
      </c>
      <c r="J487" s="68" t="s">
        <v>3732</v>
      </c>
      <c r="K487" s="69" t="s">
        <v>3732</v>
      </c>
      <c r="L487" s="69" t="str">
        <f>VLOOKUP(LinkTable6789[[#This Row],[Coluna1]],[4]AlarmCatalog!$A:$M,11,FALSE)</f>
        <v>Severidade 6</v>
      </c>
    </row>
    <row r="488" spans="1:12" s="67" customFormat="1" ht="16.5" customHeight="1" x14ac:dyDescent="0.25">
      <c r="A488" s="68" t="s">
        <v>3735</v>
      </c>
      <c r="B488" s="68" t="s">
        <v>2349</v>
      </c>
      <c r="C488" s="68" t="s">
        <v>3094</v>
      </c>
      <c r="D488" s="68" t="s">
        <v>2809</v>
      </c>
      <c r="E488" s="68" t="s">
        <v>2990</v>
      </c>
      <c r="F488" s="68" t="s">
        <v>3180</v>
      </c>
      <c r="G488" s="68" t="s">
        <v>3048</v>
      </c>
      <c r="H488" s="68" t="s">
        <v>3068</v>
      </c>
      <c r="I488" s="68" t="s">
        <v>3050</v>
      </c>
      <c r="J488" s="68" t="s">
        <v>3720</v>
      </c>
      <c r="K488" s="69" t="s">
        <v>3720</v>
      </c>
      <c r="L488" s="69" t="str">
        <f>VLOOKUP(LinkTable6789[[#This Row],[Coluna1]],[4]AlarmCatalog!$A:$M,11,FALSE)</f>
        <v>Severidade 6</v>
      </c>
    </row>
    <row r="489" spans="1:12" s="67" customFormat="1" ht="16.5" customHeight="1" x14ac:dyDescent="0.25">
      <c r="A489" s="68" t="s">
        <v>3736</v>
      </c>
      <c r="B489" s="68" t="s">
        <v>2349</v>
      </c>
      <c r="C489" s="68" t="s">
        <v>3094</v>
      </c>
      <c r="D489" s="68" t="s">
        <v>2809</v>
      </c>
      <c r="E489" s="68" t="s">
        <v>3046</v>
      </c>
      <c r="F489" s="68" t="s">
        <v>3047</v>
      </c>
      <c r="G489" s="68" t="s">
        <v>3048</v>
      </c>
      <c r="H489" s="68" t="s">
        <v>3068</v>
      </c>
      <c r="I489" s="68" t="s">
        <v>3050</v>
      </c>
      <c r="J489" s="68" t="s">
        <v>3732</v>
      </c>
      <c r="K489" s="69" t="s">
        <v>3732</v>
      </c>
      <c r="L489" s="69" t="str">
        <f>VLOOKUP(LinkTable6789[[#This Row],[Coluna1]],[4]AlarmCatalog!$A:$M,11,FALSE)</f>
        <v>Severidade 6</v>
      </c>
    </row>
    <row r="490" spans="1:12" s="67" customFormat="1" ht="16.5" customHeight="1" x14ac:dyDescent="0.25">
      <c r="A490" s="68" t="s">
        <v>3737</v>
      </c>
      <c r="B490" s="68" t="s">
        <v>2349</v>
      </c>
      <c r="C490" s="68" t="s">
        <v>3094</v>
      </c>
      <c r="D490" s="68" t="s">
        <v>2809</v>
      </c>
      <c r="E490" s="68" t="s">
        <v>3046</v>
      </c>
      <c r="F490" s="68" t="s">
        <v>3180</v>
      </c>
      <c r="G490" s="68" t="s">
        <v>3048</v>
      </c>
      <c r="H490" s="68" t="s">
        <v>3068</v>
      </c>
      <c r="I490" s="68" t="s">
        <v>3050</v>
      </c>
      <c r="J490" s="68" t="s">
        <v>3720</v>
      </c>
      <c r="K490" s="69" t="s">
        <v>3720</v>
      </c>
      <c r="L490" s="69" t="str">
        <f>VLOOKUP(LinkTable6789[[#This Row],[Coluna1]],[4]AlarmCatalog!$A:$M,11,FALSE)</f>
        <v>Severidade 6</v>
      </c>
    </row>
    <row r="491" spans="1:12" s="67" customFormat="1" ht="16.5" customHeight="1" x14ac:dyDescent="0.25">
      <c r="A491" s="68" t="s">
        <v>3738</v>
      </c>
      <c r="B491" s="68" t="s">
        <v>2349</v>
      </c>
      <c r="C491" s="68" t="s">
        <v>3094</v>
      </c>
      <c r="D491" s="68" t="s">
        <v>2809</v>
      </c>
      <c r="E491" s="68" t="s">
        <v>2809</v>
      </c>
      <c r="F491" s="68" t="s">
        <v>3180</v>
      </c>
      <c r="G491" s="68" t="s">
        <v>3048</v>
      </c>
      <c r="H491" s="68" t="s">
        <v>3068</v>
      </c>
      <c r="I491" s="68" t="s">
        <v>3050</v>
      </c>
      <c r="J491" s="68" t="s">
        <v>3720</v>
      </c>
      <c r="K491" s="69" t="s">
        <v>3720</v>
      </c>
      <c r="L491" s="69" t="str">
        <f>VLOOKUP(LinkTable6789[[#This Row],[Coluna1]],[4]AlarmCatalog!$A:$M,11,FALSE)</f>
        <v>Severidade 6</v>
      </c>
    </row>
    <row r="492" spans="1:12" s="67" customFormat="1" ht="16.5" customHeight="1" x14ac:dyDescent="0.25">
      <c r="A492" s="68" t="s">
        <v>3739</v>
      </c>
      <c r="B492" s="68" t="s">
        <v>2349</v>
      </c>
      <c r="C492" s="68" t="s">
        <v>3094</v>
      </c>
      <c r="D492" s="68" t="s">
        <v>2809</v>
      </c>
      <c r="E492" s="68" t="s">
        <v>3053</v>
      </c>
      <c r="F492" s="68" t="s">
        <v>3180</v>
      </c>
      <c r="G492" s="68" t="s">
        <v>3048</v>
      </c>
      <c r="H492" s="68" t="s">
        <v>3068</v>
      </c>
      <c r="I492" s="68" t="s">
        <v>3050</v>
      </c>
      <c r="J492" s="68" t="s">
        <v>3720</v>
      </c>
      <c r="K492" s="69" t="s">
        <v>3720</v>
      </c>
      <c r="L492" s="69" t="str">
        <f>VLOOKUP(LinkTable6789[[#This Row],[Coluna1]],[4]AlarmCatalog!$A:$M,11,FALSE)</f>
        <v>Severidade 6</v>
      </c>
    </row>
    <row r="493" spans="1:12" s="67" customFormat="1" ht="16.5" customHeight="1" x14ac:dyDescent="0.25">
      <c r="A493" s="68" t="s">
        <v>3740</v>
      </c>
      <c r="B493" s="68" t="s">
        <v>2349</v>
      </c>
      <c r="C493" s="68" t="s">
        <v>3094</v>
      </c>
      <c r="D493" s="68" t="s">
        <v>2809</v>
      </c>
      <c r="E493" s="68" t="s">
        <v>3053</v>
      </c>
      <c r="F493" s="68" t="s">
        <v>3180</v>
      </c>
      <c r="G493" s="68" t="s">
        <v>3048</v>
      </c>
      <c r="H493" s="68" t="s">
        <v>3068</v>
      </c>
      <c r="I493" s="68" t="s">
        <v>3050</v>
      </c>
      <c r="J493" s="68" t="s">
        <v>3732</v>
      </c>
      <c r="K493" s="69" t="s">
        <v>3732</v>
      </c>
      <c r="L493" s="69" t="str">
        <f>VLOOKUP(LinkTable6789[[#This Row],[Coluna1]],[4]AlarmCatalog!$A:$M,11,FALSE)</f>
        <v>Severidade 6</v>
      </c>
    </row>
    <row r="494" spans="1:12" s="67" customFormat="1" ht="16.5" customHeight="1" x14ac:dyDescent="0.25">
      <c r="A494" s="68" t="s">
        <v>2823</v>
      </c>
      <c r="B494" s="68" t="s">
        <v>2349</v>
      </c>
      <c r="C494" s="68" t="s">
        <v>2984</v>
      </c>
      <c r="D494" s="68" t="s">
        <v>2809</v>
      </c>
      <c r="E494" s="68" t="s">
        <v>3046</v>
      </c>
      <c r="F494" s="68" t="s">
        <v>3047</v>
      </c>
      <c r="G494" s="68" t="s">
        <v>3048</v>
      </c>
      <c r="H494" s="68" t="s">
        <v>3058</v>
      </c>
      <c r="I494" s="68" t="s">
        <v>3050</v>
      </c>
      <c r="J494" s="68" t="s">
        <v>3741</v>
      </c>
      <c r="K494" s="69" t="s">
        <v>3741</v>
      </c>
      <c r="L494" s="69" t="str">
        <f>VLOOKUP(LinkTable6789[[#This Row],[Coluna1]],[4]AlarmCatalog!$A:$M,11,FALSE)</f>
        <v>Severidade 7</v>
      </c>
    </row>
    <row r="495" spans="1:12" s="67" customFormat="1" ht="16.5" customHeight="1" x14ac:dyDescent="0.25">
      <c r="A495" s="68" t="s">
        <v>3742</v>
      </c>
      <c r="B495" s="68" t="s">
        <v>2349</v>
      </c>
      <c r="C495" s="68" t="s">
        <v>2985</v>
      </c>
      <c r="D495" s="68" t="s">
        <v>2809</v>
      </c>
      <c r="E495" s="68" t="s">
        <v>3053</v>
      </c>
      <c r="F495" s="68" t="s">
        <v>3047</v>
      </c>
      <c r="G495" s="68" t="s">
        <v>3048</v>
      </c>
      <c r="H495" s="68" t="s">
        <v>3058</v>
      </c>
      <c r="I495" s="68" t="s">
        <v>3050</v>
      </c>
      <c r="J495" s="68" t="s">
        <v>3741</v>
      </c>
      <c r="K495" s="69" t="s">
        <v>3741</v>
      </c>
      <c r="L495" s="69" t="str">
        <f>VLOOKUP(LinkTable6789[[#This Row],[Coluna1]],[4]AlarmCatalog!$A:$M,11,FALSE)</f>
        <v>Severidade 7</v>
      </c>
    </row>
    <row r="496" spans="1:12" s="67" customFormat="1" ht="16.5" customHeight="1" x14ac:dyDescent="0.25">
      <c r="A496" s="68" t="s">
        <v>3743</v>
      </c>
      <c r="B496" s="68" t="s">
        <v>2349</v>
      </c>
      <c r="C496" s="68" t="s">
        <v>3103</v>
      </c>
      <c r="D496" s="68" t="s">
        <v>2809</v>
      </c>
      <c r="E496" s="68" t="s">
        <v>3053</v>
      </c>
      <c r="F496" s="68" t="s">
        <v>3744</v>
      </c>
      <c r="G496" s="68" t="s">
        <v>3048</v>
      </c>
      <c r="H496" s="68" t="s">
        <v>3058</v>
      </c>
      <c r="I496" s="68" t="s">
        <v>3050</v>
      </c>
      <c r="J496" s="68" t="s">
        <v>3745</v>
      </c>
      <c r="K496" s="69" t="s">
        <v>3745</v>
      </c>
      <c r="L496" s="69" t="str">
        <f>VLOOKUP(LinkTable6789[[#This Row],[Coluna1]],[4]AlarmCatalog!$A:$M,11,FALSE)</f>
        <v>Severidade 7</v>
      </c>
    </row>
    <row r="497" spans="1:12" s="67" customFormat="1" ht="16.5" customHeight="1" x14ac:dyDescent="0.25">
      <c r="A497" s="68" t="s">
        <v>3746</v>
      </c>
      <c r="B497" s="68" t="s">
        <v>2349</v>
      </c>
      <c r="C497" s="68" t="s">
        <v>2989</v>
      </c>
      <c r="D497" s="68" t="s">
        <v>2990</v>
      </c>
      <c r="E497" s="68" t="s">
        <v>2990</v>
      </c>
      <c r="F497" s="68" t="s">
        <v>3047</v>
      </c>
      <c r="G497" s="68" t="s">
        <v>3048</v>
      </c>
      <c r="H497" s="68" t="s">
        <v>3159</v>
      </c>
      <c r="I497" s="68" t="s">
        <v>3050</v>
      </c>
      <c r="J497" s="68" t="s">
        <v>3741</v>
      </c>
      <c r="K497" s="69" t="s">
        <v>3741</v>
      </c>
      <c r="L497" s="69" t="str">
        <f>VLOOKUP(LinkTable6789[[#This Row],[Coluna1]],[4]AlarmCatalog!$A:$M,11,FALSE)</f>
        <v>Severidade 7</v>
      </c>
    </row>
    <row r="498" spans="1:12" s="67" customFormat="1" ht="16.5" customHeight="1" x14ac:dyDescent="0.25">
      <c r="A498" s="68" t="s">
        <v>3747</v>
      </c>
      <c r="B498" s="68" t="s">
        <v>2349</v>
      </c>
      <c r="C498" s="68" t="s">
        <v>3366</v>
      </c>
      <c r="D498" s="68" t="s">
        <v>2809</v>
      </c>
      <c r="E498" s="68" t="s">
        <v>3053</v>
      </c>
      <c r="F498" s="68" t="s">
        <v>3047</v>
      </c>
      <c r="G498" s="68" t="s">
        <v>3048</v>
      </c>
      <c r="H498" s="68" t="s">
        <v>3058</v>
      </c>
      <c r="I498" s="68" t="s">
        <v>3050</v>
      </c>
      <c r="J498" s="68" t="s">
        <v>3741</v>
      </c>
      <c r="K498" s="69" t="s">
        <v>3741</v>
      </c>
      <c r="L498" s="69" t="str">
        <f>VLOOKUP(LinkTable6789[[#This Row],[Coluna1]],[4]AlarmCatalog!$A:$M,11,FALSE)</f>
        <v>Severidade 7</v>
      </c>
    </row>
    <row r="499" spans="1:12" s="67" customFormat="1" ht="16.5" customHeight="1" x14ac:dyDescent="0.25">
      <c r="A499" s="68" t="s">
        <v>3748</v>
      </c>
      <c r="B499" s="68" t="s">
        <v>2349</v>
      </c>
      <c r="C499" s="68" t="s">
        <v>3094</v>
      </c>
      <c r="D499" s="68" t="s">
        <v>2809</v>
      </c>
      <c r="E499" s="68" t="s">
        <v>2809</v>
      </c>
      <c r="F499" s="68" t="s">
        <v>3180</v>
      </c>
      <c r="G499" s="68" t="s">
        <v>3048</v>
      </c>
      <c r="H499" s="68" t="s">
        <v>3058</v>
      </c>
      <c r="I499" s="68" t="s">
        <v>3050</v>
      </c>
      <c r="J499" s="68" t="s">
        <v>3741</v>
      </c>
      <c r="K499" s="69" t="s">
        <v>3741</v>
      </c>
      <c r="L499" s="69" t="str">
        <f>VLOOKUP(LinkTable6789[[#This Row],[Coluna1]],[4]AlarmCatalog!$A:$M,11,FALSE)</f>
        <v>Severidade 7</v>
      </c>
    </row>
    <row r="500" spans="1:12" s="67" customFormat="1" ht="16.5" customHeight="1" x14ac:dyDescent="0.25">
      <c r="A500" s="68" t="s">
        <v>3749</v>
      </c>
      <c r="B500" s="68" t="s">
        <v>2349</v>
      </c>
      <c r="C500" s="68" t="s">
        <v>3253</v>
      </c>
      <c r="D500" s="68" t="s">
        <v>2809</v>
      </c>
      <c r="E500" s="68" t="s">
        <v>3046</v>
      </c>
      <c r="F500" s="68" t="s">
        <v>3047</v>
      </c>
      <c r="G500" s="68" t="s">
        <v>3048</v>
      </c>
      <c r="H500" s="68" t="s">
        <v>3077</v>
      </c>
      <c r="I500" s="68" t="s">
        <v>3050</v>
      </c>
      <c r="J500" s="68" t="s">
        <v>3741</v>
      </c>
      <c r="K500" s="69" t="s">
        <v>3741</v>
      </c>
      <c r="L500" s="69" t="str">
        <f>VLOOKUP(LinkTable6789[[#This Row],[Coluna1]],[4]AlarmCatalog!$A:$M,11,FALSE)</f>
        <v>Severidade 7</v>
      </c>
    </row>
    <row r="501" spans="1:12" s="67" customFormat="1" ht="16.5" customHeight="1" x14ac:dyDescent="0.25">
      <c r="A501" s="68" t="s">
        <v>104</v>
      </c>
      <c r="B501" s="68" t="s">
        <v>2349</v>
      </c>
      <c r="C501" s="68" t="s">
        <v>3253</v>
      </c>
      <c r="D501" s="68" t="s">
        <v>2809</v>
      </c>
      <c r="E501" s="68" t="s">
        <v>3053</v>
      </c>
      <c r="F501" s="68" t="s">
        <v>3047</v>
      </c>
      <c r="G501" s="68" t="s">
        <v>3048</v>
      </c>
      <c r="H501" s="68" t="s">
        <v>3077</v>
      </c>
      <c r="I501" s="68" t="s">
        <v>3050</v>
      </c>
      <c r="J501" s="68" t="s">
        <v>3741</v>
      </c>
      <c r="K501" s="69" t="s">
        <v>3741</v>
      </c>
      <c r="L501" s="69" t="str">
        <f>VLOOKUP(LinkTable6789[[#This Row],[Coluna1]],[4]AlarmCatalog!$A:$M,11,FALSE)</f>
        <v>Severidade 7</v>
      </c>
    </row>
    <row r="502" spans="1:12" s="67" customFormat="1" ht="16.5" customHeight="1" x14ac:dyDescent="0.25">
      <c r="A502" s="68" t="s">
        <v>3750</v>
      </c>
      <c r="B502" s="68" t="s">
        <v>2349</v>
      </c>
      <c r="C502" s="68" t="s">
        <v>2988</v>
      </c>
      <c r="D502" s="68" t="s">
        <v>2809</v>
      </c>
      <c r="E502" s="68" t="s">
        <v>3046</v>
      </c>
      <c r="F502" s="68" t="s">
        <v>3047</v>
      </c>
      <c r="G502" s="68" t="s">
        <v>3048</v>
      </c>
      <c r="H502" s="68" t="s">
        <v>3077</v>
      </c>
      <c r="I502" s="68" t="s">
        <v>3050</v>
      </c>
      <c r="J502" s="68" t="s">
        <v>3741</v>
      </c>
      <c r="K502" s="69" t="s">
        <v>3741</v>
      </c>
      <c r="L502" s="69" t="str">
        <f>VLOOKUP(LinkTable6789[[#This Row],[Coluna1]],[4]AlarmCatalog!$A:$M,11,FALSE)</f>
        <v>Severidade 7</v>
      </c>
    </row>
    <row r="503" spans="1:12" s="67" customFormat="1" ht="16.5" customHeight="1" x14ac:dyDescent="0.25">
      <c r="A503" s="68" t="s">
        <v>118</v>
      </c>
      <c r="B503" s="68" t="s">
        <v>2349</v>
      </c>
      <c r="C503" s="68" t="s">
        <v>2991</v>
      </c>
      <c r="D503" s="68" t="s">
        <v>2809</v>
      </c>
      <c r="E503" s="68" t="s">
        <v>3053</v>
      </c>
      <c r="F503" s="68" t="s">
        <v>3047</v>
      </c>
      <c r="G503" s="68" t="s">
        <v>3048</v>
      </c>
      <c r="H503" s="68" t="s">
        <v>3077</v>
      </c>
      <c r="I503" s="68" t="s">
        <v>3050</v>
      </c>
      <c r="J503" s="68" t="s">
        <v>3751</v>
      </c>
      <c r="K503" s="69" t="s">
        <v>3751</v>
      </c>
      <c r="L503" s="69" t="str">
        <f>VLOOKUP(LinkTable6789[[#This Row],[Coluna1]],[4]AlarmCatalog!$A:$M,11,FALSE)</f>
        <v>Severidade 7</v>
      </c>
    </row>
    <row r="504" spans="1:12" s="67" customFormat="1" ht="16.5" customHeight="1" x14ac:dyDescent="0.25">
      <c r="A504" s="68" t="s">
        <v>107</v>
      </c>
      <c r="B504" s="68" t="s">
        <v>2349</v>
      </c>
      <c r="C504" s="68" t="s">
        <v>2988</v>
      </c>
      <c r="D504" s="68" t="s">
        <v>2809</v>
      </c>
      <c r="E504" s="68" t="s">
        <v>3053</v>
      </c>
      <c r="F504" s="68" t="s">
        <v>3047</v>
      </c>
      <c r="G504" s="68" t="s">
        <v>3048</v>
      </c>
      <c r="H504" s="68" t="s">
        <v>3058</v>
      </c>
      <c r="I504" s="68" t="s">
        <v>3050</v>
      </c>
      <c r="J504" s="68" t="s">
        <v>3741</v>
      </c>
      <c r="K504" s="69" t="s">
        <v>3741</v>
      </c>
      <c r="L504" s="69" t="str">
        <f>VLOOKUP(LinkTable6789[[#This Row],[Coluna1]],[4]AlarmCatalog!$A:$M,11,FALSE)</f>
        <v>Severidade 7</v>
      </c>
    </row>
    <row r="505" spans="1:12" s="67" customFormat="1" ht="16.5" customHeight="1" x14ac:dyDescent="0.25">
      <c r="A505" s="68" t="s">
        <v>1216</v>
      </c>
      <c r="B505" s="68" t="s">
        <v>2349</v>
      </c>
      <c r="C505" s="68" t="s">
        <v>3306</v>
      </c>
      <c r="D505" s="68" t="s">
        <v>2809</v>
      </c>
      <c r="E505" s="68" t="s">
        <v>3053</v>
      </c>
      <c r="F505" s="68" t="s">
        <v>3047</v>
      </c>
      <c r="G505" s="68" t="s">
        <v>3057</v>
      </c>
      <c r="H505" s="68" t="s">
        <v>3077</v>
      </c>
      <c r="I505" s="68" t="s">
        <v>3050</v>
      </c>
      <c r="J505" s="68" t="s">
        <v>3741</v>
      </c>
      <c r="K505" s="69" t="s">
        <v>3741</v>
      </c>
      <c r="L505" s="69" t="str">
        <f>VLOOKUP(LinkTable6789[[#This Row],[Coluna1]],[4]AlarmCatalog!$A:$M,11,FALSE)</f>
        <v>Severidade 7</v>
      </c>
    </row>
    <row r="506" spans="1:12" s="67" customFormat="1" ht="16.5" customHeight="1" x14ac:dyDescent="0.25">
      <c r="A506" s="68" t="s">
        <v>1215</v>
      </c>
      <c r="B506" s="68" t="s">
        <v>2349</v>
      </c>
      <c r="C506" s="68" t="s">
        <v>2989</v>
      </c>
      <c r="D506" s="68" t="s">
        <v>2990</v>
      </c>
      <c r="E506" s="68" t="s">
        <v>3053</v>
      </c>
      <c r="F506" s="68" t="s">
        <v>3047</v>
      </c>
      <c r="G506" s="68" t="s">
        <v>3057</v>
      </c>
      <c r="H506" s="68" t="s">
        <v>3077</v>
      </c>
      <c r="I506" s="68" t="s">
        <v>3050</v>
      </c>
      <c r="J506" s="68" t="s">
        <v>3751</v>
      </c>
      <c r="K506" s="69" t="s">
        <v>3751</v>
      </c>
      <c r="L506" s="69" t="str">
        <f>VLOOKUP(LinkTable6789[[#This Row],[Coluna1]],[4]AlarmCatalog!$A:$M,11,FALSE)</f>
        <v>Severidade 7</v>
      </c>
    </row>
    <row r="507" spans="1:12" s="67" customFormat="1" ht="16.5" customHeight="1" x14ac:dyDescent="0.25">
      <c r="A507" s="68" t="s">
        <v>3752</v>
      </c>
      <c r="B507" s="68" t="s">
        <v>2349</v>
      </c>
      <c r="C507" s="68" t="s">
        <v>2991</v>
      </c>
      <c r="D507" s="68" t="s">
        <v>2809</v>
      </c>
      <c r="E507" s="68" t="s">
        <v>3053</v>
      </c>
      <c r="F507" s="68" t="s">
        <v>3047</v>
      </c>
      <c r="G507" s="68" t="s">
        <v>3048</v>
      </c>
      <c r="H507" s="68" t="s">
        <v>3058</v>
      </c>
      <c r="I507" s="68" t="s">
        <v>3050</v>
      </c>
      <c r="J507" s="68" t="s">
        <v>3741</v>
      </c>
      <c r="K507" s="69" t="s">
        <v>3741</v>
      </c>
      <c r="L507" s="69" t="str">
        <f>VLOOKUP(LinkTable6789[[#This Row],[Coluna1]],[4]AlarmCatalog!$A:$M,11,FALSE)</f>
        <v>Severidade 7</v>
      </c>
    </row>
    <row r="508" spans="1:12" s="67" customFormat="1" ht="16.5" customHeight="1" x14ac:dyDescent="0.25">
      <c r="A508" s="68" t="s">
        <v>3753</v>
      </c>
      <c r="B508" s="68" t="s">
        <v>2349</v>
      </c>
      <c r="C508" s="68" t="s">
        <v>2991</v>
      </c>
      <c r="D508" s="68" t="s">
        <v>2809</v>
      </c>
      <c r="E508" s="68" t="s">
        <v>3046</v>
      </c>
      <c r="F508" s="68" t="s">
        <v>3047</v>
      </c>
      <c r="G508" s="68" t="s">
        <v>3048</v>
      </c>
      <c r="H508" s="68" t="s">
        <v>3058</v>
      </c>
      <c r="I508" s="68" t="s">
        <v>3050</v>
      </c>
      <c r="J508" s="68" t="s">
        <v>3741</v>
      </c>
      <c r="K508" s="69" t="s">
        <v>3741</v>
      </c>
      <c r="L508" s="69" t="str">
        <f>VLOOKUP(LinkTable6789[[#This Row],[Coluna1]],[4]AlarmCatalog!$A:$M,11,FALSE)</f>
        <v>Severidade 7</v>
      </c>
    </row>
    <row r="509" spans="1:12" s="67" customFormat="1" ht="16.5" customHeight="1" x14ac:dyDescent="0.25">
      <c r="A509" s="68" t="s">
        <v>1195</v>
      </c>
      <c r="B509" s="68" t="s">
        <v>2349</v>
      </c>
      <c r="C509" s="68" t="s">
        <v>3286</v>
      </c>
      <c r="D509" s="68" t="s">
        <v>2809</v>
      </c>
      <c r="E509" s="68" t="s">
        <v>3053</v>
      </c>
      <c r="F509" s="68" t="s">
        <v>3047</v>
      </c>
      <c r="G509" s="68" t="s">
        <v>3048</v>
      </c>
      <c r="H509" s="68" t="s">
        <v>3077</v>
      </c>
      <c r="I509" s="68" t="s">
        <v>3050</v>
      </c>
      <c r="J509" s="68" t="s">
        <v>3741</v>
      </c>
      <c r="K509" s="69" t="s">
        <v>3741</v>
      </c>
      <c r="L509" s="69" t="str">
        <f>VLOOKUP(LinkTable6789[[#This Row],[Coluna1]],[4]AlarmCatalog!$A:$M,11,FALSE)</f>
        <v>Severidade 7</v>
      </c>
    </row>
    <row r="510" spans="1:12" s="67" customFormat="1" ht="16.5" customHeight="1" x14ac:dyDescent="0.25">
      <c r="A510" s="68" t="s">
        <v>3754</v>
      </c>
      <c r="B510" s="68" t="s">
        <v>2349</v>
      </c>
      <c r="C510" s="68" t="s">
        <v>3326</v>
      </c>
      <c r="D510" s="68" t="s">
        <v>2809</v>
      </c>
      <c r="E510" s="68" t="s">
        <v>3053</v>
      </c>
      <c r="F510" s="68" t="s">
        <v>3047</v>
      </c>
      <c r="G510" s="68" t="s">
        <v>3048</v>
      </c>
      <c r="H510" s="68" t="s">
        <v>3058</v>
      </c>
      <c r="I510" s="68" t="s">
        <v>3050</v>
      </c>
      <c r="J510" s="68" t="s">
        <v>3741</v>
      </c>
      <c r="K510" s="69" t="s">
        <v>3741</v>
      </c>
      <c r="L510" s="69" t="str">
        <f>VLOOKUP(LinkTable6789[[#This Row],[Coluna1]],[4]AlarmCatalog!$A:$M,11,FALSE)</f>
        <v>Severidade 7</v>
      </c>
    </row>
    <row r="511" spans="1:12" s="67" customFormat="1" ht="16.5" customHeight="1" x14ac:dyDescent="0.25">
      <c r="A511" s="68" t="s">
        <v>3755</v>
      </c>
      <c r="B511" s="68" t="s">
        <v>2349</v>
      </c>
      <c r="C511" s="68" t="s">
        <v>2991</v>
      </c>
      <c r="D511" s="68" t="s">
        <v>2809</v>
      </c>
      <c r="E511" s="68" t="s">
        <v>3053</v>
      </c>
      <c r="F511" s="68" t="s">
        <v>3047</v>
      </c>
      <c r="G511" s="68" t="s">
        <v>3048</v>
      </c>
      <c r="H511" s="68" t="s">
        <v>3058</v>
      </c>
      <c r="I511" s="68" t="s">
        <v>3050</v>
      </c>
      <c r="J511" s="68" t="s">
        <v>3741</v>
      </c>
      <c r="K511" s="69" t="s">
        <v>3741</v>
      </c>
      <c r="L511" s="69" t="str">
        <f>VLOOKUP(LinkTable6789[[#This Row],[Coluna1]],[4]AlarmCatalog!$A:$M,11,FALSE)</f>
        <v>Severidade 7</v>
      </c>
    </row>
    <row r="512" spans="1:12" s="67" customFormat="1" ht="16.5" customHeight="1" x14ac:dyDescent="0.25">
      <c r="A512" s="68" t="s">
        <v>3756</v>
      </c>
      <c r="B512" s="68" t="s">
        <v>2349</v>
      </c>
      <c r="C512" s="68" t="s">
        <v>3347</v>
      </c>
      <c r="D512" s="68" t="s">
        <v>2809</v>
      </c>
      <c r="E512" s="68" t="s">
        <v>3053</v>
      </c>
      <c r="F512" s="68" t="s">
        <v>3047</v>
      </c>
      <c r="G512" s="68" t="s">
        <v>3048</v>
      </c>
      <c r="H512" s="68" t="s">
        <v>3058</v>
      </c>
      <c r="I512" s="68" t="s">
        <v>3050</v>
      </c>
      <c r="J512" s="68" t="s">
        <v>3741</v>
      </c>
      <c r="K512" s="69" t="s">
        <v>3741</v>
      </c>
      <c r="L512" s="69" t="str">
        <f>VLOOKUP(LinkTable6789[[#This Row],[Coluna1]],[4]AlarmCatalog!$A:$M,11,FALSE)</f>
        <v>Severidade 7</v>
      </c>
    </row>
    <row r="513" spans="1:12" s="67" customFormat="1" ht="16.5" customHeight="1" x14ac:dyDescent="0.25">
      <c r="A513" s="68" t="s">
        <v>3757</v>
      </c>
      <c r="B513" s="68" t="s">
        <v>2349</v>
      </c>
      <c r="C513" s="68" t="s">
        <v>3354</v>
      </c>
      <c r="D513" s="68" t="s">
        <v>2809</v>
      </c>
      <c r="E513" s="68" t="s">
        <v>3053</v>
      </c>
      <c r="F513" s="68" t="s">
        <v>3047</v>
      </c>
      <c r="G513" s="68" t="s">
        <v>3048</v>
      </c>
      <c r="H513" s="68" t="s">
        <v>3058</v>
      </c>
      <c r="I513" s="68" t="s">
        <v>3050</v>
      </c>
      <c r="J513" s="68" t="s">
        <v>3741</v>
      </c>
      <c r="K513" s="69" t="s">
        <v>3741</v>
      </c>
      <c r="L513" s="69" t="str">
        <f>VLOOKUP(LinkTable6789[[#This Row],[Coluna1]],[4]AlarmCatalog!$A:$M,11,FALSE)</f>
        <v>Severidade 7</v>
      </c>
    </row>
    <row r="514" spans="1:12" s="67" customFormat="1" ht="16.5" customHeight="1" x14ac:dyDescent="0.25">
      <c r="A514" s="68" t="s">
        <v>3758</v>
      </c>
      <c r="B514" s="68" t="s">
        <v>2349</v>
      </c>
      <c r="C514" s="68" t="s">
        <v>3324</v>
      </c>
      <c r="D514" s="68" t="s">
        <v>2809</v>
      </c>
      <c r="E514" s="68" t="s">
        <v>3053</v>
      </c>
      <c r="F514" s="68" t="s">
        <v>3047</v>
      </c>
      <c r="G514" s="68" t="s">
        <v>3048</v>
      </c>
      <c r="H514" s="68" t="s">
        <v>3077</v>
      </c>
      <c r="I514" s="68" t="s">
        <v>3050</v>
      </c>
      <c r="J514" s="68" t="s">
        <v>3741</v>
      </c>
      <c r="K514" s="69" t="s">
        <v>3741</v>
      </c>
      <c r="L514" s="69" t="str">
        <f>VLOOKUP(LinkTable6789[[#This Row],[Coluna1]],[4]AlarmCatalog!$A:$M,11,FALSE)</f>
        <v>Severidade 7</v>
      </c>
    </row>
    <row r="515" spans="1:12" s="67" customFormat="1" ht="16.5" customHeight="1" x14ac:dyDescent="0.25">
      <c r="A515" s="68" t="s">
        <v>3759</v>
      </c>
      <c r="B515" s="68" t="s">
        <v>2349</v>
      </c>
      <c r="C515" s="68" t="s">
        <v>2989</v>
      </c>
      <c r="D515" s="68" t="s">
        <v>2809</v>
      </c>
      <c r="E515" s="68" t="s">
        <v>3046</v>
      </c>
      <c r="F515" s="68" t="s">
        <v>3047</v>
      </c>
      <c r="G515" s="68" t="s">
        <v>3048</v>
      </c>
      <c r="H515" s="68" t="s">
        <v>3058</v>
      </c>
      <c r="I515" s="68" t="s">
        <v>3050</v>
      </c>
      <c r="J515" s="68" t="s">
        <v>3741</v>
      </c>
      <c r="K515" s="69" t="s">
        <v>3741</v>
      </c>
      <c r="L515" s="69" t="str">
        <f>VLOOKUP(LinkTable6789[[#This Row],[Coluna1]],[4]AlarmCatalog!$A:$M,11,FALSE)</f>
        <v>Severidade 7</v>
      </c>
    </row>
    <row r="516" spans="1:12" s="67" customFormat="1" ht="16.5" customHeight="1" x14ac:dyDescent="0.25">
      <c r="A516" s="68" t="s">
        <v>3760</v>
      </c>
      <c r="B516" s="68" t="s">
        <v>2349</v>
      </c>
      <c r="C516" s="68" t="s">
        <v>3306</v>
      </c>
      <c r="D516" s="68" t="s">
        <v>2809</v>
      </c>
      <c r="E516" s="68" t="s">
        <v>3046</v>
      </c>
      <c r="F516" s="68" t="s">
        <v>3047</v>
      </c>
      <c r="G516" s="68" t="s">
        <v>3048</v>
      </c>
      <c r="H516" s="68" t="s">
        <v>3058</v>
      </c>
      <c r="I516" s="68" t="s">
        <v>3050</v>
      </c>
      <c r="J516" s="68" t="s">
        <v>3741</v>
      </c>
      <c r="K516" s="69" t="s">
        <v>3741</v>
      </c>
      <c r="L516" s="69" t="str">
        <f>VLOOKUP(LinkTable6789[[#This Row],[Coluna1]],[4]AlarmCatalog!$A:$M,11,FALSE)</f>
        <v>Severidade 7</v>
      </c>
    </row>
    <row r="517" spans="1:12" s="67" customFormat="1" ht="16.5" customHeight="1" x14ac:dyDescent="0.25">
      <c r="A517" s="68" t="s">
        <v>1198</v>
      </c>
      <c r="B517" s="68" t="s">
        <v>2349</v>
      </c>
      <c r="C517" s="68" t="s">
        <v>3094</v>
      </c>
      <c r="D517" s="68" t="s">
        <v>2809</v>
      </c>
      <c r="E517" s="68" t="s">
        <v>3053</v>
      </c>
      <c r="F517" s="68" t="s">
        <v>3047</v>
      </c>
      <c r="G517" s="68" t="s">
        <v>3048</v>
      </c>
      <c r="H517" s="68" t="s">
        <v>3058</v>
      </c>
      <c r="I517" s="68" t="s">
        <v>3050</v>
      </c>
      <c r="J517" s="68" t="s">
        <v>3741</v>
      </c>
      <c r="K517" s="69" t="s">
        <v>3741</v>
      </c>
      <c r="L517" s="69" t="str">
        <f>VLOOKUP(LinkTable6789[[#This Row],[Coluna1]],[4]AlarmCatalog!$A:$M,11,FALSE)</f>
        <v>Severidade 7</v>
      </c>
    </row>
    <row r="518" spans="1:12" s="67" customFormat="1" ht="16.5" customHeight="1" x14ac:dyDescent="0.25">
      <c r="A518" s="68" t="s">
        <v>1184</v>
      </c>
      <c r="B518" s="68" t="s">
        <v>2349</v>
      </c>
      <c r="C518" s="68" t="s">
        <v>3292</v>
      </c>
      <c r="D518" s="68" t="s">
        <v>2809</v>
      </c>
      <c r="E518" s="68" t="s">
        <v>3053</v>
      </c>
      <c r="F518" s="68" t="s">
        <v>3047</v>
      </c>
      <c r="G518" s="68" t="s">
        <v>3048</v>
      </c>
      <c r="H518" s="68" t="s">
        <v>3058</v>
      </c>
      <c r="I518" s="68" t="s">
        <v>3050</v>
      </c>
      <c r="J518" s="68" t="s">
        <v>3741</v>
      </c>
      <c r="K518" s="69" t="s">
        <v>3741</v>
      </c>
      <c r="L518" s="69" t="str">
        <f>VLOOKUP(LinkTable6789[[#This Row],[Coluna1]],[4]AlarmCatalog!$A:$M,11,FALSE)</f>
        <v>Severidade 7</v>
      </c>
    </row>
    <row r="519" spans="1:12" s="67" customFormat="1" ht="16.5" customHeight="1" x14ac:dyDescent="0.25">
      <c r="A519" s="68" t="s">
        <v>3761</v>
      </c>
      <c r="B519" s="68" t="s">
        <v>2349</v>
      </c>
      <c r="C519" s="68" t="s">
        <v>3094</v>
      </c>
      <c r="D519" s="68" t="s">
        <v>2809</v>
      </c>
      <c r="E519" s="68" t="s">
        <v>3046</v>
      </c>
      <c r="F519" s="68" t="s">
        <v>3047</v>
      </c>
      <c r="G519" s="68" t="s">
        <v>3048</v>
      </c>
      <c r="H519" s="68" t="s">
        <v>3589</v>
      </c>
      <c r="I519" s="68" t="s">
        <v>3050</v>
      </c>
      <c r="J519" s="68" t="s">
        <v>3741</v>
      </c>
      <c r="K519" s="69" t="s">
        <v>3741</v>
      </c>
      <c r="L519" s="69" t="str">
        <f>VLOOKUP(LinkTable6789[[#This Row],[Coluna1]],[4]AlarmCatalog!$A:$M,11,FALSE)</f>
        <v>Severidade 7</v>
      </c>
    </row>
    <row r="520" spans="1:12" s="67" customFormat="1" ht="16.5" customHeight="1" x14ac:dyDescent="0.25">
      <c r="A520" s="68" t="s">
        <v>3762</v>
      </c>
      <c r="B520" s="68" t="s">
        <v>2349</v>
      </c>
      <c r="C520" s="68" t="s">
        <v>3472</v>
      </c>
      <c r="D520" s="68" t="s">
        <v>2809</v>
      </c>
      <c r="E520" s="68" t="s">
        <v>3053</v>
      </c>
      <c r="F520" s="68" t="s">
        <v>3047</v>
      </c>
      <c r="G520" s="68" t="s">
        <v>3048</v>
      </c>
      <c r="H520" s="68" t="s">
        <v>3058</v>
      </c>
      <c r="I520" s="68" t="s">
        <v>3050</v>
      </c>
      <c r="J520" s="68" t="s">
        <v>3741</v>
      </c>
      <c r="K520" s="69" t="s">
        <v>3741</v>
      </c>
      <c r="L520" s="69" t="str">
        <f>VLOOKUP(LinkTable6789[[#This Row],[Coluna1]],[4]AlarmCatalog!$A:$M,11,FALSE)</f>
        <v>Severidade 7</v>
      </c>
    </row>
    <row r="521" spans="1:12" s="67" customFormat="1" ht="16.5" customHeight="1" x14ac:dyDescent="0.25">
      <c r="A521" s="68" t="s">
        <v>3763</v>
      </c>
      <c r="B521" s="68" t="s">
        <v>2349</v>
      </c>
      <c r="C521" s="68" t="s">
        <v>3764</v>
      </c>
      <c r="D521" s="68" t="s">
        <v>2809</v>
      </c>
      <c r="E521" s="68" t="s">
        <v>3053</v>
      </c>
      <c r="F521" s="68" t="s">
        <v>3047</v>
      </c>
      <c r="G521" s="68" t="s">
        <v>3048</v>
      </c>
      <c r="H521" s="68" t="s">
        <v>3058</v>
      </c>
      <c r="I521" s="68" t="s">
        <v>3050</v>
      </c>
      <c r="J521" s="68" t="s">
        <v>3741</v>
      </c>
      <c r="K521" s="69" t="s">
        <v>3741</v>
      </c>
      <c r="L521" s="69" t="str">
        <f>VLOOKUP(LinkTable6789[[#This Row],[Coluna1]],[4]AlarmCatalog!$A:$M,11,FALSE)</f>
        <v>Severidade 7</v>
      </c>
    </row>
    <row r="522" spans="1:12" s="67" customFormat="1" ht="16.5" customHeight="1" x14ac:dyDescent="0.25">
      <c r="A522" s="68" t="s">
        <v>3765</v>
      </c>
      <c r="B522" s="68" t="s">
        <v>2349</v>
      </c>
      <c r="C522" s="68" t="s">
        <v>3103</v>
      </c>
      <c r="D522" s="68" t="s">
        <v>2809</v>
      </c>
      <c r="E522" s="68" t="s">
        <v>2809</v>
      </c>
      <c r="F522" s="68" t="s">
        <v>3047</v>
      </c>
      <c r="G522" s="68" t="s">
        <v>3048</v>
      </c>
      <c r="H522" s="68" t="s">
        <v>3058</v>
      </c>
      <c r="I522" s="68" t="s">
        <v>3050</v>
      </c>
      <c r="J522" s="68" t="s">
        <v>3741</v>
      </c>
      <c r="K522" s="69" t="s">
        <v>3741</v>
      </c>
      <c r="L522" s="69" t="str">
        <f>VLOOKUP(LinkTable6789[[#This Row],[Coluna1]],[4]AlarmCatalog!$A:$M,11,FALSE)</f>
        <v>Severidade 7</v>
      </c>
    </row>
    <row r="523" spans="1:12" s="67" customFormat="1" ht="16.5" customHeight="1" x14ac:dyDescent="0.25">
      <c r="A523" s="68" t="s">
        <v>3766</v>
      </c>
      <c r="B523" s="68" t="s">
        <v>2349</v>
      </c>
      <c r="C523" s="68" t="s">
        <v>3326</v>
      </c>
      <c r="D523" s="68" t="s">
        <v>2809</v>
      </c>
      <c r="E523" s="68" t="s">
        <v>3053</v>
      </c>
      <c r="F523" s="68" t="s">
        <v>3047</v>
      </c>
      <c r="G523" s="68" t="s">
        <v>3048</v>
      </c>
      <c r="H523" s="68" t="s">
        <v>3058</v>
      </c>
      <c r="I523" s="68" t="s">
        <v>3050</v>
      </c>
      <c r="J523" s="68" t="s">
        <v>3741</v>
      </c>
      <c r="K523" s="69" t="s">
        <v>3741</v>
      </c>
      <c r="L523" s="69" t="str">
        <f>VLOOKUP(LinkTable6789[[#This Row],[Coluna1]],[4]AlarmCatalog!$A:$M,11,FALSE)</f>
        <v>Severidade 7</v>
      </c>
    </row>
    <row r="524" spans="1:12" s="67" customFormat="1" ht="16.5" customHeight="1" x14ac:dyDescent="0.25">
      <c r="A524" s="68" t="s">
        <v>3767</v>
      </c>
      <c r="B524" s="68" t="s">
        <v>2349</v>
      </c>
      <c r="C524" s="68" t="s">
        <v>3374</v>
      </c>
      <c r="D524" s="68" t="s">
        <v>2809</v>
      </c>
      <c r="E524" s="68" t="s">
        <v>3053</v>
      </c>
      <c r="F524" s="68" t="s">
        <v>3047</v>
      </c>
      <c r="G524" s="68" t="s">
        <v>3048</v>
      </c>
      <c r="H524" s="68" t="s">
        <v>3058</v>
      </c>
      <c r="I524" s="68" t="s">
        <v>3050</v>
      </c>
      <c r="J524" s="68" t="s">
        <v>3741</v>
      </c>
      <c r="K524" s="69" t="s">
        <v>3741</v>
      </c>
      <c r="L524" s="69" t="str">
        <f>VLOOKUP(LinkTable6789[[#This Row],[Coluna1]],[4]AlarmCatalog!$A:$M,11,FALSE)</f>
        <v>Severidade 7</v>
      </c>
    </row>
    <row r="525" spans="1:12" s="67" customFormat="1" ht="16.5" customHeight="1" x14ac:dyDescent="0.25">
      <c r="A525" s="68" t="s">
        <v>3768</v>
      </c>
      <c r="B525" s="68" t="s">
        <v>2349</v>
      </c>
      <c r="C525" s="68" t="s">
        <v>3769</v>
      </c>
      <c r="D525" s="68" t="s">
        <v>2809</v>
      </c>
      <c r="E525" s="68" t="s">
        <v>3053</v>
      </c>
      <c r="F525" s="68" t="s">
        <v>3047</v>
      </c>
      <c r="G525" s="68" t="s">
        <v>3048</v>
      </c>
      <c r="H525" s="68" t="s">
        <v>3058</v>
      </c>
      <c r="I525" s="68" t="s">
        <v>3050</v>
      </c>
      <c r="J525" s="68" t="s">
        <v>3770</v>
      </c>
      <c r="K525" s="69" t="s">
        <v>3770</v>
      </c>
      <c r="L525" s="69" t="str">
        <f>VLOOKUP(LinkTable6789[[#This Row],[Coluna1]],[4]AlarmCatalog!$A:$M,11,FALSE)</f>
        <v>Severidade 7</v>
      </c>
    </row>
    <row r="526" spans="1:12" s="67" customFormat="1" ht="16.5" customHeight="1" x14ac:dyDescent="0.25">
      <c r="A526" s="68" t="s">
        <v>3771</v>
      </c>
      <c r="B526" s="68" t="s">
        <v>2349</v>
      </c>
      <c r="C526" s="68" t="s">
        <v>3475</v>
      </c>
      <c r="D526" s="68" t="s">
        <v>2809</v>
      </c>
      <c r="E526" s="68" t="s">
        <v>3053</v>
      </c>
      <c r="F526" s="68" t="s">
        <v>3047</v>
      </c>
      <c r="G526" s="68" t="s">
        <v>3048</v>
      </c>
      <c r="H526" s="68" t="s">
        <v>3058</v>
      </c>
      <c r="I526" s="68" t="s">
        <v>3050</v>
      </c>
      <c r="J526" s="68" t="s">
        <v>3770</v>
      </c>
      <c r="K526" s="69" t="s">
        <v>3770</v>
      </c>
      <c r="L526" s="69" t="str">
        <f>VLOOKUP(LinkTable6789[[#This Row],[Coluna1]],[4]AlarmCatalog!$A:$M,11,FALSE)</f>
        <v>Severidade 7</v>
      </c>
    </row>
    <row r="527" spans="1:12" s="67" customFormat="1" ht="16.5" customHeight="1" x14ac:dyDescent="0.25">
      <c r="A527" s="68" t="s">
        <v>3772</v>
      </c>
      <c r="B527" s="68" t="s">
        <v>2349</v>
      </c>
      <c r="C527" s="68" t="s">
        <v>3286</v>
      </c>
      <c r="D527" s="68" t="s">
        <v>2809</v>
      </c>
      <c r="E527" s="68" t="s">
        <v>3046</v>
      </c>
      <c r="F527" s="68" t="s">
        <v>3047</v>
      </c>
      <c r="G527" s="68" t="s">
        <v>3048</v>
      </c>
      <c r="H527" s="68" t="s">
        <v>3058</v>
      </c>
      <c r="I527" s="68" t="s">
        <v>3050</v>
      </c>
      <c r="J527" s="68" t="s">
        <v>3770</v>
      </c>
      <c r="K527" s="69" t="s">
        <v>3770</v>
      </c>
      <c r="L527" s="69" t="str">
        <f>VLOOKUP(LinkTable6789[[#This Row],[Coluna1]],[4]AlarmCatalog!$A:$M,11,FALSE)</f>
        <v>Severidade 7</v>
      </c>
    </row>
    <row r="528" spans="1:12" s="67" customFormat="1" ht="16.5" customHeight="1" x14ac:dyDescent="0.25">
      <c r="A528" s="68" t="s">
        <v>3773</v>
      </c>
      <c r="B528" s="68" t="s">
        <v>2349</v>
      </c>
      <c r="C528" s="68" t="s">
        <v>3347</v>
      </c>
      <c r="D528" s="68" t="s">
        <v>2809</v>
      </c>
      <c r="E528" s="68" t="s">
        <v>3053</v>
      </c>
      <c r="F528" s="68" t="s">
        <v>3047</v>
      </c>
      <c r="G528" s="68" t="s">
        <v>3048</v>
      </c>
      <c r="H528" s="68" t="s">
        <v>3058</v>
      </c>
      <c r="I528" s="68" t="s">
        <v>3050</v>
      </c>
      <c r="J528" s="68" t="s">
        <v>3770</v>
      </c>
      <c r="K528" s="69" t="s">
        <v>3770</v>
      </c>
      <c r="L528" s="69" t="str">
        <f>VLOOKUP(LinkTable6789[[#This Row],[Coluna1]],[4]AlarmCatalog!$A:$M,11,FALSE)</f>
        <v>Severidade 7</v>
      </c>
    </row>
    <row r="529" spans="1:12" s="67" customFormat="1" ht="16.5" customHeight="1" x14ac:dyDescent="0.25">
      <c r="A529" s="68" t="s">
        <v>3774</v>
      </c>
      <c r="B529" s="68" t="s">
        <v>2349</v>
      </c>
      <c r="C529" s="68" t="s">
        <v>3356</v>
      </c>
      <c r="D529" s="68" t="s">
        <v>2809</v>
      </c>
      <c r="E529" s="68" t="s">
        <v>3053</v>
      </c>
      <c r="F529" s="68" t="s">
        <v>3047</v>
      </c>
      <c r="G529" s="68" t="s">
        <v>3048</v>
      </c>
      <c r="H529" s="68" t="s">
        <v>3058</v>
      </c>
      <c r="I529" s="68" t="s">
        <v>3050</v>
      </c>
      <c r="J529" s="68" t="s">
        <v>3770</v>
      </c>
      <c r="K529" s="69" t="s">
        <v>3770</v>
      </c>
      <c r="L529" s="69" t="str">
        <f>VLOOKUP(LinkTable6789[[#This Row],[Coluna1]],[4]AlarmCatalog!$A:$M,11,FALSE)</f>
        <v>Severidade 7</v>
      </c>
    </row>
    <row r="530" spans="1:12" s="67" customFormat="1" ht="16.5" customHeight="1" x14ac:dyDescent="0.25">
      <c r="A530" s="68" t="s">
        <v>3775</v>
      </c>
      <c r="B530" s="68" t="s">
        <v>2349</v>
      </c>
      <c r="C530" s="68" t="s">
        <v>3382</v>
      </c>
      <c r="D530" s="68" t="s">
        <v>2809</v>
      </c>
      <c r="E530" s="68" t="s">
        <v>3053</v>
      </c>
      <c r="F530" s="68" t="s">
        <v>3047</v>
      </c>
      <c r="G530" s="68" t="s">
        <v>3048</v>
      </c>
      <c r="H530" s="68" t="s">
        <v>3058</v>
      </c>
      <c r="I530" s="68" t="s">
        <v>3050</v>
      </c>
      <c r="J530" s="68" t="s">
        <v>3770</v>
      </c>
      <c r="K530" s="69" t="s">
        <v>3770</v>
      </c>
      <c r="L530" s="69" t="str">
        <f>VLOOKUP(LinkTable6789[[#This Row],[Coluna1]],[4]AlarmCatalog!$A:$M,11,FALSE)</f>
        <v>Severidade 7</v>
      </c>
    </row>
    <row r="531" spans="1:12" s="67" customFormat="1" ht="16.5" customHeight="1" x14ac:dyDescent="0.25">
      <c r="A531" s="68" t="s">
        <v>3776</v>
      </c>
      <c r="B531" s="68" t="s">
        <v>2349</v>
      </c>
      <c r="C531" s="68" t="s">
        <v>3286</v>
      </c>
      <c r="D531" s="68" t="s">
        <v>2809</v>
      </c>
      <c r="E531" s="68" t="s">
        <v>3046</v>
      </c>
      <c r="F531" s="68" t="s">
        <v>3047</v>
      </c>
      <c r="G531" s="68" t="s">
        <v>3048</v>
      </c>
      <c r="H531" s="68" t="s">
        <v>3058</v>
      </c>
      <c r="I531" s="68" t="s">
        <v>3050</v>
      </c>
      <c r="J531" s="68" t="s">
        <v>3770</v>
      </c>
      <c r="K531" s="69" t="s">
        <v>3770</v>
      </c>
      <c r="L531" s="69" t="str">
        <f>VLOOKUP(LinkTable6789[[#This Row],[Coluna1]],[4]AlarmCatalog!$A:$M,11,FALSE)</f>
        <v>Severidade 7</v>
      </c>
    </row>
    <row r="532" spans="1:12" s="67" customFormat="1" ht="16.5" customHeight="1" x14ac:dyDescent="0.25">
      <c r="A532" s="68" t="s">
        <v>3777</v>
      </c>
      <c r="B532" s="68" t="s">
        <v>2349</v>
      </c>
      <c r="C532" s="68" t="s">
        <v>3778</v>
      </c>
      <c r="D532" s="68" t="s">
        <v>2809</v>
      </c>
      <c r="E532" s="68" t="s">
        <v>3053</v>
      </c>
      <c r="F532" s="68" t="s">
        <v>3047</v>
      </c>
      <c r="G532" s="68" t="s">
        <v>3048</v>
      </c>
      <c r="H532" s="68" t="s">
        <v>3058</v>
      </c>
      <c r="I532" s="68" t="s">
        <v>3050</v>
      </c>
      <c r="J532" s="68" t="s">
        <v>3770</v>
      </c>
      <c r="K532" s="69" t="s">
        <v>3770</v>
      </c>
      <c r="L532" s="69" t="str">
        <f>VLOOKUP(LinkTable6789[[#This Row],[Coluna1]],[4]AlarmCatalog!$A:$M,11,FALSE)</f>
        <v>Severidade 7</v>
      </c>
    </row>
    <row r="533" spans="1:12" s="67" customFormat="1" ht="16.5" customHeight="1" x14ac:dyDescent="0.25">
      <c r="A533" s="68" t="s">
        <v>3779</v>
      </c>
      <c r="B533" s="68" t="s">
        <v>2349</v>
      </c>
      <c r="C533" s="68" t="s">
        <v>3286</v>
      </c>
      <c r="D533" s="68" t="s">
        <v>2809</v>
      </c>
      <c r="E533" s="68" t="s">
        <v>3053</v>
      </c>
      <c r="F533" s="68" t="s">
        <v>3047</v>
      </c>
      <c r="G533" s="68" t="s">
        <v>3048</v>
      </c>
      <c r="H533" s="68" t="s">
        <v>3058</v>
      </c>
      <c r="I533" s="68" t="s">
        <v>3050</v>
      </c>
      <c r="J533" s="68" t="s">
        <v>3770</v>
      </c>
      <c r="K533" s="69" t="s">
        <v>3770</v>
      </c>
      <c r="L533" s="69" t="str">
        <f>VLOOKUP(LinkTable6789[[#This Row],[Coluna1]],[4]AlarmCatalog!$A:$M,11,FALSE)</f>
        <v>Severidade 7</v>
      </c>
    </row>
    <row r="534" spans="1:12" s="67" customFormat="1" ht="16.5" customHeight="1" x14ac:dyDescent="0.25">
      <c r="A534" s="68" t="s">
        <v>3780</v>
      </c>
      <c r="B534" s="68" t="s">
        <v>2349</v>
      </c>
      <c r="C534" s="68" t="s">
        <v>2991</v>
      </c>
      <c r="D534" s="68" t="s">
        <v>2809</v>
      </c>
      <c r="E534" s="68" t="s">
        <v>3053</v>
      </c>
      <c r="F534" s="68" t="s">
        <v>3047</v>
      </c>
      <c r="G534" s="68" t="s">
        <v>3048</v>
      </c>
      <c r="H534" s="68" t="s">
        <v>3077</v>
      </c>
      <c r="I534" s="68" t="s">
        <v>3050</v>
      </c>
      <c r="J534" s="68" t="s">
        <v>3770</v>
      </c>
      <c r="K534" s="69" t="s">
        <v>3770</v>
      </c>
      <c r="L534" s="69" t="str">
        <f>VLOOKUP(LinkTable6789[[#This Row],[Coluna1]],[4]AlarmCatalog!$A:$M,11,FALSE)</f>
        <v>Severidade 7</v>
      </c>
    </row>
    <row r="535" spans="1:12" s="67" customFormat="1" ht="16.5" customHeight="1" x14ac:dyDescent="0.25">
      <c r="A535" s="68" t="s">
        <v>3781</v>
      </c>
      <c r="B535" s="68" t="s">
        <v>2349</v>
      </c>
      <c r="C535" s="68" t="s">
        <v>2991</v>
      </c>
      <c r="D535" s="68" t="s">
        <v>2809</v>
      </c>
      <c r="E535" s="68" t="s">
        <v>3053</v>
      </c>
      <c r="F535" s="68" t="s">
        <v>3047</v>
      </c>
      <c r="G535" s="68" t="s">
        <v>3048</v>
      </c>
      <c r="H535" s="68" t="s">
        <v>3058</v>
      </c>
      <c r="I535" s="68" t="s">
        <v>3050</v>
      </c>
      <c r="J535" s="68" t="s">
        <v>3770</v>
      </c>
      <c r="K535" s="69" t="s">
        <v>3770</v>
      </c>
      <c r="L535" s="69" t="str">
        <f>VLOOKUP(LinkTable6789[[#This Row],[Coluna1]],[4]AlarmCatalog!$A:$M,11,FALSE)</f>
        <v>Severidade 7</v>
      </c>
    </row>
    <row r="536" spans="1:12" s="67" customFormat="1" ht="16.5" customHeight="1" x14ac:dyDescent="0.25">
      <c r="A536" s="68" t="s">
        <v>3782</v>
      </c>
      <c r="B536" s="68" t="s">
        <v>2349</v>
      </c>
      <c r="C536" s="68" t="s">
        <v>3398</v>
      </c>
      <c r="D536" s="68" t="s">
        <v>2809</v>
      </c>
      <c r="E536" s="68" t="s">
        <v>3053</v>
      </c>
      <c r="F536" s="68" t="s">
        <v>3047</v>
      </c>
      <c r="G536" s="68" t="s">
        <v>3048</v>
      </c>
      <c r="H536" s="68" t="s">
        <v>3058</v>
      </c>
      <c r="I536" s="68" t="s">
        <v>3050</v>
      </c>
      <c r="J536" s="68" t="s">
        <v>3741</v>
      </c>
      <c r="K536" s="69" t="s">
        <v>3741</v>
      </c>
      <c r="L536" s="69" t="str">
        <f>VLOOKUP(LinkTable6789[[#This Row],[Coluna1]],[4]AlarmCatalog!$A:$M,11,FALSE)</f>
        <v>Severidade 7</v>
      </c>
    </row>
    <row r="537" spans="1:12" s="67" customFormat="1" ht="16.5" customHeight="1" x14ac:dyDescent="0.25">
      <c r="A537" s="68" t="s">
        <v>3783</v>
      </c>
      <c r="B537" s="68" t="s">
        <v>2349</v>
      </c>
      <c r="C537" s="68" t="s">
        <v>3784</v>
      </c>
      <c r="D537" s="68" t="s">
        <v>2809</v>
      </c>
      <c r="E537" s="68" t="s">
        <v>2990</v>
      </c>
      <c r="F537" s="68" t="s">
        <v>3047</v>
      </c>
      <c r="G537" s="68" t="s">
        <v>3057</v>
      </c>
      <c r="H537" s="68" t="s">
        <v>3159</v>
      </c>
      <c r="I537" s="68" t="s">
        <v>3050</v>
      </c>
      <c r="J537" s="68" t="s">
        <v>3741</v>
      </c>
      <c r="K537" s="69" t="s">
        <v>3741</v>
      </c>
      <c r="L537" s="69" t="str">
        <f>VLOOKUP(LinkTable6789[[#This Row],[Coluna1]],[4]AlarmCatalog!$A:$M,11,FALSE)</f>
        <v>Severidade 7</v>
      </c>
    </row>
    <row r="538" spans="1:12" s="67" customFormat="1" ht="16.5" customHeight="1" x14ac:dyDescent="0.25">
      <c r="A538" s="68" t="s">
        <v>3785</v>
      </c>
      <c r="B538" s="68" t="s">
        <v>2349</v>
      </c>
      <c r="C538" s="68" t="s">
        <v>3786</v>
      </c>
      <c r="D538" s="68" t="s">
        <v>2809</v>
      </c>
      <c r="E538" s="68" t="s">
        <v>3046</v>
      </c>
      <c r="F538" s="68" t="s">
        <v>3047</v>
      </c>
      <c r="G538" s="68" t="s">
        <v>3048</v>
      </c>
      <c r="H538" s="68" t="s">
        <v>3058</v>
      </c>
      <c r="I538" s="68" t="s">
        <v>3050</v>
      </c>
      <c r="J538" s="68" t="s">
        <v>3741</v>
      </c>
      <c r="K538" s="69" t="s">
        <v>3741</v>
      </c>
      <c r="L538" s="69" t="str">
        <f>VLOOKUP(LinkTable6789[[#This Row],[Coluna1]],[4]AlarmCatalog!$A:$M,11,FALSE)</f>
        <v>Severidade 7</v>
      </c>
    </row>
    <row r="539" spans="1:12" s="67" customFormat="1" ht="16.5" customHeight="1" x14ac:dyDescent="0.25">
      <c r="A539" s="68" t="s">
        <v>3787</v>
      </c>
      <c r="B539" s="68" t="s">
        <v>2349</v>
      </c>
      <c r="C539" s="68" t="s">
        <v>2808</v>
      </c>
      <c r="D539" s="68" t="s">
        <v>2809</v>
      </c>
      <c r="E539" s="68" t="s">
        <v>3053</v>
      </c>
      <c r="F539" s="68" t="s">
        <v>3047</v>
      </c>
      <c r="G539" s="68" t="s">
        <v>3048</v>
      </c>
      <c r="H539" s="68" t="s">
        <v>3058</v>
      </c>
      <c r="I539" s="68" t="s">
        <v>3050</v>
      </c>
      <c r="J539" s="68" t="s">
        <v>3741</v>
      </c>
      <c r="K539" s="69" t="s">
        <v>3741</v>
      </c>
      <c r="L539" s="69" t="str">
        <f>VLOOKUP(LinkTable6789[[#This Row],[Coluna1]],[4]AlarmCatalog!$A:$M,11,FALSE)</f>
        <v>Severidade 7</v>
      </c>
    </row>
    <row r="540" spans="1:12" s="67" customFormat="1" ht="16.5" customHeight="1" x14ac:dyDescent="0.25">
      <c r="A540" s="68" t="s">
        <v>3788</v>
      </c>
      <c r="B540" s="68" t="s">
        <v>2349</v>
      </c>
      <c r="C540" s="68" t="s">
        <v>2986</v>
      </c>
      <c r="D540" s="68" t="s">
        <v>2809</v>
      </c>
      <c r="E540" s="68" t="s">
        <v>3053</v>
      </c>
      <c r="F540" s="68" t="s">
        <v>3056</v>
      </c>
      <c r="G540" s="68" t="s">
        <v>3057</v>
      </c>
      <c r="H540" s="68" t="s">
        <v>3058</v>
      </c>
      <c r="I540" s="68" t="s">
        <v>3050</v>
      </c>
      <c r="J540" s="68" t="s">
        <v>3433</v>
      </c>
      <c r="K540" s="69" t="s">
        <v>3433</v>
      </c>
      <c r="L540" s="69" t="str">
        <f>VLOOKUP(LinkTable6789[[#This Row],[Coluna1]],[4]AlarmCatalog!$A:$M,11,FALSE)</f>
        <v>Severidade 4</v>
      </c>
    </row>
    <row r="541" spans="1:12" s="67" customFormat="1" ht="16.5" customHeight="1" x14ac:dyDescent="0.25">
      <c r="A541" s="68" t="s">
        <v>3789</v>
      </c>
      <c r="B541" s="68" t="s">
        <v>2349</v>
      </c>
      <c r="C541" s="68" t="s">
        <v>2991</v>
      </c>
      <c r="D541" s="68" t="s">
        <v>2809</v>
      </c>
      <c r="E541" s="68" t="s">
        <v>3053</v>
      </c>
      <c r="F541" s="68" t="s">
        <v>3047</v>
      </c>
      <c r="G541" s="68" t="s">
        <v>3048</v>
      </c>
      <c r="H541" s="68" t="s">
        <v>3058</v>
      </c>
      <c r="I541" s="68" t="s">
        <v>3050</v>
      </c>
      <c r="J541" s="68" t="s">
        <v>3741</v>
      </c>
      <c r="K541" s="69" t="s">
        <v>3741</v>
      </c>
      <c r="L541" s="69" t="str">
        <f>VLOOKUP(LinkTable6789[[#This Row],[Coluna1]],[4]AlarmCatalog!$A:$M,11,FALSE)</f>
        <v>Severidade 7</v>
      </c>
    </row>
    <row r="542" spans="1:12" s="67" customFormat="1" ht="16.5" customHeight="1" x14ac:dyDescent="0.25">
      <c r="A542" s="68" t="s">
        <v>3790</v>
      </c>
      <c r="B542" s="68" t="s">
        <v>2349</v>
      </c>
      <c r="C542" s="68" t="s">
        <v>2988</v>
      </c>
      <c r="D542" s="68" t="s">
        <v>2809</v>
      </c>
      <c r="E542" s="68" t="s">
        <v>3053</v>
      </c>
      <c r="F542" s="68" t="s">
        <v>3047</v>
      </c>
      <c r="G542" s="68" t="s">
        <v>3048</v>
      </c>
      <c r="H542" s="68" t="s">
        <v>3058</v>
      </c>
      <c r="I542" s="68" t="s">
        <v>3050</v>
      </c>
      <c r="J542" s="68" t="s">
        <v>3741</v>
      </c>
      <c r="K542" s="69" t="s">
        <v>3741</v>
      </c>
      <c r="L542" s="69" t="str">
        <f>VLOOKUP(LinkTable6789[[#This Row],[Coluna1]],[4]AlarmCatalog!$A:$M,11,FALSE)</f>
        <v>Severidade 7</v>
      </c>
    </row>
    <row r="543" spans="1:12" s="67" customFormat="1" ht="16.5" customHeight="1" x14ac:dyDescent="0.25">
      <c r="A543" s="70" t="s">
        <v>188</v>
      </c>
      <c r="B543" s="68" t="s">
        <v>2349</v>
      </c>
      <c r="C543" s="68" t="s">
        <v>2986</v>
      </c>
      <c r="D543" s="68" t="s">
        <v>2809</v>
      </c>
      <c r="E543" s="68" t="s">
        <v>3053</v>
      </c>
      <c r="F543" s="68" t="s">
        <v>3056</v>
      </c>
      <c r="G543" s="68" t="s">
        <v>3057</v>
      </c>
      <c r="H543" s="68" t="s">
        <v>3058</v>
      </c>
      <c r="I543" s="68" t="s">
        <v>3050</v>
      </c>
      <c r="J543" s="68" t="s">
        <v>3125</v>
      </c>
      <c r="K543" s="69" t="s">
        <v>3125</v>
      </c>
      <c r="L543" s="69" t="str">
        <f>VLOOKUP(LinkTable6789[[#This Row],[Coluna1]],[4]AlarmCatalog!$A:$M,11,FALSE)</f>
        <v>Severidade 8</v>
      </c>
    </row>
    <row r="544" spans="1:12" s="67" customFormat="1" ht="16.5" customHeight="1" x14ac:dyDescent="0.25">
      <c r="A544" s="68" t="s">
        <v>3791</v>
      </c>
      <c r="B544" s="68" t="s">
        <v>2349</v>
      </c>
      <c r="C544" s="68" t="s">
        <v>2991</v>
      </c>
      <c r="D544" s="68" t="s">
        <v>2809</v>
      </c>
      <c r="E544" s="68" t="s">
        <v>3046</v>
      </c>
      <c r="F544" s="68" t="s">
        <v>3047</v>
      </c>
      <c r="G544" s="68" t="s">
        <v>3048</v>
      </c>
      <c r="H544" s="68" t="s">
        <v>3058</v>
      </c>
      <c r="I544" s="68" t="s">
        <v>3050</v>
      </c>
      <c r="J544" s="68" t="s">
        <v>3741</v>
      </c>
      <c r="K544" s="69" t="s">
        <v>3741</v>
      </c>
      <c r="L544" s="69" t="str">
        <f>VLOOKUP(LinkTable6789[[#This Row],[Coluna1]],[4]AlarmCatalog!$A:$M,11,FALSE)</f>
        <v>Severidade 7</v>
      </c>
    </row>
    <row r="545" spans="1:12" s="67" customFormat="1" ht="16.5" customHeight="1" x14ac:dyDescent="0.25">
      <c r="A545" s="68" t="s">
        <v>3792</v>
      </c>
      <c r="B545" s="68" t="s">
        <v>2349</v>
      </c>
      <c r="C545" s="68" t="s">
        <v>3382</v>
      </c>
      <c r="D545" s="68" t="s">
        <v>2809</v>
      </c>
      <c r="E545" s="68" t="s">
        <v>3053</v>
      </c>
      <c r="F545" s="68" t="s">
        <v>3047</v>
      </c>
      <c r="G545" s="68" t="s">
        <v>3048</v>
      </c>
      <c r="H545" s="68" t="s">
        <v>3058</v>
      </c>
      <c r="I545" s="68" t="s">
        <v>3050</v>
      </c>
      <c r="J545" s="68" t="s">
        <v>3770</v>
      </c>
      <c r="K545" s="69" t="s">
        <v>3770</v>
      </c>
      <c r="L545" s="69" t="str">
        <f>VLOOKUP(LinkTable6789[[#This Row],[Coluna1]],[4]AlarmCatalog!$A:$M,11,FALSE)</f>
        <v>Severidade 7</v>
      </c>
    </row>
    <row r="546" spans="1:12" s="67" customFormat="1" ht="16.5" customHeight="1" x14ac:dyDescent="0.25">
      <c r="A546" s="68" t="s">
        <v>3793</v>
      </c>
      <c r="B546" s="68" t="s">
        <v>2349</v>
      </c>
      <c r="C546" s="68" t="s">
        <v>2991</v>
      </c>
      <c r="D546" s="68" t="s">
        <v>2809</v>
      </c>
      <c r="E546" s="68" t="s">
        <v>3053</v>
      </c>
      <c r="F546" s="68" t="s">
        <v>3047</v>
      </c>
      <c r="G546" s="68" t="s">
        <v>3048</v>
      </c>
      <c r="H546" s="68" t="s">
        <v>3058</v>
      </c>
      <c r="I546" s="68" t="s">
        <v>3050</v>
      </c>
      <c r="J546" s="68" t="s">
        <v>3770</v>
      </c>
      <c r="K546" s="69" t="s">
        <v>3770</v>
      </c>
      <c r="L546" s="69" t="str">
        <f>VLOOKUP(LinkTable6789[[#This Row],[Coluna1]],[4]AlarmCatalog!$A:$M,11,FALSE)</f>
        <v>Severidade 7</v>
      </c>
    </row>
    <row r="547" spans="1:12" s="67" customFormat="1" ht="16.5" customHeight="1" x14ac:dyDescent="0.25">
      <c r="A547" s="68" t="s">
        <v>3794</v>
      </c>
      <c r="B547" s="68" t="s">
        <v>2349</v>
      </c>
      <c r="C547" s="68" t="s">
        <v>3546</v>
      </c>
      <c r="D547" s="68" t="s">
        <v>2809</v>
      </c>
      <c r="E547" s="68" t="s">
        <v>3053</v>
      </c>
      <c r="F547" s="68" t="s">
        <v>3047</v>
      </c>
      <c r="G547" s="68" t="s">
        <v>3048</v>
      </c>
      <c r="H547" s="68" t="s">
        <v>3058</v>
      </c>
      <c r="I547" s="68" t="s">
        <v>3050</v>
      </c>
      <c r="J547" s="68" t="s">
        <v>3741</v>
      </c>
      <c r="K547" s="69" t="s">
        <v>3741</v>
      </c>
      <c r="L547" s="69" t="str">
        <f>VLOOKUP(LinkTable6789[[#This Row],[Coluna1]],[4]AlarmCatalog!$A:$M,11,FALSE)</f>
        <v>Severidade 7</v>
      </c>
    </row>
    <row r="548" spans="1:12" s="67" customFormat="1" ht="16.5" customHeight="1" x14ac:dyDescent="0.25">
      <c r="A548" s="68" t="s">
        <v>3795</v>
      </c>
      <c r="B548" s="68" t="s">
        <v>2349</v>
      </c>
      <c r="C548" s="68" t="s">
        <v>3286</v>
      </c>
      <c r="D548" s="68" t="s">
        <v>2809</v>
      </c>
      <c r="E548" s="68" t="s">
        <v>3046</v>
      </c>
      <c r="F548" s="68" t="s">
        <v>3047</v>
      </c>
      <c r="G548" s="68" t="s">
        <v>3048</v>
      </c>
      <c r="H548" s="68" t="s">
        <v>3058</v>
      </c>
      <c r="I548" s="68" t="s">
        <v>3050</v>
      </c>
      <c r="J548" s="68" t="s">
        <v>3741</v>
      </c>
      <c r="K548" s="69" t="s">
        <v>3741</v>
      </c>
      <c r="L548" s="69" t="str">
        <f>VLOOKUP(LinkTable6789[[#This Row],[Coluna1]],[4]AlarmCatalog!$A:$M,11,FALSE)</f>
        <v>Severidade 7</v>
      </c>
    </row>
    <row r="549" spans="1:12" s="67" customFormat="1" ht="16.5" customHeight="1" x14ac:dyDescent="0.25">
      <c r="A549" s="68" t="s">
        <v>3796</v>
      </c>
      <c r="B549" s="68" t="s">
        <v>2349</v>
      </c>
      <c r="C549" s="68" t="s">
        <v>3356</v>
      </c>
      <c r="D549" s="68" t="s">
        <v>2809</v>
      </c>
      <c r="E549" s="68" t="s">
        <v>3053</v>
      </c>
      <c r="F549" s="68" t="s">
        <v>3047</v>
      </c>
      <c r="G549" s="68" t="s">
        <v>3048</v>
      </c>
      <c r="H549" s="68" t="s">
        <v>3058</v>
      </c>
      <c r="I549" s="68" t="s">
        <v>3050</v>
      </c>
      <c r="J549" s="68" t="s">
        <v>3741</v>
      </c>
      <c r="K549" s="69" t="s">
        <v>3741</v>
      </c>
      <c r="L549" s="69" t="str">
        <f>VLOOKUP(LinkTable6789[[#This Row],[Coluna1]],[4]AlarmCatalog!$A:$M,11,FALSE)</f>
        <v>Severidade 7</v>
      </c>
    </row>
    <row r="550" spans="1:12" s="67" customFormat="1" ht="16.5" customHeight="1" x14ac:dyDescent="0.25">
      <c r="A550" s="68" t="s">
        <v>3797</v>
      </c>
      <c r="B550" s="68" t="s">
        <v>2349</v>
      </c>
      <c r="C550" s="68" t="s">
        <v>2991</v>
      </c>
      <c r="D550" s="68" t="s">
        <v>2809</v>
      </c>
      <c r="E550" s="68" t="s">
        <v>3053</v>
      </c>
      <c r="F550" s="68" t="s">
        <v>3163</v>
      </c>
      <c r="G550" s="68" t="s">
        <v>3048</v>
      </c>
      <c r="H550" s="68" t="s">
        <v>3058</v>
      </c>
      <c r="I550" s="68" t="s">
        <v>3050</v>
      </c>
      <c r="J550" s="68" t="s">
        <v>3745</v>
      </c>
      <c r="K550" s="69" t="s">
        <v>3745</v>
      </c>
      <c r="L550" s="69" t="str">
        <f>VLOOKUP(LinkTable6789[[#This Row],[Coluna1]],[4]AlarmCatalog!$A:$M,11,FALSE)</f>
        <v>Severidade 7</v>
      </c>
    </row>
    <row r="551" spans="1:12" s="67" customFormat="1" ht="16.5" customHeight="1" x14ac:dyDescent="0.25">
      <c r="A551" s="68" t="s">
        <v>3798</v>
      </c>
      <c r="B551" s="68" t="s">
        <v>2349</v>
      </c>
      <c r="C551" s="68" t="s">
        <v>3094</v>
      </c>
      <c r="D551" s="68" t="s">
        <v>2809</v>
      </c>
      <c r="E551" s="68" t="s">
        <v>2809</v>
      </c>
      <c r="F551" s="68" t="s">
        <v>3180</v>
      </c>
      <c r="G551" s="68" t="s">
        <v>3048</v>
      </c>
      <c r="H551" s="68" t="s">
        <v>3799</v>
      </c>
      <c r="I551" s="68" t="s">
        <v>3050</v>
      </c>
      <c r="J551" s="68" t="s">
        <v>3745</v>
      </c>
      <c r="K551" s="69" t="s">
        <v>3745</v>
      </c>
      <c r="L551" s="69" t="str">
        <f>VLOOKUP(LinkTable6789[[#This Row],[Coluna1]],[4]AlarmCatalog!$A:$M,11,FALSE)</f>
        <v>Severidade 7</v>
      </c>
    </row>
    <row r="552" spans="1:12" s="67" customFormat="1" ht="16.5" customHeight="1" x14ac:dyDescent="0.25">
      <c r="A552" s="68" t="s">
        <v>3800</v>
      </c>
      <c r="B552" s="68" t="s">
        <v>2349</v>
      </c>
      <c r="C552" s="68" t="s">
        <v>3645</v>
      </c>
      <c r="D552" s="68" t="s">
        <v>2809</v>
      </c>
      <c r="E552" s="68" t="s">
        <v>3053</v>
      </c>
      <c r="F552" s="68" t="s">
        <v>3047</v>
      </c>
      <c r="G552" s="68" t="s">
        <v>3048</v>
      </c>
      <c r="H552" s="68" t="s">
        <v>3058</v>
      </c>
      <c r="I552" s="68" t="s">
        <v>3050</v>
      </c>
      <c r="J552" s="68" t="s">
        <v>3741</v>
      </c>
      <c r="K552" s="69" t="s">
        <v>3741</v>
      </c>
      <c r="L552" s="69" t="str">
        <f>VLOOKUP(LinkTable6789[[#This Row],[Coluna1]],[4]AlarmCatalog!$A:$M,11,FALSE)</f>
        <v>Severidade 7</v>
      </c>
    </row>
    <row r="553" spans="1:12" s="67" customFormat="1" ht="16.5" customHeight="1" x14ac:dyDescent="0.25">
      <c r="A553" s="68" t="s">
        <v>3801</v>
      </c>
      <c r="B553" s="68" t="s">
        <v>2349</v>
      </c>
      <c r="C553" s="68" t="s">
        <v>2986</v>
      </c>
      <c r="D553" s="68" t="s">
        <v>2809</v>
      </c>
      <c r="E553" s="68" t="s">
        <v>3053</v>
      </c>
      <c r="F553" s="68" t="s">
        <v>3047</v>
      </c>
      <c r="G553" s="68" t="s">
        <v>3057</v>
      </c>
      <c r="H553" s="68" t="s">
        <v>3058</v>
      </c>
      <c r="I553" s="68" t="s">
        <v>3050</v>
      </c>
      <c r="J553" s="68" t="s">
        <v>3160</v>
      </c>
      <c r="K553" s="69" t="s">
        <v>3160</v>
      </c>
      <c r="L553" s="69" t="str">
        <f>VLOOKUP(LinkTable6789[[#This Row],[Coluna1]],[4]AlarmCatalog!$A:$M,11,FALSE)</f>
        <v>Severidade 8</v>
      </c>
    </row>
    <row r="554" spans="1:12" s="67" customFormat="1" ht="16.5" customHeight="1" x14ac:dyDescent="0.25">
      <c r="A554" s="71" t="s">
        <v>3802</v>
      </c>
      <c r="B554" s="71" t="s">
        <v>2349</v>
      </c>
      <c r="C554" s="71" t="s">
        <v>2986</v>
      </c>
      <c r="D554" s="71" t="s">
        <v>2990</v>
      </c>
      <c r="E554" s="71" t="s">
        <v>3053</v>
      </c>
      <c r="F554" s="68" t="s">
        <v>3056</v>
      </c>
      <c r="G554" s="68" t="s">
        <v>3057</v>
      </c>
      <c r="H554" s="68" t="s">
        <v>3058</v>
      </c>
      <c r="I554" s="68" t="s">
        <v>3050</v>
      </c>
      <c r="J554" s="68" t="s">
        <v>3433</v>
      </c>
      <c r="K554" s="69" t="s">
        <v>3433</v>
      </c>
      <c r="L554" s="69" t="str">
        <f>VLOOKUP(LinkTable6789[[#This Row],[Coluna1]],[4]AlarmCatalog!$A:$M,11,FALSE)</f>
        <v>Severidade 4</v>
      </c>
    </row>
    <row r="555" spans="1:12" s="67" customFormat="1" ht="16.5" customHeight="1" x14ac:dyDescent="0.25">
      <c r="A555" s="68" t="s">
        <v>3803</v>
      </c>
      <c r="B555" s="68" t="s">
        <v>2349</v>
      </c>
      <c r="C555" s="68" t="s">
        <v>2989</v>
      </c>
      <c r="D555" s="68" t="s">
        <v>2990</v>
      </c>
      <c r="E555" s="68" t="s">
        <v>2809</v>
      </c>
      <c r="F555" s="68" t="s">
        <v>3047</v>
      </c>
      <c r="G555" s="68" t="s">
        <v>3048</v>
      </c>
      <c r="H555" s="68" t="s">
        <v>3159</v>
      </c>
      <c r="I555" s="68" t="s">
        <v>3050</v>
      </c>
      <c r="J555" s="68" t="s">
        <v>3741</v>
      </c>
      <c r="K555" s="69" t="s">
        <v>3741</v>
      </c>
      <c r="L555" s="69" t="str">
        <f>VLOOKUP(LinkTable6789[[#This Row],[Coluna1]],[4]AlarmCatalog!$A:$M,11,FALSE)</f>
        <v>Severidade 7</v>
      </c>
    </row>
    <row r="556" spans="1:12" s="67" customFormat="1" ht="16.5" customHeight="1" x14ac:dyDescent="0.25">
      <c r="A556" s="68" t="s">
        <v>3804</v>
      </c>
      <c r="B556" s="68" t="s">
        <v>2349</v>
      </c>
      <c r="C556" s="68" t="s">
        <v>3347</v>
      </c>
      <c r="D556" s="68" t="s">
        <v>2809</v>
      </c>
      <c r="E556" s="68" t="s">
        <v>3046</v>
      </c>
      <c r="F556" s="68" t="s">
        <v>3047</v>
      </c>
      <c r="G556" s="68" t="s">
        <v>3048</v>
      </c>
      <c r="H556" s="68" t="s">
        <v>3058</v>
      </c>
      <c r="I556" s="68" t="s">
        <v>3050</v>
      </c>
      <c r="J556" s="68" t="s">
        <v>3741</v>
      </c>
      <c r="K556" s="69" t="s">
        <v>3741</v>
      </c>
      <c r="L556" s="69" t="str">
        <f>VLOOKUP(LinkTable6789[[#This Row],[Coluna1]],[4]AlarmCatalog!$A:$M,11,FALSE)</f>
        <v>Severidade 7</v>
      </c>
    </row>
    <row r="557" spans="1:12" s="67" customFormat="1" ht="16.5" customHeight="1" x14ac:dyDescent="0.25">
      <c r="A557" s="68" t="s">
        <v>3805</v>
      </c>
      <c r="B557" s="68" t="s">
        <v>2349</v>
      </c>
      <c r="C557" s="68" t="s">
        <v>2991</v>
      </c>
      <c r="D557" s="68" t="s">
        <v>2809</v>
      </c>
      <c r="E557" s="68" t="s">
        <v>3046</v>
      </c>
      <c r="F557" s="68" t="s">
        <v>3047</v>
      </c>
      <c r="G557" s="68" t="s">
        <v>3048</v>
      </c>
      <c r="H557" s="68" t="s">
        <v>3058</v>
      </c>
      <c r="I557" s="68" t="s">
        <v>3050</v>
      </c>
      <c r="J557" s="68" t="s">
        <v>3741</v>
      </c>
      <c r="K557" s="69" t="s">
        <v>3741</v>
      </c>
      <c r="L557" s="69" t="str">
        <f>VLOOKUP(LinkTable6789[[#This Row],[Coluna1]],[4]AlarmCatalog!$A:$M,11,FALSE)</f>
        <v>Severidade 7</v>
      </c>
    </row>
    <row r="558" spans="1:12" s="67" customFormat="1" ht="16.5" customHeight="1" x14ac:dyDescent="0.25">
      <c r="A558" s="68" t="s">
        <v>3806</v>
      </c>
      <c r="B558" s="68" t="s">
        <v>2349</v>
      </c>
      <c r="C558" s="68" t="s">
        <v>3337</v>
      </c>
      <c r="D558" s="68" t="s">
        <v>2809</v>
      </c>
      <c r="E558" s="68" t="s">
        <v>3053</v>
      </c>
      <c r="F558" s="68" t="s">
        <v>3047</v>
      </c>
      <c r="G558" s="68" t="s">
        <v>3048</v>
      </c>
      <c r="H558" s="68" t="s">
        <v>3058</v>
      </c>
      <c r="I558" s="68" t="s">
        <v>3050</v>
      </c>
      <c r="J558" s="68" t="s">
        <v>3741</v>
      </c>
      <c r="K558" s="69" t="s">
        <v>3741</v>
      </c>
      <c r="L558" s="69" t="str">
        <f>VLOOKUP(LinkTable6789[[#This Row],[Coluna1]],[4]AlarmCatalog!$A:$M,11,FALSE)</f>
        <v>Severidade 7</v>
      </c>
    </row>
    <row r="559" spans="1:12" s="67" customFormat="1" ht="16.5" customHeight="1" x14ac:dyDescent="0.25">
      <c r="A559" s="68" t="s">
        <v>3807</v>
      </c>
      <c r="B559" s="68" t="s">
        <v>2349</v>
      </c>
      <c r="C559" s="68" t="s">
        <v>3097</v>
      </c>
      <c r="D559" s="68" t="s">
        <v>2809</v>
      </c>
      <c r="E559" s="68" t="s">
        <v>3046</v>
      </c>
      <c r="F559" s="68" t="s">
        <v>3047</v>
      </c>
      <c r="G559" s="68" t="s">
        <v>3048</v>
      </c>
      <c r="H559" s="68" t="s">
        <v>3058</v>
      </c>
      <c r="I559" s="68" t="s">
        <v>3050</v>
      </c>
      <c r="J559" s="68" t="s">
        <v>3741</v>
      </c>
      <c r="K559" s="69" t="s">
        <v>3741</v>
      </c>
      <c r="L559" s="69" t="str">
        <f>VLOOKUP(LinkTable6789[[#This Row],[Coluna1]],[4]AlarmCatalog!$A:$M,11,FALSE)</f>
        <v>Severidade 7</v>
      </c>
    </row>
    <row r="560" spans="1:12" s="67" customFormat="1" ht="16.5" customHeight="1" x14ac:dyDescent="0.25">
      <c r="A560" s="68" t="s">
        <v>3808</v>
      </c>
      <c r="B560" s="68" t="s">
        <v>2349</v>
      </c>
      <c r="C560" s="68" t="s">
        <v>3094</v>
      </c>
      <c r="D560" s="68" t="s">
        <v>2809</v>
      </c>
      <c r="E560" s="68" t="s">
        <v>3053</v>
      </c>
      <c r="F560" s="68" t="s">
        <v>3809</v>
      </c>
      <c r="G560" s="68" t="s">
        <v>3048</v>
      </c>
      <c r="H560" s="68" t="s">
        <v>3058</v>
      </c>
      <c r="I560" s="68" t="s">
        <v>3050</v>
      </c>
      <c r="J560" s="68" t="s">
        <v>3741</v>
      </c>
      <c r="K560" s="69" t="s">
        <v>3741</v>
      </c>
      <c r="L560" s="69" t="str">
        <f>VLOOKUP(LinkTable6789[[#This Row],[Coluna1]],[4]AlarmCatalog!$A:$M,11,FALSE)</f>
        <v>Severidade 7</v>
      </c>
    </row>
    <row r="561" spans="1:12" s="67" customFormat="1" ht="16.5" customHeight="1" x14ac:dyDescent="0.25">
      <c r="A561" s="68" t="s">
        <v>3810</v>
      </c>
      <c r="B561" s="68" t="s">
        <v>2349</v>
      </c>
      <c r="C561" s="68" t="s">
        <v>3094</v>
      </c>
      <c r="D561" s="68" t="s">
        <v>2809</v>
      </c>
      <c r="E561" s="68" t="s">
        <v>3053</v>
      </c>
      <c r="F561" s="68" t="s">
        <v>3180</v>
      </c>
      <c r="G561" s="68" t="s">
        <v>3048</v>
      </c>
      <c r="H561" s="68" t="s">
        <v>3058</v>
      </c>
      <c r="I561" s="68" t="s">
        <v>3050</v>
      </c>
      <c r="J561" s="68" t="s">
        <v>3741</v>
      </c>
      <c r="K561" s="69" t="s">
        <v>3741</v>
      </c>
      <c r="L561" s="69" t="str">
        <f>VLOOKUP(LinkTable6789[[#This Row],[Coluna1]],[4]AlarmCatalog!$A:$M,11,FALSE)</f>
        <v>Severidade 7</v>
      </c>
    </row>
    <row r="562" spans="1:12" s="67" customFormat="1" ht="16.5" customHeight="1" x14ac:dyDescent="0.25">
      <c r="A562" s="68" t="s">
        <v>1185</v>
      </c>
      <c r="B562" s="68" t="s">
        <v>2349</v>
      </c>
      <c r="C562" s="68" t="s">
        <v>3382</v>
      </c>
      <c r="D562" s="68" t="s">
        <v>2809</v>
      </c>
      <c r="E562" s="68" t="s">
        <v>3053</v>
      </c>
      <c r="F562" s="68" t="s">
        <v>3047</v>
      </c>
      <c r="G562" s="68" t="s">
        <v>3048</v>
      </c>
      <c r="H562" s="68" t="s">
        <v>3058</v>
      </c>
      <c r="I562" s="68" t="s">
        <v>3050</v>
      </c>
      <c r="J562" s="68" t="s">
        <v>3741</v>
      </c>
      <c r="K562" s="69" t="s">
        <v>3741</v>
      </c>
      <c r="L562" s="69" t="str">
        <f>VLOOKUP(LinkTable6789[[#This Row],[Coluna1]],[4]AlarmCatalog!$A:$M,11,FALSE)</f>
        <v>Severidade 7</v>
      </c>
    </row>
    <row r="563" spans="1:12" s="67" customFormat="1" ht="16.5" customHeight="1" x14ac:dyDescent="0.25">
      <c r="A563" s="68" t="s">
        <v>3811</v>
      </c>
      <c r="B563" s="68" t="s">
        <v>2349</v>
      </c>
      <c r="C563" s="68" t="s">
        <v>3786</v>
      </c>
      <c r="D563" s="68" t="s">
        <v>2809</v>
      </c>
      <c r="E563" s="68" t="s">
        <v>3053</v>
      </c>
      <c r="F563" s="68" t="s">
        <v>3047</v>
      </c>
      <c r="G563" s="68" t="s">
        <v>3048</v>
      </c>
      <c r="H563" s="68" t="s">
        <v>3058</v>
      </c>
      <c r="I563" s="68" t="s">
        <v>3050</v>
      </c>
      <c r="J563" s="68" t="s">
        <v>3741</v>
      </c>
      <c r="K563" s="69" t="s">
        <v>3741</v>
      </c>
      <c r="L563" s="69" t="str">
        <f>VLOOKUP(LinkTable6789[[#This Row],[Coluna1]],[4]AlarmCatalog!$A:$M,11,FALSE)</f>
        <v>Severidade 7</v>
      </c>
    </row>
    <row r="564" spans="1:12" s="67" customFormat="1" ht="16.5" customHeight="1" x14ac:dyDescent="0.25">
      <c r="A564" s="68" t="s">
        <v>3812</v>
      </c>
      <c r="B564" s="68" t="s">
        <v>2349</v>
      </c>
      <c r="C564" s="68" t="s">
        <v>3472</v>
      </c>
      <c r="D564" s="68" t="s">
        <v>2809</v>
      </c>
      <c r="E564" s="68" t="s">
        <v>3046</v>
      </c>
      <c r="F564" s="68" t="s">
        <v>3047</v>
      </c>
      <c r="G564" s="68" t="s">
        <v>3048</v>
      </c>
      <c r="H564" s="68" t="s">
        <v>3058</v>
      </c>
      <c r="I564" s="68" t="s">
        <v>3050</v>
      </c>
      <c r="J564" s="68" t="s">
        <v>3741</v>
      </c>
      <c r="K564" s="69" t="s">
        <v>3741</v>
      </c>
      <c r="L564" s="69" t="str">
        <f>VLOOKUP(LinkTable6789[[#This Row],[Coluna1]],[4]AlarmCatalog!$A:$M,11,FALSE)</f>
        <v>Severidade 7</v>
      </c>
    </row>
    <row r="565" spans="1:12" s="67" customFormat="1" ht="16.5" customHeight="1" x14ac:dyDescent="0.25">
      <c r="A565" s="68" t="s">
        <v>3813</v>
      </c>
      <c r="B565" s="68" t="s">
        <v>2349</v>
      </c>
      <c r="C565" s="68" t="s">
        <v>3466</v>
      </c>
      <c r="D565" s="68" t="s">
        <v>2809</v>
      </c>
      <c r="E565" s="68" t="s">
        <v>3053</v>
      </c>
      <c r="F565" s="68" t="s">
        <v>3047</v>
      </c>
      <c r="G565" s="68" t="s">
        <v>3048</v>
      </c>
      <c r="H565" s="68" t="s">
        <v>3058</v>
      </c>
      <c r="I565" s="68" t="s">
        <v>3050</v>
      </c>
      <c r="J565" s="68" t="s">
        <v>3741</v>
      </c>
      <c r="K565" s="69" t="s">
        <v>3741</v>
      </c>
      <c r="L565" s="69" t="str">
        <f>VLOOKUP(LinkTable6789[[#This Row],[Coluna1]],[4]AlarmCatalog!$A:$M,11,FALSE)</f>
        <v>Severidade 7</v>
      </c>
    </row>
    <row r="566" spans="1:12" s="67" customFormat="1" ht="16.5" customHeight="1" x14ac:dyDescent="0.25">
      <c r="A566" s="68" t="s">
        <v>3814</v>
      </c>
      <c r="B566" s="68" t="s">
        <v>2349</v>
      </c>
      <c r="C566" s="68" t="s">
        <v>3784</v>
      </c>
      <c r="D566" s="68" t="s">
        <v>2809</v>
      </c>
      <c r="E566" s="68" t="s">
        <v>2809</v>
      </c>
      <c r="F566" s="68" t="s">
        <v>3047</v>
      </c>
      <c r="G566" s="68" t="s">
        <v>3048</v>
      </c>
      <c r="H566" s="68" t="s">
        <v>3058</v>
      </c>
      <c r="I566" s="68" t="s">
        <v>3050</v>
      </c>
      <c r="J566" s="68" t="s">
        <v>3741</v>
      </c>
      <c r="K566" s="69" t="s">
        <v>3741</v>
      </c>
      <c r="L566" s="69" t="str">
        <f>VLOOKUP(LinkTable6789[[#This Row],[Coluna1]],[4]AlarmCatalog!$A:$M,11,FALSE)</f>
        <v>Severidade 7</v>
      </c>
    </row>
    <row r="567" spans="1:12" s="67" customFormat="1" ht="16.5" customHeight="1" x14ac:dyDescent="0.25">
      <c r="A567" s="70" t="s">
        <v>2803</v>
      </c>
      <c r="B567" s="68" t="s">
        <v>2349</v>
      </c>
      <c r="C567" s="68" t="s">
        <v>3415</v>
      </c>
      <c r="D567" s="68" t="s">
        <v>2809</v>
      </c>
      <c r="E567" s="68" t="s">
        <v>3053</v>
      </c>
      <c r="F567" s="68" t="s">
        <v>3047</v>
      </c>
      <c r="G567" s="68" t="s">
        <v>3048</v>
      </c>
      <c r="H567" s="68" t="s">
        <v>3058</v>
      </c>
      <c r="I567" s="68" t="s">
        <v>3050</v>
      </c>
      <c r="J567" s="68" t="s">
        <v>3741</v>
      </c>
      <c r="K567" s="69" t="s">
        <v>3282</v>
      </c>
      <c r="L567" s="69" t="str">
        <f>VLOOKUP(LinkTable6789[[#This Row],[Coluna1]],[4]AlarmCatalog!$A:$M,11,FALSE)</f>
        <v>Severidade 3</v>
      </c>
    </row>
    <row r="568" spans="1:12" s="67" customFormat="1" ht="16.5" customHeight="1" x14ac:dyDescent="0.25">
      <c r="A568" s="68" t="s">
        <v>3815</v>
      </c>
      <c r="B568" s="68" t="s">
        <v>2349</v>
      </c>
      <c r="C568" s="68" t="s">
        <v>3094</v>
      </c>
      <c r="D568" s="68" t="s">
        <v>2809</v>
      </c>
      <c r="E568" s="68" t="s">
        <v>2809</v>
      </c>
      <c r="F568" s="68" t="s">
        <v>3047</v>
      </c>
      <c r="G568" s="68" t="s">
        <v>3048</v>
      </c>
      <c r="H568" s="68" t="s">
        <v>3589</v>
      </c>
      <c r="I568" s="68" t="s">
        <v>3050</v>
      </c>
      <c r="J568" s="68" t="s">
        <v>3741</v>
      </c>
      <c r="K568" s="69" t="s">
        <v>3741</v>
      </c>
      <c r="L568" s="69" t="str">
        <f>VLOOKUP(LinkTable6789[[#This Row],[Coluna1]],[4]AlarmCatalog!$A:$M,11,FALSE)</f>
        <v>Severidade 7</v>
      </c>
    </row>
    <row r="569" spans="1:12" s="67" customFormat="1" ht="16.5" customHeight="1" x14ac:dyDescent="0.25">
      <c r="A569" s="68" t="s">
        <v>3816</v>
      </c>
      <c r="B569" s="68" t="s">
        <v>2349</v>
      </c>
      <c r="C569" s="68" t="s">
        <v>3817</v>
      </c>
      <c r="D569" s="68" t="s">
        <v>2809</v>
      </c>
      <c r="E569" s="68" t="s">
        <v>3053</v>
      </c>
      <c r="F569" s="68" t="s">
        <v>3047</v>
      </c>
      <c r="G569" s="68" t="s">
        <v>3048</v>
      </c>
      <c r="H569" s="68" t="s">
        <v>3058</v>
      </c>
      <c r="I569" s="68" t="s">
        <v>3050</v>
      </c>
      <c r="J569" s="68" t="s">
        <v>3741</v>
      </c>
      <c r="K569" s="69" t="s">
        <v>3741</v>
      </c>
      <c r="L569" s="69" t="str">
        <f>VLOOKUP(LinkTable6789[[#This Row],[Coluna1]],[4]AlarmCatalog!$A:$M,11,FALSE)</f>
        <v>Severidade 7</v>
      </c>
    </row>
    <row r="570" spans="1:12" s="67" customFormat="1" ht="16.5" customHeight="1" x14ac:dyDescent="0.25">
      <c r="A570" s="68" t="s">
        <v>3818</v>
      </c>
      <c r="B570" s="68" t="s">
        <v>2349</v>
      </c>
      <c r="C570" s="68" t="s">
        <v>3094</v>
      </c>
      <c r="D570" s="68" t="s">
        <v>2809</v>
      </c>
      <c r="E570" s="68" t="s">
        <v>3046</v>
      </c>
      <c r="F570" s="68" t="s">
        <v>3180</v>
      </c>
      <c r="G570" s="68" t="s">
        <v>3048</v>
      </c>
      <c r="H570" s="68" t="s">
        <v>3058</v>
      </c>
      <c r="I570" s="68" t="s">
        <v>3050</v>
      </c>
      <c r="J570" s="68" t="s">
        <v>3741</v>
      </c>
      <c r="K570" s="69" t="s">
        <v>3741</v>
      </c>
      <c r="L570" s="69" t="str">
        <f>VLOOKUP(LinkTable6789[[#This Row],[Coluna1]],[4]AlarmCatalog!$A:$M,11,FALSE)</f>
        <v>Severidade 7</v>
      </c>
    </row>
    <row r="571" spans="1:12" s="67" customFormat="1" ht="16.5" customHeight="1" x14ac:dyDescent="0.25">
      <c r="A571" s="68" t="s">
        <v>3819</v>
      </c>
      <c r="B571" s="68" t="s">
        <v>2349</v>
      </c>
      <c r="C571" s="68" t="s">
        <v>3382</v>
      </c>
      <c r="D571" s="68" t="s">
        <v>2809</v>
      </c>
      <c r="E571" s="68" t="s">
        <v>3046</v>
      </c>
      <c r="F571" s="68" t="s">
        <v>3047</v>
      </c>
      <c r="G571" s="68" t="s">
        <v>3048</v>
      </c>
      <c r="H571" s="68" t="s">
        <v>3058</v>
      </c>
      <c r="I571" s="68" t="s">
        <v>3050</v>
      </c>
      <c r="J571" s="68" t="s">
        <v>3770</v>
      </c>
      <c r="K571" s="69" t="s">
        <v>3770</v>
      </c>
      <c r="L571" s="69" t="str">
        <f>VLOOKUP(LinkTable6789[[#This Row],[Coluna1]],[4]AlarmCatalog!$A:$M,11,FALSE)</f>
        <v>Severidade 7</v>
      </c>
    </row>
    <row r="572" spans="1:12" s="67" customFormat="1" ht="16.5" customHeight="1" x14ac:dyDescent="0.25">
      <c r="A572" s="68" t="s">
        <v>3820</v>
      </c>
      <c r="B572" s="68" t="s">
        <v>2349</v>
      </c>
      <c r="C572" s="68" t="s">
        <v>3448</v>
      </c>
      <c r="D572" s="68" t="s">
        <v>2809</v>
      </c>
      <c r="E572" s="68" t="s">
        <v>3046</v>
      </c>
      <c r="F572" s="68" t="s">
        <v>3047</v>
      </c>
      <c r="G572" s="68" t="s">
        <v>3048</v>
      </c>
      <c r="H572" s="68" t="s">
        <v>3058</v>
      </c>
      <c r="I572" s="68" t="s">
        <v>3050</v>
      </c>
      <c r="J572" s="68" t="s">
        <v>3741</v>
      </c>
      <c r="K572" s="69" t="s">
        <v>3741</v>
      </c>
      <c r="L572" s="69" t="str">
        <f>VLOOKUP(LinkTable6789[[#This Row],[Coluna1]],[4]AlarmCatalog!$A:$M,11,FALSE)</f>
        <v>Severidade 7</v>
      </c>
    </row>
    <row r="573" spans="1:12" s="67" customFormat="1" ht="16.5" customHeight="1" x14ac:dyDescent="0.25">
      <c r="A573" s="68" t="s">
        <v>3821</v>
      </c>
      <c r="B573" s="68" t="s">
        <v>2349</v>
      </c>
      <c r="C573" s="68" t="s">
        <v>3415</v>
      </c>
      <c r="D573" s="68" t="s">
        <v>2809</v>
      </c>
      <c r="E573" s="68" t="s">
        <v>3046</v>
      </c>
      <c r="F573" s="68" t="s">
        <v>3822</v>
      </c>
      <c r="G573" s="68" t="s">
        <v>3048</v>
      </c>
      <c r="H573" s="68" t="s">
        <v>3058</v>
      </c>
      <c r="I573" s="68" t="s">
        <v>3050</v>
      </c>
      <c r="J573" s="68" t="s">
        <v>3745</v>
      </c>
      <c r="K573" s="69" t="s">
        <v>3745</v>
      </c>
      <c r="L573" s="69" t="str">
        <f>VLOOKUP(LinkTable6789[[#This Row],[Coluna1]],[4]AlarmCatalog!$A:$M,11,FALSE)</f>
        <v>Severidade 7</v>
      </c>
    </row>
    <row r="574" spans="1:12" s="67" customFormat="1" ht="16.5" customHeight="1" x14ac:dyDescent="0.25">
      <c r="A574" s="68" t="s">
        <v>3823</v>
      </c>
      <c r="B574" s="68" t="s">
        <v>2349</v>
      </c>
      <c r="C574" s="68" t="s">
        <v>2991</v>
      </c>
      <c r="D574" s="68" t="s">
        <v>2809</v>
      </c>
      <c r="E574" s="68" t="s">
        <v>2809</v>
      </c>
      <c r="F574" s="68" t="s">
        <v>3047</v>
      </c>
      <c r="G574" s="68" t="s">
        <v>3048</v>
      </c>
      <c r="H574" s="68" t="s">
        <v>3058</v>
      </c>
      <c r="I574" s="68" t="s">
        <v>3050</v>
      </c>
      <c r="J574" s="68" t="s">
        <v>3741</v>
      </c>
      <c r="K574" s="69" t="s">
        <v>3741</v>
      </c>
      <c r="L574" s="69" t="str">
        <f>VLOOKUP(LinkTable6789[[#This Row],[Coluna1]],[4]AlarmCatalog!$A:$M,11,FALSE)</f>
        <v>Severidade 7</v>
      </c>
    </row>
    <row r="575" spans="1:12" s="67" customFormat="1" ht="16.5" customHeight="1" x14ac:dyDescent="0.25">
      <c r="A575" s="68" t="s">
        <v>3824</v>
      </c>
      <c r="B575" s="68" t="s">
        <v>2349</v>
      </c>
      <c r="C575" s="68" t="s">
        <v>3415</v>
      </c>
      <c r="D575" s="68" t="s">
        <v>2809</v>
      </c>
      <c r="E575" s="68" t="s">
        <v>3046</v>
      </c>
      <c r="F575" s="68" t="s">
        <v>3047</v>
      </c>
      <c r="G575" s="68" t="s">
        <v>3048</v>
      </c>
      <c r="H575" s="68" t="s">
        <v>3058</v>
      </c>
      <c r="I575" s="68" t="s">
        <v>3050</v>
      </c>
      <c r="J575" s="68" t="s">
        <v>3745</v>
      </c>
      <c r="K575" s="69" t="s">
        <v>3745</v>
      </c>
      <c r="L575" s="69" t="str">
        <f>VLOOKUP(LinkTable6789[[#This Row],[Coluna1]],[4]AlarmCatalog!$A:$M,11,FALSE)</f>
        <v>Severidade 7</v>
      </c>
    </row>
    <row r="576" spans="1:12" s="67" customFormat="1" ht="16.5" customHeight="1" x14ac:dyDescent="0.25">
      <c r="A576" s="68" t="s">
        <v>3825</v>
      </c>
      <c r="B576" s="68" t="s">
        <v>2349</v>
      </c>
      <c r="C576" s="68" t="s">
        <v>3826</v>
      </c>
      <c r="D576" s="68" t="s">
        <v>2809</v>
      </c>
      <c r="E576" s="68" t="s">
        <v>3053</v>
      </c>
      <c r="F576" s="68" t="s">
        <v>3047</v>
      </c>
      <c r="G576" s="68" t="s">
        <v>3048</v>
      </c>
      <c r="H576" s="68" t="s">
        <v>3058</v>
      </c>
      <c r="I576" s="68" t="s">
        <v>3050</v>
      </c>
      <c r="J576" s="68" t="s">
        <v>3827</v>
      </c>
      <c r="K576" s="69" t="s">
        <v>3827</v>
      </c>
      <c r="L576" s="69" t="str">
        <f>VLOOKUP(LinkTable6789[[#This Row],[Coluna1]],[4]AlarmCatalog!$A:$M,11,FALSE)</f>
        <v>Severidade 7</v>
      </c>
    </row>
    <row r="577" spans="1:12" s="67" customFormat="1" ht="16.5" customHeight="1" x14ac:dyDescent="0.25">
      <c r="A577" s="68" t="s">
        <v>3828</v>
      </c>
      <c r="B577" s="68" t="s">
        <v>2349</v>
      </c>
      <c r="C577" s="68" t="s">
        <v>3286</v>
      </c>
      <c r="D577" s="68" t="s">
        <v>2809</v>
      </c>
      <c r="E577" s="68" t="s">
        <v>3053</v>
      </c>
      <c r="F577" s="68" t="s">
        <v>3047</v>
      </c>
      <c r="G577" s="68" t="s">
        <v>3048</v>
      </c>
      <c r="H577" s="68" t="s">
        <v>3058</v>
      </c>
      <c r="I577" s="68" t="s">
        <v>3050</v>
      </c>
      <c r="J577" s="68" t="s">
        <v>3827</v>
      </c>
      <c r="K577" s="69" t="s">
        <v>3827</v>
      </c>
      <c r="L577" s="69" t="str">
        <f>VLOOKUP(LinkTable6789[[#This Row],[Coluna1]],[4]AlarmCatalog!$A:$M,11,FALSE)</f>
        <v>Severidade 7</v>
      </c>
    </row>
    <row r="578" spans="1:12" s="67" customFormat="1" ht="16.5" customHeight="1" x14ac:dyDescent="0.25">
      <c r="A578" s="68" t="s">
        <v>3829</v>
      </c>
      <c r="B578" s="68" t="s">
        <v>2349</v>
      </c>
      <c r="C578" s="68" t="s">
        <v>3347</v>
      </c>
      <c r="D578" s="68" t="s">
        <v>2809</v>
      </c>
      <c r="E578" s="68" t="s">
        <v>3053</v>
      </c>
      <c r="F578" s="68" t="s">
        <v>3047</v>
      </c>
      <c r="G578" s="68" t="s">
        <v>3048</v>
      </c>
      <c r="H578" s="68" t="s">
        <v>3058</v>
      </c>
      <c r="I578" s="68" t="s">
        <v>3050</v>
      </c>
      <c r="J578" s="68" t="s">
        <v>3827</v>
      </c>
      <c r="K578" s="69" t="s">
        <v>3827</v>
      </c>
      <c r="L578" s="69" t="str">
        <f>VLOOKUP(LinkTable6789[[#This Row],[Coluna1]],[4]AlarmCatalog!$A:$M,11,FALSE)</f>
        <v>Severidade 7</v>
      </c>
    </row>
    <row r="579" spans="1:12" s="67" customFormat="1" ht="16.5" customHeight="1" x14ac:dyDescent="0.25">
      <c r="A579" s="68" t="s">
        <v>3830</v>
      </c>
      <c r="B579" s="68" t="s">
        <v>2349</v>
      </c>
      <c r="C579" s="68" t="s">
        <v>2988</v>
      </c>
      <c r="D579" s="68" t="s">
        <v>2809</v>
      </c>
      <c r="E579" s="68" t="s">
        <v>3046</v>
      </c>
      <c r="F579" s="68" t="s">
        <v>3047</v>
      </c>
      <c r="G579" s="68" t="s">
        <v>3048</v>
      </c>
      <c r="H579" s="68" t="s">
        <v>3058</v>
      </c>
      <c r="I579" s="68" t="s">
        <v>3050</v>
      </c>
      <c r="J579" s="68" t="s">
        <v>3831</v>
      </c>
      <c r="K579" s="69" t="s">
        <v>3831</v>
      </c>
      <c r="L579" s="69" t="str">
        <f>VLOOKUP(LinkTable6789[[#This Row],[Coluna1]],[4]AlarmCatalog!$A:$M,11,FALSE)</f>
        <v>Severidade 7</v>
      </c>
    </row>
    <row r="580" spans="1:12" s="67" customFormat="1" ht="16.5" customHeight="1" x14ac:dyDescent="0.25">
      <c r="A580" s="68" t="s">
        <v>3832</v>
      </c>
      <c r="B580" s="68" t="s">
        <v>2349</v>
      </c>
      <c r="C580" s="68" t="s">
        <v>3356</v>
      </c>
      <c r="D580" s="68" t="s">
        <v>2809</v>
      </c>
      <c r="E580" s="68" t="s">
        <v>3053</v>
      </c>
      <c r="F580" s="68" t="s">
        <v>3047</v>
      </c>
      <c r="G580" s="68" t="s">
        <v>3048</v>
      </c>
      <c r="H580" s="68" t="s">
        <v>3058</v>
      </c>
      <c r="I580" s="68" t="s">
        <v>3050</v>
      </c>
      <c r="J580" s="68" t="s">
        <v>3827</v>
      </c>
      <c r="K580" s="69" t="s">
        <v>3827</v>
      </c>
      <c r="L580" s="69" t="str">
        <f>VLOOKUP(LinkTable6789[[#This Row],[Coluna1]],[4]AlarmCatalog!$A:$M,11,FALSE)</f>
        <v>Severidade 7</v>
      </c>
    </row>
    <row r="581" spans="1:12" s="67" customFormat="1" ht="16.5" customHeight="1" x14ac:dyDescent="0.25">
      <c r="A581" s="68" t="s">
        <v>3833</v>
      </c>
      <c r="B581" s="68" t="s">
        <v>2349</v>
      </c>
      <c r="C581" s="68" t="s">
        <v>2991</v>
      </c>
      <c r="D581" s="68" t="s">
        <v>2809</v>
      </c>
      <c r="E581" s="68" t="s">
        <v>3053</v>
      </c>
      <c r="F581" s="68" t="s">
        <v>3047</v>
      </c>
      <c r="G581" s="68" t="s">
        <v>3048</v>
      </c>
      <c r="H581" s="68" t="s">
        <v>3058</v>
      </c>
      <c r="I581" s="68" t="s">
        <v>3050</v>
      </c>
      <c r="J581" s="68" t="s">
        <v>3827</v>
      </c>
      <c r="K581" s="69" t="s">
        <v>3827</v>
      </c>
      <c r="L581" s="69" t="str">
        <f>VLOOKUP(LinkTable6789[[#This Row],[Coluna1]],[4]AlarmCatalog!$A:$M,11,FALSE)</f>
        <v>Severidade 7</v>
      </c>
    </row>
    <row r="582" spans="1:12" s="67" customFormat="1" ht="16.5" customHeight="1" x14ac:dyDescent="0.25">
      <c r="A582" s="68" t="s">
        <v>3834</v>
      </c>
      <c r="B582" s="68" t="s">
        <v>2349</v>
      </c>
      <c r="C582" s="68" t="s">
        <v>2991</v>
      </c>
      <c r="D582" s="68" t="s">
        <v>2809</v>
      </c>
      <c r="E582" s="68" t="s">
        <v>3053</v>
      </c>
      <c r="F582" s="68" t="s">
        <v>3047</v>
      </c>
      <c r="G582" s="68" t="s">
        <v>3048</v>
      </c>
      <c r="H582" s="68" t="s">
        <v>3058</v>
      </c>
      <c r="I582" s="68" t="s">
        <v>3050</v>
      </c>
      <c r="J582" s="68" t="s">
        <v>3827</v>
      </c>
      <c r="K582" s="69" t="s">
        <v>3827</v>
      </c>
      <c r="L582" s="69" t="str">
        <f>VLOOKUP(LinkTable6789[[#This Row],[Coluna1]],[4]AlarmCatalog!$A:$M,11,FALSE)</f>
        <v>Severidade 7</v>
      </c>
    </row>
    <row r="583" spans="1:12" s="67" customFormat="1" ht="16.5" customHeight="1" x14ac:dyDescent="0.25">
      <c r="A583" s="68" t="s">
        <v>3835</v>
      </c>
      <c r="B583" s="68" t="s">
        <v>2349</v>
      </c>
      <c r="C583" s="68" t="s">
        <v>3546</v>
      </c>
      <c r="D583" s="68" t="s">
        <v>2809</v>
      </c>
      <c r="E583" s="68" t="s">
        <v>3053</v>
      </c>
      <c r="F583" s="68" t="s">
        <v>3047</v>
      </c>
      <c r="G583" s="68" t="s">
        <v>3048</v>
      </c>
      <c r="H583" s="68" t="s">
        <v>3058</v>
      </c>
      <c r="I583" s="68" t="s">
        <v>3050</v>
      </c>
      <c r="J583" s="68" t="s">
        <v>3831</v>
      </c>
      <c r="K583" s="69" t="s">
        <v>3831</v>
      </c>
      <c r="L583" s="69" t="str">
        <f>VLOOKUP(LinkTable6789[[#This Row],[Coluna1]],[4]AlarmCatalog!$A:$M,11,FALSE)</f>
        <v>Severidade 7</v>
      </c>
    </row>
    <row r="584" spans="1:12" s="67" customFormat="1" ht="16.5" customHeight="1" x14ac:dyDescent="0.25">
      <c r="A584" s="68" t="s">
        <v>3836</v>
      </c>
      <c r="B584" s="68" t="s">
        <v>2349</v>
      </c>
      <c r="C584" s="68" t="s">
        <v>2988</v>
      </c>
      <c r="D584" s="68" t="s">
        <v>2809</v>
      </c>
      <c r="E584" s="68" t="s">
        <v>3053</v>
      </c>
      <c r="F584" s="68" t="s">
        <v>3047</v>
      </c>
      <c r="G584" s="68" t="s">
        <v>3048</v>
      </c>
      <c r="H584" s="68" t="s">
        <v>3058</v>
      </c>
      <c r="I584" s="68" t="s">
        <v>3050</v>
      </c>
      <c r="J584" s="68" t="s">
        <v>3831</v>
      </c>
      <c r="K584" s="69" t="s">
        <v>3831</v>
      </c>
      <c r="L584" s="69" t="str">
        <f>VLOOKUP(LinkTable6789[[#This Row],[Coluna1]],[4]AlarmCatalog!$A:$M,11,FALSE)</f>
        <v>Severidade 7</v>
      </c>
    </row>
    <row r="585" spans="1:12" s="67" customFormat="1" ht="16.5" customHeight="1" x14ac:dyDescent="0.25">
      <c r="A585" s="68" t="s">
        <v>3837</v>
      </c>
      <c r="B585" s="68" t="s">
        <v>2349</v>
      </c>
      <c r="C585" s="68" t="s">
        <v>3778</v>
      </c>
      <c r="D585" s="68" t="s">
        <v>2809</v>
      </c>
      <c r="E585" s="68" t="s">
        <v>3053</v>
      </c>
      <c r="F585" s="68" t="s">
        <v>3047</v>
      </c>
      <c r="G585" s="68" t="s">
        <v>3048</v>
      </c>
      <c r="H585" s="68" t="s">
        <v>3058</v>
      </c>
      <c r="I585" s="68" t="s">
        <v>3050</v>
      </c>
      <c r="J585" s="68" t="s">
        <v>3827</v>
      </c>
      <c r="K585" s="69" t="s">
        <v>3827</v>
      </c>
      <c r="L585" s="69" t="str">
        <f>VLOOKUP(LinkTable6789[[#This Row],[Coluna1]],[4]AlarmCatalog!$A:$M,11,FALSE)</f>
        <v>Severidade 7</v>
      </c>
    </row>
    <row r="586" spans="1:12" s="67" customFormat="1" ht="16.5" customHeight="1" x14ac:dyDescent="0.25">
      <c r="A586" s="68" t="s">
        <v>3838</v>
      </c>
      <c r="B586" s="68" t="s">
        <v>2349</v>
      </c>
      <c r="C586" s="68" t="s">
        <v>3382</v>
      </c>
      <c r="D586" s="68" t="s">
        <v>2809</v>
      </c>
      <c r="E586" s="68" t="s">
        <v>3053</v>
      </c>
      <c r="F586" s="68" t="s">
        <v>3047</v>
      </c>
      <c r="G586" s="68" t="s">
        <v>3048</v>
      </c>
      <c r="H586" s="68" t="s">
        <v>3058</v>
      </c>
      <c r="I586" s="68" t="s">
        <v>3050</v>
      </c>
      <c r="J586" s="68" t="s">
        <v>3827</v>
      </c>
      <c r="K586" s="69" t="s">
        <v>3827</v>
      </c>
      <c r="L586" s="69" t="str">
        <f>VLOOKUP(LinkTable6789[[#This Row],[Coluna1]],[4]AlarmCatalog!$A:$M,11,FALSE)</f>
        <v>Severidade 7</v>
      </c>
    </row>
    <row r="587" spans="1:12" s="67" customFormat="1" ht="16.5" customHeight="1" x14ac:dyDescent="0.25">
      <c r="A587" s="68" t="s">
        <v>3839</v>
      </c>
      <c r="B587" s="68" t="s">
        <v>2349</v>
      </c>
      <c r="C587" s="68" t="s">
        <v>3475</v>
      </c>
      <c r="D587" s="68" t="s">
        <v>2809</v>
      </c>
      <c r="E587" s="68" t="s">
        <v>3053</v>
      </c>
      <c r="F587" s="68" t="s">
        <v>3047</v>
      </c>
      <c r="G587" s="68" t="s">
        <v>3048</v>
      </c>
      <c r="H587" s="68" t="s">
        <v>3058</v>
      </c>
      <c r="I587" s="68" t="s">
        <v>3050</v>
      </c>
      <c r="J587" s="68" t="s">
        <v>3827</v>
      </c>
      <c r="K587" s="69" t="s">
        <v>3827</v>
      </c>
      <c r="L587" s="69" t="str">
        <f>VLOOKUP(LinkTable6789[[#This Row],[Coluna1]],[4]AlarmCatalog!$A:$M,11,FALSE)</f>
        <v>Severidade 7</v>
      </c>
    </row>
    <row r="588" spans="1:12" s="67" customFormat="1" ht="16.5" customHeight="1" x14ac:dyDescent="0.25">
      <c r="A588" s="68" t="s">
        <v>3840</v>
      </c>
      <c r="B588" s="68" t="s">
        <v>2349</v>
      </c>
      <c r="C588" s="68" t="s">
        <v>3306</v>
      </c>
      <c r="D588" s="68" t="s">
        <v>2809</v>
      </c>
      <c r="E588" s="68" t="s">
        <v>3053</v>
      </c>
      <c r="F588" s="68" t="s">
        <v>3047</v>
      </c>
      <c r="G588" s="68" t="s">
        <v>3057</v>
      </c>
      <c r="H588" s="68" t="s">
        <v>3058</v>
      </c>
      <c r="I588" s="68" t="s">
        <v>3050</v>
      </c>
      <c r="J588" s="68" t="s">
        <v>3741</v>
      </c>
      <c r="K588" s="69" t="s">
        <v>3741</v>
      </c>
      <c r="L588" s="69" t="str">
        <f>VLOOKUP(LinkTable6789[[#This Row],[Coluna1]],[4]AlarmCatalog!$A:$M,11,FALSE)</f>
        <v>Severidade 7</v>
      </c>
    </row>
    <row r="589" spans="1:12" s="67" customFormat="1" ht="16.5" customHeight="1" x14ac:dyDescent="0.25">
      <c r="A589" s="68" t="s">
        <v>3841</v>
      </c>
      <c r="B589" s="68" t="s">
        <v>2349</v>
      </c>
      <c r="C589" s="68" t="s">
        <v>3842</v>
      </c>
      <c r="D589" s="68" t="s">
        <v>2990</v>
      </c>
      <c r="E589" s="68" t="s">
        <v>3053</v>
      </c>
      <c r="F589" s="68" t="s">
        <v>3047</v>
      </c>
      <c r="G589" s="68" t="s">
        <v>3057</v>
      </c>
      <c r="H589" s="68" t="s">
        <v>3589</v>
      </c>
      <c r="I589" s="68" t="s">
        <v>3050</v>
      </c>
      <c r="J589" s="68" t="s">
        <v>3827</v>
      </c>
      <c r="K589" s="69" t="s">
        <v>3827</v>
      </c>
      <c r="L589" s="69" t="str">
        <f>VLOOKUP(LinkTable6789[[#This Row],[Coluna1]],[4]AlarmCatalog!$A:$M,11,FALSE)</f>
        <v>Severidade 7</v>
      </c>
    </row>
    <row r="590" spans="1:12" s="67" customFormat="1" ht="16.5" customHeight="1" x14ac:dyDescent="0.25">
      <c r="A590" s="68" t="s">
        <v>3843</v>
      </c>
      <c r="B590" s="68" t="s">
        <v>2349</v>
      </c>
      <c r="C590" s="68" t="s">
        <v>3103</v>
      </c>
      <c r="D590" s="68" t="s">
        <v>2809</v>
      </c>
      <c r="E590" s="68" t="s">
        <v>2809</v>
      </c>
      <c r="F590" s="68" t="s">
        <v>3204</v>
      </c>
      <c r="G590" s="68" t="s">
        <v>3048</v>
      </c>
      <c r="H590" s="68" t="s">
        <v>3058</v>
      </c>
      <c r="I590" s="68" t="s">
        <v>3050</v>
      </c>
      <c r="J590" s="68" t="s">
        <v>3125</v>
      </c>
      <c r="K590" s="69" t="s">
        <v>3125</v>
      </c>
      <c r="L590" s="69" t="str">
        <f>VLOOKUP(LinkTable6789[[#This Row],[Coluna1]],[4]AlarmCatalog!$A:$M,11,FALSE)</f>
        <v>Severidade 8</v>
      </c>
    </row>
    <row r="591" spans="1:12" s="67" customFormat="1" ht="16.5" customHeight="1" x14ac:dyDescent="0.25">
      <c r="A591" s="68" t="s">
        <v>3844</v>
      </c>
      <c r="B591" s="68" t="s">
        <v>2349</v>
      </c>
      <c r="C591" s="68" t="s">
        <v>3103</v>
      </c>
      <c r="D591" s="68" t="s">
        <v>2809</v>
      </c>
      <c r="E591" s="68" t="s">
        <v>3053</v>
      </c>
      <c r="F591" s="68" t="s">
        <v>3233</v>
      </c>
      <c r="G591" s="68" t="s">
        <v>3048</v>
      </c>
      <c r="H591" s="68" t="s">
        <v>3075</v>
      </c>
      <c r="I591" s="68" t="s">
        <v>3050</v>
      </c>
      <c r="J591" s="68" t="s">
        <v>3125</v>
      </c>
      <c r="K591" s="69" t="s">
        <v>3125</v>
      </c>
      <c r="L591" s="69" t="str">
        <f>VLOOKUP(LinkTable6789[[#This Row],[Coluna1]],[4]AlarmCatalog!$A:$M,11,FALSE)</f>
        <v>Severidade 8</v>
      </c>
    </row>
    <row r="592" spans="1:12" s="67" customFormat="1" ht="16.5" customHeight="1" x14ac:dyDescent="0.25">
      <c r="A592" s="68" t="s">
        <v>3845</v>
      </c>
      <c r="B592" s="68" t="s">
        <v>2349</v>
      </c>
      <c r="C592" s="68" t="s">
        <v>3103</v>
      </c>
      <c r="D592" s="68" t="s">
        <v>2990</v>
      </c>
      <c r="E592" s="68" t="s">
        <v>3046</v>
      </c>
      <c r="F592" s="68" t="s">
        <v>3846</v>
      </c>
      <c r="G592" s="68" t="s">
        <v>3847</v>
      </c>
      <c r="H592" s="68" t="s">
        <v>3058</v>
      </c>
      <c r="I592" s="68" t="s">
        <v>3050</v>
      </c>
      <c r="J592" s="68" t="s">
        <v>3125</v>
      </c>
      <c r="K592" s="69" t="s">
        <v>3125</v>
      </c>
      <c r="L592" s="69" t="str">
        <f>VLOOKUP(LinkTable6789[[#This Row],[Coluna1]],[4]AlarmCatalog!$A:$M,11,FALSE)</f>
        <v>Severidade 8</v>
      </c>
    </row>
    <row r="593" spans="1:12" s="67" customFormat="1" ht="16.5" customHeight="1" x14ac:dyDescent="0.25">
      <c r="A593" s="68" t="s">
        <v>3848</v>
      </c>
      <c r="B593" s="68" t="s">
        <v>2349</v>
      </c>
      <c r="C593" s="68" t="s">
        <v>3490</v>
      </c>
      <c r="D593" s="68" t="s">
        <v>2809</v>
      </c>
      <c r="E593" s="68" t="s">
        <v>3053</v>
      </c>
      <c r="F593" s="68" t="s">
        <v>3047</v>
      </c>
      <c r="G593" s="68" t="s">
        <v>3048</v>
      </c>
      <c r="H593" s="68" t="s">
        <v>3058</v>
      </c>
      <c r="I593" s="68" t="s">
        <v>3050</v>
      </c>
      <c r="J593" s="68" t="s">
        <v>3297</v>
      </c>
      <c r="K593" s="69" t="s">
        <v>3297</v>
      </c>
      <c r="L593" s="69" t="str">
        <f>VLOOKUP(LinkTable6789[[#This Row],[Coluna1]],[4]AlarmCatalog!$A:$M,11,FALSE)</f>
        <v>Severidade 4</v>
      </c>
    </row>
    <row r="594" spans="1:12" s="67" customFormat="1" ht="16.5" customHeight="1" x14ac:dyDescent="0.25">
      <c r="A594" s="68" t="s">
        <v>3849</v>
      </c>
      <c r="B594" s="68" t="s">
        <v>2349</v>
      </c>
      <c r="C594" s="68" t="s">
        <v>3103</v>
      </c>
      <c r="D594" s="68" t="s">
        <v>2990</v>
      </c>
      <c r="E594" s="68" t="s">
        <v>2809</v>
      </c>
      <c r="F594" s="68" t="s">
        <v>3846</v>
      </c>
      <c r="G594" s="68" t="s">
        <v>3048</v>
      </c>
      <c r="H594" s="68" t="s">
        <v>3075</v>
      </c>
      <c r="I594" s="68" t="s">
        <v>3050</v>
      </c>
      <c r="J594" s="68" t="s">
        <v>3125</v>
      </c>
      <c r="K594" s="69" t="s">
        <v>3125</v>
      </c>
      <c r="L594" s="69" t="str">
        <f>VLOOKUP(LinkTable6789[[#This Row],[Coluna1]],[4]AlarmCatalog!$A:$M,11,FALSE)</f>
        <v>Severidade 8</v>
      </c>
    </row>
    <row r="595" spans="1:12" s="67" customFormat="1" ht="16.5" customHeight="1" x14ac:dyDescent="0.25">
      <c r="A595" s="68" t="s">
        <v>3850</v>
      </c>
      <c r="B595" s="68" t="s">
        <v>2349</v>
      </c>
      <c r="C595" s="68" t="s">
        <v>3103</v>
      </c>
      <c r="D595" s="68" t="s">
        <v>2809</v>
      </c>
      <c r="E595" s="68" t="s">
        <v>2809</v>
      </c>
      <c r="F595" s="68" t="s">
        <v>3846</v>
      </c>
      <c r="G595" s="68" t="s">
        <v>3048</v>
      </c>
      <c r="H595" s="68" t="s">
        <v>3075</v>
      </c>
      <c r="I595" s="68" t="s">
        <v>3050</v>
      </c>
      <c r="J595" s="68" t="s">
        <v>3125</v>
      </c>
      <c r="K595" s="69" t="s">
        <v>3125</v>
      </c>
      <c r="L595" s="69" t="str">
        <f>VLOOKUP(LinkTable6789[[#This Row],[Coluna1]],[4]AlarmCatalog!$A:$M,11,FALSE)</f>
        <v>Severidade 8</v>
      </c>
    </row>
    <row r="596" spans="1:12" s="67" customFormat="1" ht="16.5" customHeight="1" x14ac:dyDescent="0.25">
      <c r="A596" s="68" t="s">
        <v>3851</v>
      </c>
      <c r="B596" s="68" t="s">
        <v>2349</v>
      </c>
      <c r="C596" s="68" t="s">
        <v>2986</v>
      </c>
      <c r="D596" s="68" t="s">
        <v>2990</v>
      </c>
      <c r="E596" s="68" t="s">
        <v>3053</v>
      </c>
      <c r="F596" s="68" t="s">
        <v>3056</v>
      </c>
      <c r="G596" s="68" t="s">
        <v>3057</v>
      </c>
      <c r="H596" s="68" t="s">
        <v>3058</v>
      </c>
      <c r="I596" s="68" t="s">
        <v>3050</v>
      </c>
      <c r="J596" s="68" t="s">
        <v>3125</v>
      </c>
      <c r="K596" s="69" t="s">
        <v>3125</v>
      </c>
      <c r="L596" s="69" t="str">
        <f>VLOOKUP(LinkTable6789[[#This Row],[Coluna1]],[4]AlarmCatalog!$A:$M,11,FALSE)</f>
        <v>Severidade 8</v>
      </c>
    </row>
    <row r="597" spans="1:12" s="67" customFormat="1" ht="16.5" customHeight="1" x14ac:dyDescent="0.25">
      <c r="A597" s="68" t="s">
        <v>1192</v>
      </c>
      <c r="B597" s="68" t="s">
        <v>2349</v>
      </c>
      <c r="C597" s="68" t="s">
        <v>3103</v>
      </c>
      <c r="D597" s="68" t="s">
        <v>2990</v>
      </c>
      <c r="E597" s="68" t="s">
        <v>3053</v>
      </c>
      <c r="F597" s="68" t="s">
        <v>3846</v>
      </c>
      <c r="G597" s="68" t="s">
        <v>3847</v>
      </c>
      <c r="H597" s="68" t="s">
        <v>3058</v>
      </c>
      <c r="I597" s="68" t="s">
        <v>3050</v>
      </c>
      <c r="J597" s="68" t="s">
        <v>3125</v>
      </c>
      <c r="K597" s="69" t="s">
        <v>3125</v>
      </c>
      <c r="L597" s="69" t="str">
        <f>VLOOKUP(LinkTable6789[[#This Row],[Coluna1]],[4]AlarmCatalog!$A:$M,11,FALSE)</f>
        <v>Severidade 8</v>
      </c>
    </row>
    <row r="598" spans="1:12" s="67" customFormat="1" ht="16.5" customHeight="1" x14ac:dyDescent="0.25">
      <c r="A598" s="68" t="s">
        <v>3852</v>
      </c>
      <c r="B598" s="68" t="s">
        <v>2349</v>
      </c>
      <c r="C598" s="68" t="s">
        <v>2986</v>
      </c>
      <c r="D598" s="68" t="s">
        <v>2990</v>
      </c>
      <c r="E598" s="68" t="s">
        <v>3053</v>
      </c>
      <c r="F598" s="68" t="s">
        <v>3047</v>
      </c>
      <c r="G598" s="68" t="s">
        <v>3057</v>
      </c>
      <c r="H598" s="68" t="s">
        <v>3058</v>
      </c>
      <c r="I598" s="68" t="s">
        <v>3050</v>
      </c>
      <c r="J598" s="68" t="s">
        <v>3439</v>
      </c>
      <c r="K598" s="69" t="s">
        <v>3439</v>
      </c>
      <c r="L598" s="69" t="str">
        <f>VLOOKUP(LinkTable6789[[#This Row],[Coluna1]],[4]AlarmCatalog!$A:$M,11,FALSE)</f>
        <v>Severidade 4</v>
      </c>
    </row>
    <row r="599" spans="1:12" s="67" customFormat="1" ht="16.5" customHeight="1" x14ac:dyDescent="0.25">
      <c r="A599" s="68" t="s">
        <v>3853</v>
      </c>
      <c r="B599" s="68" t="s">
        <v>2349</v>
      </c>
      <c r="C599" s="68" t="s">
        <v>2986</v>
      </c>
      <c r="D599" s="68" t="s">
        <v>2990</v>
      </c>
      <c r="E599" s="68" t="s">
        <v>3053</v>
      </c>
      <c r="F599" s="68" t="s">
        <v>3047</v>
      </c>
      <c r="G599" s="68" t="s">
        <v>3057</v>
      </c>
      <c r="H599" s="68" t="s">
        <v>3058</v>
      </c>
      <c r="I599" s="68" t="s">
        <v>3050</v>
      </c>
      <c r="J599" s="68" t="s">
        <v>3741</v>
      </c>
      <c r="K599" s="69" t="s">
        <v>3741</v>
      </c>
      <c r="L599" s="69" t="str">
        <f>VLOOKUP(LinkTable6789[[#This Row],[Coluna1]],[4]AlarmCatalog!$A:$M,11,FALSE)</f>
        <v>Severidade 7</v>
      </c>
    </row>
    <row r="600" spans="1:12" s="67" customFormat="1" ht="16.5" customHeight="1" x14ac:dyDescent="0.25">
      <c r="A600" s="68" t="s">
        <v>3854</v>
      </c>
      <c r="B600" s="68" t="s">
        <v>2349</v>
      </c>
      <c r="C600" s="68" t="s">
        <v>2986</v>
      </c>
      <c r="D600" s="68" t="s">
        <v>2990</v>
      </c>
      <c r="E600" s="68" t="s">
        <v>3053</v>
      </c>
      <c r="F600" s="68" t="s">
        <v>3047</v>
      </c>
      <c r="G600" s="68" t="s">
        <v>3057</v>
      </c>
      <c r="H600" s="68" t="s">
        <v>3058</v>
      </c>
      <c r="I600" s="68" t="s">
        <v>3050</v>
      </c>
      <c r="J600" s="68" t="s">
        <v>3160</v>
      </c>
      <c r="K600" s="69" t="s">
        <v>3160</v>
      </c>
      <c r="L600" s="69" t="str">
        <f>VLOOKUP(LinkTable6789[[#This Row],[Coluna1]],[4]AlarmCatalog!$A:$M,11,FALSE)</f>
        <v>Severidade 8</v>
      </c>
    </row>
    <row r="601" spans="1:12" s="67" customFormat="1" ht="16.5" customHeight="1" x14ac:dyDescent="0.25">
      <c r="A601" s="68" t="s">
        <v>3855</v>
      </c>
      <c r="B601" s="68" t="s">
        <v>2349</v>
      </c>
      <c r="C601" s="68" t="s">
        <v>3535</v>
      </c>
      <c r="D601" s="68" t="s">
        <v>2990</v>
      </c>
      <c r="E601" s="68" t="s">
        <v>2990</v>
      </c>
      <c r="F601" s="68" t="s">
        <v>3056</v>
      </c>
      <c r="G601" s="68" t="s">
        <v>3057</v>
      </c>
      <c r="H601" s="68" t="s">
        <v>3058</v>
      </c>
      <c r="I601" s="68" t="s">
        <v>3050</v>
      </c>
      <c r="J601" s="68" t="s">
        <v>3125</v>
      </c>
      <c r="K601" s="69" t="s">
        <v>3125</v>
      </c>
      <c r="L601" s="69" t="str">
        <f>VLOOKUP(LinkTable6789[[#This Row],[Coluna1]],[4]AlarmCatalog!$A:$M,11,FALSE)</f>
        <v>Severidade 8</v>
      </c>
    </row>
    <row r="602" spans="1:12" s="67" customFormat="1" ht="16.5" customHeight="1" x14ac:dyDescent="0.25">
      <c r="A602" s="71" t="s">
        <v>3856</v>
      </c>
      <c r="B602" s="71" t="s">
        <v>2349</v>
      </c>
      <c r="C602" s="71" t="s">
        <v>2986</v>
      </c>
      <c r="D602" s="71" t="s">
        <v>2990</v>
      </c>
      <c r="E602" s="71" t="s">
        <v>3046</v>
      </c>
      <c r="F602" s="68" t="s">
        <v>3056</v>
      </c>
      <c r="G602" s="68" t="s">
        <v>3057</v>
      </c>
      <c r="H602" s="68" t="s">
        <v>3058</v>
      </c>
      <c r="I602" s="68" t="s">
        <v>3050</v>
      </c>
      <c r="J602" s="68" t="s">
        <v>3125</v>
      </c>
      <c r="K602" s="69" t="s">
        <v>3125</v>
      </c>
      <c r="L602" s="69" t="str">
        <f>VLOOKUP(LinkTable6789[[#This Row],[Coluna1]],[4]AlarmCatalog!$A:$M,11,FALSE)</f>
        <v>Severidade 8</v>
      </c>
    </row>
    <row r="603" spans="1:12" s="67" customFormat="1" ht="16.5" customHeight="1" x14ac:dyDescent="0.25">
      <c r="A603" s="68" t="s">
        <v>3857</v>
      </c>
      <c r="B603" s="68" t="s">
        <v>2349</v>
      </c>
      <c r="C603" s="68" t="s">
        <v>3858</v>
      </c>
      <c r="D603" s="68" t="s">
        <v>2809</v>
      </c>
      <c r="E603" s="68" t="s">
        <v>3046</v>
      </c>
      <c r="F603" s="68" t="s">
        <v>3047</v>
      </c>
      <c r="G603" s="68" t="s">
        <v>3048</v>
      </c>
      <c r="H603" s="68" t="s">
        <v>3058</v>
      </c>
      <c r="I603" s="68" t="s">
        <v>3050</v>
      </c>
      <c r="J603" s="68" t="s">
        <v>3297</v>
      </c>
      <c r="K603" s="69" t="s">
        <v>3297</v>
      </c>
      <c r="L603" s="69" t="str">
        <f>VLOOKUP(LinkTable6789[[#This Row],[Coluna1]],[4]AlarmCatalog!$A:$M,11,FALSE)</f>
        <v>Severidade 4</v>
      </c>
    </row>
    <row r="604" spans="1:12" s="67" customFormat="1" ht="16.5" customHeight="1" x14ac:dyDescent="0.25">
      <c r="A604" s="68" t="s">
        <v>3859</v>
      </c>
      <c r="B604" s="68" t="s">
        <v>2349</v>
      </c>
      <c r="C604" s="68" t="s">
        <v>2985</v>
      </c>
      <c r="D604" s="68" t="s">
        <v>2809</v>
      </c>
      <c r="E604" s="68" t="s">
        <v>3046</v>
      </c>
      <c r="F604" s="68" t="s">
        <v>3209</v>
      </c>
      <c r="G604" s="68" t="s">
        <v>3048</v>
      </c>
      <c r="H604" s="68" t="s">
        <v>3058</v>
      </c>
      <c r="I604" s="68" t="s">
        <v>3050</v>
      </c>
      <c r="J604" s="68" t="s">
        <v>3125</v>
      </c>
      <c r="K604" s="69" t="s">
        <v>3125</v>
      </c>
      <c r="L604" s="69" t="str">
        <f>VLOOKUP(LinkTable6789[[#This Row],[Coluna1]],[4]AlarmCatalog!$A:$M,11,FALSE)</f>
        <v>Severidade 8</v>
      </c>
    </row>
    <row r="605" spans="1:12" s="67" customFormat="1" ht="16.5" customHeight="1" x14ac:dyDescent="0.25">
      <c r="A605" s="68" t="s">
        <v>3860</v>
      </c>
      <c r="B605" s="68" t="s">
        <v>2349</v>
      </c>
      <c r="C605" s="68" t="s">
        <v>3858</v>
      </c>
      <c r="D605" s="68" t="s">
        <v>2809</v>
      </c>
      <c r="E605" s="68" t="s">
        <v>3046</v>
      </c>
      <c r="F605" s="68" t="s">
        <v>3047</v>
      </c>
      <c r="G605" s="68" t="s">
        <v>3048</v>
      </c>
      <c r="H605" s="68" t="s">
        <v>3058</v>
      </c>
      <c r="I605" s="68" t="s">
        <v>3050</v>
      </c>
      <c r="J605" s="68" t="s">
        <v>3160</v>
      </c>
      <c r="K605" s="69" t="s">
        <v>3160</v>
      </c>
      <c r="L605" s="69" t="str">
        <f>VLOOKUP(LinkTable6789[[#This Row],[Coluna1]],[4]AlarmCatalog!$A:$M,11,FALSE)</f>
        <v>Severidade 8</v>
      </c>
    </row>
    <row r="606" spans="1:12" s="67" customFormat="1" ht="16.5" customHeight="1" x14ac:dyDescent="0.25">
      <c r="A606" s="68" t="s">
        <v>1217</v>
      </c>
      <c r="B606" s="68" t="s">
        <v>2349</v>
      </c>
      <c r="C606" s="68" t="s">
        <v>2985</v>
      </c>
      <c r="D606" s="68" t="s">
        <v>2809</v>
      </c>
      <c r="E606" s="68" t="s">
        <v>3053</v>
      </c>
      <c r="F606" s="68" t="s">
        <v>3209</v>
      </c>
      <c r="G606" s="68" t="s">
        <v>3048</v>
      </c>
      <c r="H606" s="68" t="s">
        <v>3058</v>
      </c>
      <c r="I606" s="68" t="s">
        <v>3050</v>
      </c>
      <c r="J606" s="68" t="s">
        <v>3125</v>
      </c>
      <c r="K606" s="69" t="s">
        <v>3125</v>
      </c>
      <c r="L606" s="69" t="str">
        <f>VLOOKUP(LinkTable6789[[#This Row],[Coluna1]],[4]AlarmCatalog!$A:$M,11,FALSE)</f>
        <v>Severidade 8</v>
      </c>
    </row>
    <row r="607" spans="1:12" s="67" customFormat="1" ht="16.5" customHeight="1" x14ac:dyDescent="0.25">
      <c r="A607" s="68" t="s">
        <v>3861</v>
      </c>
      <c r="B607" s="68" t="s">
        <v>2349</v>
      </c>
      <c r="C607" s="68" t="s">
        <v>3862</v>
      </c>
      <c r="D607" s="68" t="s">
        <v>2990</v>
      </c>
      <c r="E607" s="68" t="s">
        <v>3053</v>
      </c>
      <c r="F607" s="68" t="s">
        <v>3209</v>
      </c>
      <c r="G607" s="68" t="s">
        <v>3048</v>
      </c>
      <c r="H607" s="68" t="s">
        <v>3058</v>
      </c>
      <c r="I607" s="68" t="s">
        <v>3050</v>
      </c>
      <c r="J607" s="68" t="s">
        <v>3125</v>
      </c>
      <c r="K607" s="69" t="s">
        <v>3125</v>
      </c>
      <c r="L607" s="69" t="str">
        <f>VLOOKUP(LinkTable6789[[#This Row],[Coluna1]],[4]AlarmCatalog!$A:$M,11,FALSE)</f>
        <v>Severidade 8</v>
      </c>
    </row>
    <row r="608" spans="1:12" s="67" customFormat="1" ht="16.5" customHeight="1" x14ac:dyDescent="0.25">
      <c r="A608" s="68" t="s">
        <v>3863</v>
      </c>
      <c r="B608" s="68" t="s">
        <v>2349</v>
      </c>
      <c r="C608" s="68" t="s">
        <v>3862</v>
      </c>
      <c r="D608" s="68" t="s">
        <v>2990</v>
      </c>
      <c r="E608" s="68" t="s">
        <v>3046</v>
      </c>
      <c r="F608" s="68" t="s">
        <v>3209</v>
      </c>
      <c r="G608" s="68" t="s">
        <v>3048</v>
      </c>
      <c r="H608" s="68" t="s">
        <v>3058</v>
      </c>
      <c r="I608" s="68" t="s">
        <v>3050</v>
      </c>
      <c r="J608" s="68" t="s">
        <v>3125</v>
      </c>
      <c r="K608" s="69" t="s">
        <v>3125</v>
      </c>
      <c r="L608" s="69" t="str">
        <f>VLOOKUP(LinkTable6789[[#This Row],[Coluna1]],[4]AlarmCatalog!$A:$M,11,FALSE)</f>
        <v>Severidade 8</v>
      </c>
    </row>
    <row r="609" spans="1:12" s="67" customFormat="1" ht="16.5" customHeight="1" x14ac:dyDescent="0.25">
      <c r="A609" s="68" t="s">
        <v>3864</v>
      </c>
      <c r="B609" s="68" t="s">
        <v>2349</v>
      </c>
      <c r="C609" s="68" t="s">
        <v>2986</v>
      </c>
      <c r="D609" s="68" t="s">
        <v>2990</v>
      </c>
      <c r="E609" s="68" t="s">
        <v>3046</v>
      </c>
      <c r="F609" s="68" t="s">
        <v>3047</v>
      </c>
      <c r="G609" s="68" t="s">
        <v>3057</v>
      </c>
      <c r="H609" s="68" t="s">
        <v>3058</v>
      </c>
      <c r="I609" s="68" t="s">
        <v>3050</v>
      </c>
      <c r="J609" s="68" t="s">
        <v>3160</v>
      </c>
      <c r="K609" s="69" t="s">
        <v>3160</v>
      </c>
      <c r="L609" s="69" t="str">
        <f>VLOOKUP(LinkTable6789[[#This Row],[Coluna1]],[4]AlarmCatalog!$A:$M,11,FALSE)</f>
        <v>Severidade 8</v>
      </c>
    </row>
    <row r="610" spans="1:12" s="67" customFormat="1" ht="16.5" customHeight="1" x14ac:dyDescent="0.25">
      <c r="A610" s="68" t="s">
        <v>3865</v>
      </c>
      <c r="B610" s="68" t="s">
        <v>2349</v>
      </c>
      <c r="C610" s="68" t="s">
        <v>3862</v>
      </c>
      <c r="D610" s="68" t="s">
        <v>2809</v>
      </c>
      <c r="E610" s="68" t="s">
        <v>3046</v>
      </c>
      <c r="F610" s="68" t="s">
        <v>3209</v>
      </c>
      <c r="G610" s="68" t="s">
        <v>3048</v>
      </c>
      <c r="H610" s="68" t="s">
        <v>3058</v>
      </c>
      <c r="I610" s="68" t="s">
        <v>3050</v>
      </c>
      <c r="J610" s="68" t="s">
        <v>3125</v>
      </c>
      <c r="K610" s="69" t="s">
        <v>3125</v>
      </c>
      <c r="L610" s="69" t="str">
        <f>VLOOKUP(LinkTable6789[[#This Row],[Coluna1]],[4]AlarmCatalog!$A:$M,11,FALSE)</f>
        <v>Severidade 8</v>
      </c>
    </row>
    <row r="611" spans="1:12" s="67" customFormat="1" ht="16.5" customHeight="1" x14ac:dyDescent="0.25">
      <c r="A611" s="68" t="s">
        <v>3866</v>
      </c>
      <c r="B611" s="68" t="s">
        <v>2349</v>
      </c>
      <c r="C611" s="68" t="s">
        <v>2982</v>
      </c>
      <c r="D611" s="68" t="s">
        <v>2809</v>
      </c>
      <c r="E611" s="68" t="s">
        <v>3053</v>
      </c>
      <c r="F611" s="68" t="s">
        <v>3047</v>
      </c>
      <c r="G611" s="68" t="s">
        <v>3048</v>
      </c>
      <c r="H611" s="68" t="s">
        <v>3058</v>
      </c>
      <c r="I611" s="68" t="s">
        <v>3050</v>
      </c>
      <c r="J611" s="68" t="s">
        <v>3101</v>
      </c>
      <c r="K611" s="69" t="s">
        <v>3101</v>
      </c>
      <c r="L611" s="69" t="str">
        <f>VLOOKUP(LinkTable6789[[#This Row],[Coluna1]],[4]AlarmCatalog!$A:$M,11,FALSE)</f>
        <v>Severidade 8</v>
      </c>
    </row>
    <row r="612" spans="1:12" s="67" customFormat="1" ht="16.5" customHeight="1" x14ac:dyDescent="0.25">
      <c r="A612" s="68" t="s">
        <v>3867</v>
      </c>
      <c r="B612" s="68" t="s">
        <v>2349</v>
      </c>
      <c r="C612" s="68" t="s">
        <v>2986</v>
      </c>
      <c r="D612" s="68" t="s">
        <v>2809</v>
      </c>
      <c r="E612" s="68" t="s">
        <v>3046</v>
      </c>
      <c r="F612" s="68" t="s">
        <v>3056</v>
      </c>
      <c r="G612" s="68" t="s">
        <v>3057</v>
      </c>
      <c r="H612" s="68" t="s">
        <v>3058</v>
      </c>
      <c r="I612" s="68" t="s">
        <v>3050</v>
      </c>
      <c r="J612" s="68" t="s">
        <v>3059</v>
      </c>
      <c r="K612" s="69" t="s">
        <v>3059</v>
      </c>
      <c r="L612" s="69" t="str">
        <f>VLOOKUP(LinkTable6789[[#This Row],[Coluna1]],[4]AlarmCatalog!$A:$M,11,FALSE)</f>
        <v>Severidade 2</v>
      </c>
    </row>
    <row r="613" spans="1:12" s="67" customFormat="1" ht="16.5" customHeight="1" x14ac:dyDescent="0.25">
      <c r="A613" s="68" t="s">
        <v>3868</v>
      </c>
      <c r="B613" s="68" t="s">
        <v>2349</v>
      </c>
      <c r="C613" s="68" t="s">
        <v>3862</v>
      </c>
      <c r="D613" s="68" t="s">
        <v>2809</v>
      </c>
      <c r="E613" s="68" t="s">
        <v>3053</v>
      </c>
      <c r="F613" s="68" t="s">
        <v>3209</v>
      </c>
      <c r="G613" s="68" t="s">
        <v>3048</v>
      </c>
      <c r="H613" s="68" t="s">
        <v>3058</v>
      </c>
      <c r="I613" s="68" t="s">
        <v>3050</v>
      </c>
      <c r="J613" s="68" t="s">
        <v>3125</v>
      </c>
      <c r="K613" s="69" t="s">
        <v>3125</v>
      </c>
      <c r="L613" s="69" t="str">
        <f>VLOOKUP(LinkTable6789[[#This Row],[Coluna1]],[4]AlarmCatalog!$A:$M,11,FALSE)</f>
        <v>Severidade 8</v>
      </c>
    </row>
    <row r="614" spans="1:12" s="67" customFormat="1" ht="16.5" customHeight="1" x14ac:dyDescent="0.25">
      <c r="A614" s="68" t="s">
        <v>3869</v>
      </c>
      <c r="B614" s="68" t="s">
        <v>2349</v>
      </c>
      <c r="C614" s="68" t="s">
        <v>3103</v>
      </c>
      <c r="D614" s="68" t="s">
        <v>2809</v>
      </c>
      <c r="E614" s="68" t="s">
        <v>3053</v>
      </c>
      <c r="F614" s="68" t="s">
        <v>3104</v>
      </c>
      <c r="G614" s="68" t="s">
        <v>3048</v>
      </c>
      <c r="H614" s="68" t="s">
        <v>3075</v>
      </c>
      <c r="I614" s="68" t="s">
        <v>3050</v>
      </c>
      <c r="J614" s="68" t="s">
        <v>3125</v>
      </c>
      <c r="K614" s="69" t="s">
        <v>3125</v>
      </c>
      <c r="L614" s="69" t="str">
        <f>VLOOKUP(LinkTable6789[[#This Row],[Coluna1]],[4]AlarmCatalog!$A:$M,11,FALSE)</f>
        <v>Severidade 8</v>
      </c>
    </row>
    <row r="615" spans="1:12" s="67" customFormat="1" ht="16.5" customHeight="1" x14ac:dyDescent="0.25">
      <c r="A615" s="68" t="s">
        <v>3870</v>
      </c>
      <c r="B615" s="68" t="s">
        <v>2349</v>
      </c>
      <c r="C615" s="68" t="s">
        <v>2982</v>
      </c>
      <c r="D615" s="68" t="s">
        <v>2809</v>
      </c>
      <c r="E615" s="68" t="s">
        <v>3053</v>
      </c>
      <c r="F615" s="68" t="s">
        <v>3047</v>
      </c>
      <c r="G615" s="68" t="s">
        <v>3048</v>
      </c>
      <c r="H615" s="68" t="s">
        <v>3058</v>
      </c>
      <c r="I615" s="68" t="s">
        <v>3050</v>
      </c>
      <c r="J615" s="68" t="s">
        <v>3439</v>
      </c>
      <c r="K615" s="69" t="s">
        <v>3439</v>
      </c>
      <c r="L615" s="69" t="str">
        <f>VLOOKUP(LinkTable6789[[#This Row],[Coluna1]],[4]AlarmCatalog!$A:$M,11,FALSE)</f>
        <v>Severidade 4</v>
      </c>
    </row>
    <row r="616" spans="1:12" s="67" customFormat="1" ht="16.5" customHeight="1" x14ac:dyDescent="0.25">
      <c r="A616" s="68" t="s">
        <v>3871</v>
      </c>
      <c r="B616" s="68" t="s">
        <v>2349</v>
      </c>
      <c r="C616" s="68" t="s">
        <v>3858</v>
      </c>
      <c r="D616" s="68" t="s">
        <v>2809</v>
      </c>
      <c r="E616" s="68" t="s">
        <v>3053</v>
      </c>
      <c r="F616" s="68" t="s">
        <v>3047</v>
      </c>
      <c r="G616" s="68" t="s">
        <v>3048</v>
      </c>
      <c r="H616" s="68" t="s">
        <v>3058</v>
      </c>
      <c r="I616" s="68" t="s">
        <v>3050</v>
      </c>
      <c r="J616" s="68" t="s">
        <v>3297</v>
      </c>
      <c r="K616" s="69" t="s">
        <v>3297</v>
      </c>
      <c r="L616" s="69" t="str">
        <f>VLOOKUP(LinkTable6789[[#This Row],[Coluna1]],[4]AlarmCatalog!$A:$M,11,FALSE)</f>
        <v>Severidade 4</v>
      </c>
    </row>
    <row r="617" spans="1:12" s="67" customFormat="1" ht="16.5" customHeight="1" x14ac:dyDescent="0.25">
      <c r="A617" s="68" t="s">
        <v>3872</v>
      </c>
      <c r="B617" s="68" t="s">
        <v>2349</v>
      </c>
      <c r="C617" s="68" t="s">
        <v>2986</v>
      </c>
      <c r="D617" s="68" t="s">
        <v>2809</v>
      </c>
      <c r="E617" s="68" t="s">
        <v>3046</v>
      </c>
      <c r="F617" s="68" t="s">
        <v>3056</v>
      </c>
      <c r="G617" s="68" t="s">
        <v>3057</v>
      </c>
      <c r="H617" s="68" t="s">
        <v>3058</v>
      </c>
      <c r="I617" s="68" t="s">
        <v>3050</v>
      </c>
      <c r="J617" s="68" t="s">
        <v>3125</v>
      </c>
      <c r="K617" s="69" t="s">
        <v>3125</v>
      </c>
      <c r="L617" s="69" t="str">
        <f>VLOOKUP(LinkTable6789[[#This Row],[Coluna1]],[4]AlarmCatalog!$A:$M,11,FALSE)</f>
        <v>Severidade 8</v>
      </c>
    </row>
    <row r="618" spans="1:12" s="67" customFormat="1" ht="16.5" customHeight="1" x14ac:dyDescent="0.25">
      <c r="A618" s="68" t="s">
        <v>3873</v>
      </c>
      <c r="B618" s="68" t="s">
        <v>2349</v>
      </c>
      <c r="C618" s="68" t="s">
        <v>2986</v>
      </c>
      <c r="D618" s="68" t="s">
        <v>2809</v>
      </c>
      <c r="E618" s="68" t="s">
        <v>3046</v>
      </c>
      <c r="F618" s="68" t="s">
        <v>3047</v>
      </c>
      <c r="G618" s="68" t="s">
        <v>3057</v>
      </c>
      <c r="H618" s="68" t="s">
        <v>3058</v>
      </c>
      <c r="I618" s="68" t="s">
        <v>3050</v>
      </c>
      <c r="J618" s="68" t="s">
        <v>3160</v>
      </c>
      <c r="K618" s="69" t="s">
        <v>3160</v>
      </c>
      <c r="L618" s="69" t="str">
        <f>VLOOKUP(LinkTable6789[[#This Row],[Coluna1]],[4]AlarmCatalog!$A:$M,11,FALSE)</f>
        <v>Severidade 8</v>
      </c>
    </row>
    <row r="619" spans="1:12" s="67" customFormat="1" ht="16.5" customHeight="1" x14ac:dyDescent="0.25">
      <c r="A619" s="68" t="s">
        <v>1218</v>
      </c>
      <c r="B619" s="68" t="s">
        <v>2349</v>
      </c>
      <c r="C619" s="68" t="s">
        <v>3366</v>
      </c>
      <c r="D619" s="68" t="s">
        <v>2809</v>
      </c>
      <c r="E619" s="68" t="s">
        <v>3053</v>
      </c>
      <c r="F619" s="68" t="s">
        <v>3047</v>
      </c>
      <c r="G619" s="68" t="s">
        <v>3048</v>
      </c>
      <c r="H619" s="68" t="s">
        <v>3058</v>
      </c>
      <c r="I619" s="68" t="s">
        <v>3050</v>
      </c>
      <c r="J619" s="68" t="s">
        <v>3160</v>
      </c>
      <c r="K619" s="69" t="s">
        <v>3160</v>
      </c>
      <c r="L619" s="69" t="str">
        <f>VLOOKUP(LinkTable6789[[#This Row],[Coluna1]],[4]AlarmCatalog!$A:$M,11,FALSE)</f>
        <v>Severidade 8</v>
      </c>
    </row>
    <row r="620" spans="1:12" s="67" customFormat="1" ht="16.5" customHeight="1" x14ac:dyDescent="0.25">
      <c r="A620" s="68" t="s">
        <v>3874</v>
      </c>
      <c r="B620" s="68" t="s">
        <v>2349</v>
      </c>
      <c r="C620" s="68" t="s">
        <v>2986</v>
      </c>
      <c r="D620" s="68" t="s">
        <v>2809</v>
      </c>
      <c r="E620" s="68" t="s">
        <v>3053</v>
      </c>
      <c r="F620" s="68" t="s">
        <v>3056</v>
      </c>
      <c r="G620" s="68" t="s">
        <v>3057</v>
      </c>
      <c r="H620" s="68" t="s">
        <v>3159</v>
      </c>
      <c r="I620" s="68" t="s">
        <v>3050</v>
      </c>
      <c r="J620" s="68" t="s">
        <v>3059</v>
      </c>
      <c r="K620" s="69" t="s">
        <v>3059</v>
      </c>
      <c r="L620" s="69" t="str">
        <f>VLOOKUP(LinkTable6789[[#This Row],[Coluna1]],[4]AlarmCatalog!$A:$M,11,FALSE)</f>
        <v>Severidade 2</v>
      </c>
    </row>
    <row r="621" spans="1:12" s="67" customFormat="1" ht="16.5" customHeight="1" x14ac:dyDescent="0.25">
      <c r="A621" s="68" t="s">
        <v>452</v>
      </c>
      <c r="B621" s="68" t="s">
        <v>2349</v>
      </c>
      <c r="C621" s="68" t="s">
        <v>2985</v>
      </c>
      <c r="D621" s="68" t="s">
        <v>2809</v>
      </c>
      <c r="E621" s="68" t="s">
        <v>3053</v>
      </c>
      <c r="F621" s="68" t="s">
        <v>3047</v>
      </c>
      <c r="G621" s="68" t="s">
        <v>3048</v>
      </c>
      <c r="H621" s="68" t="s">
        <v>3058</v>
      </c>
      <c r="I621" s="68" t="s">
        <v>3050</v>
      </c>
      <c r="J621" s="68" t="s">
        <v>3160</v>
      </c>
      <c r="K621" s="69" t="s">
        <v>3160</v>
      </c>
      <c r="L621" s="69" t="str">
        <f>VLOOKUP(LinkTable6789[[#This Row],[Coluna1]],[4]AlarmCatalog!$A:$M,11,FALSE)</f>
        <v>Severidade 8</v>
      </c>
    </row>
    <row r="622" spans="1:12" s="67" customFormat="1" ht="16.5" customHeight="1" x14ac:dyDescent="0.25">
      <c r="A622" s="68" t="s">
        <v>3875</v>
      </c>
      <c r="B622" s="68" t="s">
        <v>2349</v>
      </c>
      <c r="C622" s="68" t="s">
        <v>3396</v>
      </c>
      <c r="D622" s="68" t="s">
        <v>2809</v>
      </c>
      <c r="E622" s="68" t="s">
        <v>3053</v>
      </c>
      <c r="F622" s="68" t="s">
        <v>3047</v>
      </c>
      <c r="G622" s="68" t="s">
        <v>3048</v>
      </c>
      <c r="H622" s="68" t="s">
        <v>3058</v>
      </c>
      <c r="I622" s="68" t="s">
        <v>3050</v>
      </c>
      <c r="J622" s="68" t="s">
        <v>3160</v>
      </c>
      <c r="K622" s="69" t="s">
        <v>3160</v>
      </c>
      <c r="L622" s="69" t="str">
        <f>VLOOKUP(LinkTable6789[[#This Row],[Coluna1]],[4]AlarmCatalog!$A:$M,11,FALSE)</f>
        <v>Severidade 8</v>
      </c>
    </row>
    <row r="623" spans="1:12" s="67" customFormat="1" ht="16.5" customHeight="1" x14ac:dyDescent="0.25">
      <c r="A623" s="68" t="s">
        <v>3876</v>
      </c>
      <c r="B623" s="68" t="s">
        <v>2349</v>
      </c>
      <c r="C623" s="68" t="s">
        <v>3496</v>
      </c>
      <c r="D623" s="68" t="s">
        <v>2990</v>
      </c>
      <c r="E623" s="68" t="s">
        <v>3053</v>
      </c>
      <c r="F623" s="68" t="s">
        <v>3056</v>
      </c>
      <c r="G623" s="68" t="s">
        <v>3057</v>
      </c>
      <c r="H623" s="68" t="s">
        <v>3058</v>
      </c>
      <c r="I623" s="68" t="s">
        <v>3050</v>
      </c>
      <c r="J623" s="68" t="s">
        <v>3125</v>
      </c>
      <c r="K623" s="69" t="s">
        <v>3059</v>
      </c>
      <c r="L623" s="69" t="str">
        <f>VLOOKUP(LinkTable6789[[#This Row],[Coluna1]],[4]AlarmCatalog!$A:$M,11,FALSE)</f>
        <v>Severidade 2</v>
      </c>
    </row>
    <row r="624" spans="1:12" s="67" customFormat="1" ht="16.5" customHeight="1" x14ac:dyDescent="0.25">
      <c r="A624" s="68" t="s">
        <v>3877</v>
      </c>
      <c r="B624" s="68" t="s">
        <v>2349</v>
      </c>
      <c r="C624" s="68" t="s">
        <v>3351</v>
      </c>
      <c r="D624" s="68" t="s">
        <v>2809</v>
      </c>
      <c r="E624" s="68" t="s">
        <v>3053</v>
      </c>
      <c r="F624" s="68" t="s">
        <v>3047</v>
      </c>
      <c r="G624" s="68" t="s">
        <v>3048</v>
      </c>
      <c r="H624" s="68" t="s">
        <v>3058</v>
      </c>
      <c r="I624" s="68" t="s">
        <v>3050</v>
      </c>
      <c r="J624" s="68" t="s">
        <v>3160</v>
      </c>
      <c r="K624" s="69" t="s">
        <v>3160</v>
      </c>
      <c r="L624" s="69" t="str">
        <f>VLOOKUP(LinkTable6789[[#This Row],[Coluna1]],[4]AlarmCatalog!$A:$M,11,FALSE)</f>
        <v>Severidade 8</v>
      </c>
    </row>
    <row r="625" spans="1:12" s="67" customFormat="1" ht="16.5" customHeight="1" x14ac:dyDescent="0.25">
      <c r="A625" s="68" t="s">
        <v>3878</v>
      </c>
      <c r="B625" s="68" t="s">
        <v>2349</v>
      </c>
      <c r="C625" s="68" t="s">
        <v>3349</v>
      </c>
      <c r="D625" s="68" t="s">
        <v>2809</v>
      </c>
      <c r="E625" s="68" t="s">
        <v>3053</v>
      </c>
      <c r="F625" s="68" t="s">
        <v>3047</v>
      </c>
      <c r="G625" s="68" t="s">
        <v>3048</v>
      </c>
      <c r="H625" s="68" t="s">
        <v>3058</v>
      </c>
      <c r="I625" s="68" t="s">
        <v>3050</v>
      </c>
      <c r="J625" s="68" t="s">
        <v>3160</v>
      </c>
      <c r="K625" s="69" t="s">
        <v>3160</v>
      </c>
      <c r="L625" s="69" t="str">
        <f>VLOOKUP(LinkTable6789[[#This Row],[Coluna1]],[4]AlarmCatalog!$A:$M,11,FALSE)</f>
        <v>Severidade 8</v>
      </c>
    </row>
    <row r="626" spans="1:12" s="67" customFormat="1" ht="16.5" customHeight="1" x14ac:dyDescent="0.25">
      <c r="A626" s="68" t="s">
        <v>1211</v>
      </c>
      <c r="B626" s="68" t="s">
        <v>2349</v>
      </c>
      <c r="C626" s="68" t="s">
        <v>2808</v>
      </c>
      <c r="D626" s="68" t="s">
        <v>2809</v>
      </c>
      <c r="E626" s="68" t="s">
        <v>3053</v>
      </c>
      <c r="F626" s="68" t="s">
        <v>3047</v>
      </c>
      <c r="G626" s="68" t="s">
        <v>3048</v>
      </c>
      <c r="H626" s="68" t="s">
        <v>3058</v>
      </c>
      <c r="I626" s="68" t="s">
        <v>3050</v>
      </c>
      <c r="J626" s="68" t="s">
        <v>3160</v>
      </c>
      <c r="K626" s="69" t="s">
        <v>3160</v>
      </c>
      <c r="L626" s="69" t="str">
        <f>VLOOKUP(LinkTable6789[[#This Row],[Coluna1]],[4]AlarmCatalog!$A:$M,11,FALSE)</f>
        <v>Severidade 8</v>
      </c>
    </row>
    <row r="627" spans="1:12" s="67" customFormat="1" ht="16.5" customHeight="1" x14ac:dyDescent="0.25">
      <c r="A627" s="68" t="s">
        <v>1187</v>
      </c>
      <c r="B627" s="68" t="s">
        <v>2349</v>
      </c>
      <c r="C627" s="68" t="s">
        <v>3858</v>
      </c>
      <c r="D627" s="68" t="s">
        <v>2809</v>
      </c>
      <c r="E627" s="68" t="s">
        <v>3053</v>
      </c>
      <c r="F627" s="68" t="s">
        <v>3047</v>
      </c>
      <c r="G627" s="68" t="s">
        <v>3048</v>
      </c>
      <c r="H627" s="68" t="s">
        <v>3058</v>
      </c>
      <c r="I627" s="68" t="s">
        <v>3050</v>
      </c>
      <c r="J627" s="68" t="s">
        <v>3160</v>
      </c>
      <c r="K627" s="69" t="s">
        <v>3160</v>
      </c>
      <c r="L627" s="69" t="str">
        <f>VLOOKUP(LinkTable6789[[#This Row],[Coluna1]],[4]AlarmCatalog!$A:$M,11,FALSE)</f>
        <v>Severidade 8</v>
      </c>
    </row>
    <row r="628" spans="1:12" s="67" customFormat="1" ht="16.5" customHeight="1" x14ac:dyDescent="0.25">
      <c r="A628" s="68" t="s">
        <v>3879</v>
      </c>
      <c r="B628" s="68" t="s">
        <v>2349</v>
      </c>
      <c r="C628" s="68" t="s">
        <v>2986</v>
      </c>
      <c r="D628" s="68" t="s">
        <v>2809</v>
      </c>
      <c r="E628" s="68" t="s">
        <v>3053</v>
      </c>
      <c r="F628" s="68" t="s">
        <v>3056</v>
      </c>
      <c r="G628" s="68" t="s">
        <v>3057</v>
      </c>
      <c r="H628" s="68" t="s">
        <v>3058</v>
      </c>
      <c r="I628" s="68" t="s">
        <v>3050</v>
      </c>
      <c r="J628" s="68" t="s">
        <v>3061</v>
      </c>
      <c r="K628" s="69" t="s">
        <v>3061</v>
      </c>
      <c r="L628" s="69" t="str">
        <f>VLOOKUP(LinkTable6789[[#This Row],[Coluna1]],[4]AlarmCatalog!$A:$M,11,FALSE)</f>
        <v>Severidade 8</v>
      </c>
    </row>
    <row r="629" spans="1:12" s="67" customFormat="1" ht="16.5" customHeight="1" x14ac:dyDescent="0.25">
      <c r="A629" s="68" t="s">
        <v>3880</v>
      </c>
      <c r="B629" s="68" t="s">
        <v>2349</v>
      </c>
      <c r="C629" s="68" t="s">
        <v>2986</v>
      </c>
      <c r="D629" s="68" t="s">
        <v>2809</v>
      </c>
      <c r="E629" s="68" t="s">
        <v>3053</v>
      </c>
      <c r="F629" s="68" t="s">
        <v>3056</v>
      </c>
      <c r="G629" s="68" t="s">
        <v>3057</v>
      </c>
      <c r="H629" s="68" t="s">
        <v>3058</v>
      </c>
      <c r="I629" s="68" t="s">
        <v>3050</v>
      </c>
      <c r="J629" s="68" t="s">
        <v>3433</v>
      </c>
      <c r="K629" s="69" t="s">
        <v>3433</v>
      </c>
      <c r="L629" s="69" t="str">
        <f>VLOOKUP(LinkTable6789[[#This Row],[Coluna1]],[4]AlarmCatalog!$A:$M,11,FALSE)</f>
        <v>Severidade 4</v>
      </c>
    </row>
    <row r="630" spans="1:12" s="67" customFormat="1" ht="16.5" customHeight="1" x14ac:dyDescent="0.25">
      <c r="A630" s="71" t="s">
        <v>113</v>
      </c>
      <c r="B630" s="71" t="s">
        <v>2349</v>
      </c>
      <c r="C630" s="71" t="s">
        <v>2986</v>
      </c>
      <c r="D630" s="71" t="s">
        <v>2809</v>
      </c>
      <c r="E630" s="71" t="s">
        <v>3053</v>
      </c>
      <c r="F630" s="68" t="s">
        <v>3056</v>
      </c>
      <c r="G630" s="68" t="s">
        <v>3057</v>
      </c>
      <c r="H630" s="68" t="s">
        <v>3058</v>
      </c>
      <c r="I630" s="68" t="s">
        <v>3050</v>
      </c>
      <c r="J630" s="68" t="s">
        <v>3125</v>
      </c>
      <c r="K630" s="69" t="s">
        <v>3125</v>
      </c>
      <c r="L630" s="69" t="str">
        <f>VLOOKUP(LinkTable6789[[#This Row],[Coluna1]],[4]AlarmCatalog!$A:$M,11,FALSE)</f>
        <v>Severidade 8</v>
      </c>
    </row>
    <row r="631" spans="1:12" s="67" customFormat="1" ht="16.5" customHeight="1" x14ac:dyDescent="0.25">
      <c r="A631" s="68" t="s">
        <v>3881</v>
      </c>
      <c r="B631" s="68" t="s">
        <v>2349</v>
      </c>
      <c r="C631" s="68" t="s">
        <v>2986</v>
      </c>
      <c r="D631" s="68" t="s">
        <v>2809</v>
      </c>
      <c r="E631" s="68" t="s">
        <v>3053</v>
      </c>
      <c r="F631" s="68" t="s">
        <v>3047</v>
      </c>
      <c r="G631" s="68" t="s">
        <v>3057</v>
      </c>
      <c r="H631" s="68" t="s">
        <v>3058</v>
      </c>
      <c r="I631" s="68" t="s">
        <v>3050</v>
      </c>
      <c r="J631" s="68" t="s">
        <v>3439</v>
      </c>
      <c r="K631" s="69" t="s">
        <v>3439</v>
      </c>
      <c r="L631" s="69" t="str">
        <f>VLOOKUP(LinkTable6789[[#This Row],[Coluna1]],[4]AlarmCatalog!$A:$M,11,FALSE)</f>
        <v>Severidade 4</v>
      </c>
    </row>
    <row r="632" spans="1:12" s="67" customFormat="1" ht="16.5" customHeight="1" x14ac:dyDescent="0.25">
      <c r="A632" s="68" t="s">
        <v>3882</v>
      </c>
      <c r="B632" s="68" t="s">
        <v>2349</v>
      </c>
      <c r="C632" s="68" t="s">
        <v>2986</v>
      </c>
      <c r="D632" s="68" t="s">
        <v>2809</v>
      </c>
      <c r="E632" s="68" t="s">
        <v>3053</v>
      </c>
      <c r="F632" s="68" t="s">
        <v>3047</v>
      </c>
      <c r="G632" s="68" t="s">
        <v>3057</v>
      </c>
      <c r="H632" s="68" t="s">
        <v>3058</v>
      </c>
      <c r="I632" s="68" t="s">
        <v>3050</v>
      </c>
      <c r="J632" s="68" t="s">
        <v>3741</v>
      </c>
      <c r="K632" s="69" t="s">
        <v>3741</v>
      </c>
      <c r="L632" s="69" t="str">
        <f>VLOOKUP(LinkTable6789[[#This Row],[Coluna1]],[4]AlarmCatalog!$A:$M,11,FALSE)</f>
        <v>Severidade 7</v>
      </c>
    </row>
    <row r="633" spans="1:12" s="67" customFormat="1" ht="16.5" customHeight="1" x14ac:dyDescent="0.25">
      <c r="A633" s="68" t="s">
        <v>3883</v>
      </c>
      <c r="B633" s="68" t="s">
        <v>2349</v>
      </c>
      <c r="C633" s="68" t="s">
        <v>3884</v>
      </c>
      <c r="D633" s="68" t="s">
        <v>2809</v>
      </c>
      <c r="E633" s="68" t="s">
        <v>3053</v>
      </c>
      <c r="F633" s="68" t="s">
        <v>3047</v>
      </c>
      <c r="G633" s="68" t="s">
        <v>3048</v>
      </c>
      <c r="H633" s="68" t="s">
        <v>3058</v>
      </c>
      <c r="I633" s="68" t="s">
        <v>3050</v>
      </c>
      <c r="J633" s="68" t="s">
        <v>3297</v>
      </c>
      <c r="K633" s="69" t="s">
        <v>3297</v>
      </c>
      <c r="L633" s="69" t="str">
        <f>VLOOKUP(LinkTable6789[[#This Row],[Coluna1]],[4]AlarmCatalog!$A:$M,11,FALSE)</f>
        <v>Severidade 4</v>
      </c>
    </row>
    <row r="634" spans="1:12" s="67" customFormat="1" ht="16.5" customHeight="1" x14ac:dyDescent="0.25">
      <c r="A634" s="68" t="s">
        <v>3885</v>
      </c>
      <c r="B634" s="68" t="s">
        <v>2349</v>
      </c>
      <c r="C634" s="68" t="s">
        <v>3886</v>
      </c>
      <c r="D634" s="68" t="s">
        <v>2809</v>
      </c>
      <c r="E634" s="68" t="s">
        <v>3053</v>
      </c>
      <c r="F634" s="68" t="s">
        <v>3887</v>
      </c>
      <c r="G634" s="68" t="s">
        <v>3888</v>
      </c>
      <c r="H634" s="68" t="s">
        <v>3889</v>
      </c>
      <c r="I634" s="68" t="s">
        <v>3116</v>
      </c>
      <c r="J634" s="68" t="s">
        <v>3160</v>
      </c>
      <c r="K634" s="69" t="s">
        <v>3160</v>
      </c>
      <c r="L634" s="69" t="str">
        <f>VLOOKUP(LinkTable6789[[#This Row],[Coluna1]],[4]AlarmCatalog!$A:$M,11,FALSE)</f>
        <v>Severidade 8</v>
      </c>
    </row>
    <row r="635" spans="1:12" s="67" customFormat="1" ht="16.5" customHeight="1" x14ac:dyDescent="0.25">
      <c r="A635" s="68" t="s">
        <v>1186</v>
      </c>
      <c r="B635" s="68" t="s">
        <v>2349</v>
      </c>
      <c r="C635" s="68" t="s">
        <v>3374</v>
      </c>
      <c r="D635" s="68" t="s">
        <v>2809</v>
      </c>
      <c r="E635" s="68" t="s">
        <v>3053</v>
      </c>
      <c r="F635" s="68" t="s">
        <v>3047</v>
      </c>
      <c r="G635" s="68" t="s">
        <v>3048</v>
      </c>
      <c r="H635" s="68" t="s">
        <v>3058</v>
      </c>
      <c r="I635" s="68" t="s">
        <v>3050</v>
      </c>
      <c r="J635" s="68" t="s">
        <v>3160</v>
      </c>
      <c r="K635" s="69" t="s">
        <v>3160</v>
      </c>
      <c r="L635" s="69" t="str">
        <f>VLOOKUP(LinkTable6789[[#This Row],[Coluna1]],[4]AlarmCatalog!$A:$M,11,FALSE)</f>
        <v>Severidade 8</v>
      </c>
    </row>
    <row r="636" spans="1:12" s="67" customFormat="1" ht="16.5" customHeight="1" x14ac:dyDescent="0.25">
      <c r="A636" s="68" t="s">
        <v>3890</v>
      </c>
      <c r="B636" s="68" t="s">
        <v>2349</v>
      </c>
      <c r="C636" s="68" t="s">
        <v>3351</v>
      </c>
      <c r="D636" s="68" t="s">
        <v>2809</v>
      </c>
      <c r="E636" s="68" t="s">
        <v>3046</v>
      </c>
      <c r="F636" s="68" t="s">
        <v>3047</v>
      </c>
      <c r="G636" s="68" t="s">
        <v>3048</v>
      </c>
      <c r="H636" s="68" t="s">
        <v>3058</v>
      </c>
      <c r="I636" s="68" t="s">
        <v>3050</v>
      </c>
      <c r="J636" s="68" t="s">
        <v>3160</v>
      </c>
      <c r="K636" s="69" t="s">
        <v>3160</v>
      </c>
      <c r="L636" s="69" t="str">
        <f>VLOOKUP(LinkTable6789[[#This Row],[Coluna1]],[4]AlarmCatalog!$A:$M,11,FALSE)</f>
        <v>Severidade 8</v>
      </c>
    </row>
    <row r="637" spans="1:12" s="67" customFormat="1" ht="16.5" customHeight="1" x14ac:dyDescent="0.25">
      <c r="A637" s="68" t="s">
        <v>3891</v>
      </c>
      <c r="B637" s="68" t="s">
        <v>2349</v>
      </c>
      <c r="C637" s="68" t="s">
        <v>3326</v>
      </c>
      <c r="D637" s="68" t="s">
        <v>2809</v>
      </c>
      <c r="E637" s="68" t="s">
        <v>2990</v>
      </c>
      <c r="F637" s="68" t="s">
        <v>3173</v>
      </c>
      <c r="G637" s="68" t="s">
        <v>3048</v>
      </c>
      <c r="H637" s="68" t="s">
        <v>3075</v>
      </c>
      <c r="I637" s="68" t="s">
        <v>3050</v>
      </c>
      <c r="J637" s="68" t="s">
        <v>3125</v>
      </c>
      <c r="K637" s="69" t="s">
        <v>3125</v>
      </c>
      <c r="L637" s="69" t="str">
        <f>VLOOKUP(LinkTable6789[[#This Row],[Coluna1]],[4]AlarmCatalog!$A:$M,11,FALSE)</f>
        <v>Severidade 8</v>
      </c>
    </row>
    <row r="638" spans="1:12" s="67" customFormat="1" ht="16.5" customHeight="1" x14ac:dyDescent="0.25">
      <c r="A638" s="68" t="s">
        <v>1203</v>
      </c>
      <c r="B638" s="68" t="s">
        <v>2349</v>
      </c>
      <c r="C638" s="68" t="s">
        <v>2986</v>
      </c>
      <c r="D638" s="68" t="s">
        <v>2809</v>
      </c>
      <c r="E638" s="68" t="s">
        <v>3053</v>
      </c>
      <c r="F638" s="68" t="s">
        <v>3047</v>
      </c>
      <c r="G638" s="68" t="s">
        <v>3057</v>
      </c>
      <c r="H638" s="68" t="s">
        <v>3058</v>
      </c>
      <c r="I638" s="68" t="s">
        <v>3050</v>
      </c>
      <c r="J638" s="68" t="s">
        <v>3160</v>
      </c>
      <c r="K638" s="69" t="s">
        <v>3160</v>
      </c>
      <c r="L638" s="69" t="str">
        <f>VLOOKUP(LinkTable6789[[#This Row],[Coluna1]],[4]AlarmCatalog!$A:$M,11,FALSE)</f>
        <v>Severidade 8</v>
      </c>
    </row>
    <row r="639" spans="1:12" s="67" customFormat="1" ht="16.5" customHeight="1" x14ac:dyDescent="0.25">
      <c r="A639" s="68" t="s">
        <v>3892</v>
      </c>
      <c r="B639" s="68" t="s">
        <v>2349</v>
      </c>
      <c r="C639" s="68" t="s">
        <v>2985</v>
      </c>
      <c r="D639" s="68" t="s">
        <v>2809</v>
      </c>
      <c r="E639" s="68" t="s">
        <v>3053</v>
      </c>
      <c r="F639" s="68" t="s">
        <v>3893</v>
      </c>
      <c r="G639" s="68" t="s">
        <v>3048</v>
      </c>
      <c r="H639" s="68" t="s">
        <v>3058</v>
      </c>
      <c r="I639" s="68" t="s">
        <v>3050</v>
      </c>
      <c r="J639" s="68" t="s">
        <v>3160</v>
      </c>
      <c r="K639" s="69" t="s">
        <v>3160</v>
      </c>
      <c r="L639" s="69" t="str">
        <f>VLOOKUP(LinkTable6789[[#This Row],[Coluna1]],[4]AlarmCatalog!$A:$M,11,FALSE)</f>
        <v>Severidade 8</v>
      </c>
    </row>
    <row r="640" spans="1:12" s="67" customFormat="1" ht="16.5" customHeight="1" x14ac:dyDescent="0.25">
      <c r="A640" s="68" t="s">
        <v>1209</v>
      </c>
      <c r="B640" s="68" t="s">
        <v>2349</v>
      </c>
      <c r="C640" s="68" t="s">
        <v>3894</v>
      </c>
      <c r="D640" s="68" t="s">
        <v>2809</v>
      </c>
      <c r="E640" s="68" t="s">
        <v>3053</v>
      </c>
      <c r="F640" s="68" t="s">
        <v>3895</v>
      </c>
      <c r="G640" s="68" t="s">
        <v>3048</v>
      </c>
      <c r="H640" s="68" t="s">
        <v>3058</v>
      </c>
      <c r="I640" s="68" t="s">
        <v>3050</v>
      </c>
      <c r="J640" s="68" t="s">
        <v>3125</v>
      </c>
      <c r="K640" s="69" t="s">
        <v>3125</v>
      </c>
      <c r="L640" s="69" t="str">
        <f>VLOOKUP(LinkTable6789[[#This Row],[Coluna1]],[4]AlarmCatalog!$A:$M,11,FALSE)</f>
        <v>Severidade 8</v>
      </c>
    </row>
    <row r="641" spans="1:12" s="67" customFormat="1" ht="16.5" customHeight="1" x14ac:dyDescent="0.25">
      <c r="A641" s="68" t="s">
        <v>3896</v>
      </c>
      <c r="B641" s="68" t="s">
        <v>2349</v>
      </c>
      <c r="C641" s="68" t="s">
        <v>2986</v>
      </c>
      <c r="D641" s="68" t="s">
        <v>2990</v>
      </c>
      <c r="E641" s="68" t="s">
        <v>3053</v>
      </c>
      <c r="F641" s="68" t="s">
        <v>3056</v>
      </c>
      <c r="G641" s="68" t="s">
        <v>3057</v>
      </c>
      <c r="H641" s="68" t="s">
        <v>3077</v>
      </c>
      <c r="I641" s="68" t="s">
        <v>3050</v>
      </c>
      <c r="J641" s="68" t="s">
        <v>3125</v>
      </c>
      <c r="K641" s="69" t="s">
        <v>3125</v>
      </c>
      <c r="L641" s="69" t="str">
        <f>VLOOKUP(LinkTable6789[[#This Row],[Coluna1]],[4]AlarmCatalog!$A:$M,11,FALSE)</f>
        <v>Severidade 8</v>
      </c>
    </row>
    <row r="642" spans="1:12" s="67" customFormat="1" ht="16.5" customHeight="1" x14ac:dyDescent="0.25">
      <c r="A642" s="68" t="s">
        <v>3897</v>
      </c>
      <c r="B642" s="68" t="s">
        <v>2349</v>
      </c>
      <c r="C642" s="68" t="s">
        <v>3898</v>
      </c>
      <c r="D642" s="68" t="s">
        <v>3053</v>
      </c>
      <c r="E642" s="68" t="s">
        <v>2990</v>
      </c>
      <c r="F642" s="68" t="s">
        <v>3898</v>
      </c>
      <c r="G642" s="68" t="s">
        <v>3190</v>
      </c>
      <c r="H642" s="68" t="s">
        <v>3123</v>
      </c>
      <c r="I642" s="68" t="s">
        <v>3124</v>
      </c>
      <c r="J642" s="68" t="s">
        <v>3061</v>
      </c>
      <c r="K642" s="69" t="s">
        <v>3061</v>
      </c>
      <c r="L642" s="69" t="str">
        <f>VLOOKUP(LinkTable6789[[#This Row],[Coluna1]],[4]AlarmCatalog!$A:$M,11,FALSE)</f>
        <v>Severidade 8</v>
      </c>
    </row>
    <row r="643" spans="1:12" s="67" customFormat="1" ht="16.5" customHeight="1" x14ac:dyDescent="0.25">
      <c r="A643" s="68" t="s">
        <v>3899</v>
      </c>
      <c r="B643" s="68" t="s">
        <v>2349</v>
      </c>
      <c r="C643" s="68" t="s">
        <v>3103</v>
      </c>
      <c r="D643" s="68" t="s">
        <v>2809</v>
      </c>
      <c r="E643" s="68" t="s">
        <v>3053</v>
      </c>
      <c r="F643" s="68" t="s">
        <v>3104</v>
      </c>
      <c r="G643" s="68" t="s">
        <v>3048</v>
      </c>
      <c r="H643" s="68" t="s">
        <v>3075</v>
      </c>
      <c r="I643" s="68" t="s">
        <v>3050</v>
      </c>
      <c r="J643" s="68" t="s">
        <v>3061</v>
      </c>
      <c r="K643" s="69" t="s">
        <v>3061</v>
      </c>
      <c r="L643" s="69" t="str">
        <f>VLOOKUP(LinkTable6789[[#This Row],[Coluna1]],[4]AlarmCatalog!$A:$M,11,FALSE)</f>
        <v>Severidade 8</v>
      </c>
    </row>
    <row r="644" spans="1:12" s="67" customFormat="1" ht="16.5" customHeight="1" x14ac:dyDescent="0.25">
      <c r="A644" s="68" t="s">
        <v>3900</v>
      </c>
      <c r="B644" s="68" t="s">
        <v>2349</v>
      </c>
      <c r="C644" s="68" t="s">
        <v>3901</v>
      </c>
      <c r="D644" s="68" t="s">
        <v>2990</v>
      </c>
      <c r="E644" s="68" t="s">
        <v>3053</v>
      </c>
      <c r="F644" s="68" t="s">
        <v>3902</v>
      </c>
      <c r="G644" s="68" t="s">
        <v>3048</v>
      </c>
      <c r="H644" s="68" t="s">
        <v>3075</v>
      </c>
      <c r="I644" s="68" t="s">
        <v>3050</v>
      </c>
      <c r="J644" s="68" t="s">
        <v>3061</v>
      </c>
      <c r="K644" s="69" t="s">
        <v>3061</v>
      </c>
      <c r="L644" s="69" t="str">
        <f>VLOOKUP(LinkTable6789[[#This Row],[Coluna1]],[4]AlarmCatalog!$A:$M,11,FALSE)</f>
        <v>Severidade 8</v>
      </c>
    </row>
    <row r="645" spans="1:12" s="67" customFormat="1" ht="16.5" customHeight="1" x14ac:dyDescent="0.25">
      <c r="A645" s="68" t="s">
        <v>3903</v>
      </c>
      <c r="B645" s="68" t="s">
        <v>2349</v>
      </c>
      <c r="C645" s="68" t="s">
        <v>3103</v>
      </c>
      <c r="D645" s="68" t="s">
        <v>2809</v>
      </c>
      <c r="E645" s="68" t="s">
        <v>3053</v>
      </c>
      <c r="F645" s="68" t="s">
        <v>3904</v>
      </c>
      <c r="G645" s="68" t="s">
        <v>3048</v>
      </c>
      <c r="H645" s="68" t="s">
        <v>3075</v>
      </c>
      <c r="I645" s="68" t="s">
        <v>3050</v>
      </c>
      <c r="J645" s="68" t="s">
        <v>3061</v>
      </c>
      <c r="K645" s="69" t="s">
        <v>3061</v>
      </c>
      <c r="L645" s="69" t="str">
        <f>VLOOKUP(LinkTable6789[[#This Row],[Coluna1]],[4]AlarmCatalog!$A:$M,11,FALSE)</f>
        <v>Severidade 8</v>
      </c>
    </row>
    <row r="646" spans="1:12" s="67" customFormat="1" ht="16.5" customHeight="1" x14ac:dyDescent="0.25">
      <c r="A646" s="68" t="s">
        <v>3905</v>
      </c>
      <c r="B646" s="68" t="s">
        <v>2349</v>
      </c>
      <c r="C646" s="68" t="s">
        <v>3253</v>
      </c>
      <c r="D646" s="68" t="s">
        <v>2809</v>
      </c>
      <c r="E646" s="68" t="s">
        <v>3053</v>
      </c>
      <c r="F646" s="68" t="s">
        <v>3047</v>
      </c>
      <c r="G646" s="68" t="s">
        <v>3048</v>
      </c>
      <c r="H646" s="68" t="s">
        <v>3058</v>
      </c>
      <c r="I646" s="68" t="s">
        <v>3050</v>
      </c>
      <c r="J646" s="68" t="s">
        <v>3101</v>
      </c>
      <c r="K646" s="69" t="s">
        <v>3101</v>
      </c>
      <c r="L646" s="69" t="str">
        <f>VLOOKUP(LinkTable6789[[#This Row],[Coluna1]],[4]AlarmCatalog!$A:$M,11,FALSE)</f>
        <v>Severidade 8</v>
      </c>
    </row>
    <row r="647" spans="1:12" s="67" customFormat="1" ht="16.5" customHeight="1" x14ac:dyDescent="0.25">
      <c r="A647" s="68" t="s">
        <v>3906</v>
      </c>
      <c r="B647" s="68" t="s">
        <v>2349</v>
      </c>
      <c r="C647" s="68" t="s">
        <v>3097</v>
      </c>
      <c r="D647" s="68" t="s">
        <v>2990</v>
      </c>
      <c r="E647" s="68" t="s">
        <v>3046</v>
      </c>
      <c r="F647" s="68" t="s">
        <v>3047</v>
      </c>
      <c r="G647" s="68" t="s">
        <v>3048</v>
      </c>
      <c r="H647" s="68" t="s">
        <v>3058</v>
      </c>
      <c r="I647" s="68" t="s">
        <v>3050</v>
      </c>
      <c r="J647" s="68" t="s">
        <v>3101</v>
      </c>
      <c r="K647" s="69" t="s">
        <v>3101</v>
      </c>
      <c r="L647" s="69" t="str">
        <f>VLOOKUP(LinkTable6789[[#This Row],[Coluna1]],[4]AlarmCatalog!$A:$M,11,FALSE)</f>
        <v>Severidade 8</v>
      </c>
    </row>
    <row r="648" spans="1:12" s="67" customFormat="1" ht="16.5" customHeight="1" x14ac:dyDescent="0.25">
      <c r="A648" s="68" t="s">
        <v>3907</v>
      </c>
      <c r="B648" s="68" t="s">
        <v>2349</v>
      </c>
      <c r="C648" s="68" t="s">
        <v>3908</v>
      </c>
      <c r="D648" s="68" t="s">
        <v>2809</v>
      </c>
      <c r="E648" s="68" t="s">
        <v>3053</v>
      </c>
      <c r="F648" s="68" t="s">
        <v>3909</v>
      </c>
      <c r="G648" s="68" t="s">
        <v>3048</v>
      </c>
      <c r="H648" s="68" t="s">
        <v>3058</v>
      </c>
      <c r="I648" s="68" t="s">
        <v>3050</v>
      </c>
      <c r="J648" s="68" t="s">
        <v>3061</v>
      </c>
      <c r="K648" s="69" t="s">
        <v>3061</v>
      </c>
      <c r="L648" s="69" t="str">
        <f>VLOOKUP(LinkTable6789[[#This Row],[Coluna1]],[4]AlarmCatalog!$A:$M,11,FALSE)</f>
        <v>Severidade 8</v>
      </c>
    </row>
    <row r="649" spans="1:12" s="67" customFormat="1" ht="16.5" customHeight="1" x14ac:dyDescent="0.25">
      <c r="A649" s="68" t="s">
        <v>3910</v>
      </c>
      <c r="B649" s="68" t="s">
        <v>2349</v>
      </c>
      <c r="C649" s="68" t="s">
        <v>2991</v>
      </c>
      <c r="D649" s="68" t="s">
        <v>2809</v>
      </c>
      <c r="E649" s="68" t="s">
        <v>3053</v>
      </c>
      <c r="F649" s="68" t="s">
        <v>3911</v>
      </c>
      <c r="G649" s="68" t="s">
        <v>3048</v>
      </c>
      <c r="H649" s="68" t="s">
        <v>3058</v>
      </c>
      <c r="I649" s="68" t="s">
        <v>3050</v>
      </c>
      <c r="J649" s="68" t="s">
        <v>3061</v>
      </c>
      <c r="K649" s="69" t="s">
        <v>3061</v>
      </c>
      <c r="L649" s="69" t="str">
        <f>VLOOKUP(LinkTable6789[[#This Row],[Coluna1]],[4]AlarmCatalog!$A:$M,11,FALSE)</f>
        <v>Severidade 8</v>
      </c>
    </row>
    <row r="650" spans="1:12" s="67" customFormat="1" ht="16.5" customHeight="1" x14ac:dyDescent="0.25">
      <c r="A650" s="68" t="s">
        <v>3912</v>
      </c>
      <c r="B650" s="68" t="s">
        <v>2349</v>
      </c>
      <c r="C650" s="68" t="s">
        <v>2985</v>
      </c>
      <c r="D650" s="68" t="s">
        <v>2809</v>
      </c>
      <c r="E650" s="68" t="s">
        <v>3053</v>
      </c>
      <c r="F650" s="68" t="s">
        <v>3209</v>
      </c>
      <c r="G650" s="68" t="s">
        <v>3048</v>
      </c>
      <c r="H650" s="68" t="s">
        <v>3058</v>
      </c>
      <c r="I650" s="68" t="s">
        <v>3050</v>
      </c>
      <c r="J650" s="68" t="s">
        <v>3061</v>
      </c>
      <c r="K650" s="69" t="s">
        <v>3061</v>
      </c>
      <c r="L650" s="69" t="str">
        <f>VLOOKUP(LinkTable6789[[#This Row],[Coluna1]],[4]AlarmCatalog!$A:$M,11,FALSE)</f>
        <v>Severidade 8</v>
      </c>
    </row>
    <row r="651" spans="1:12" s="67" customFormat="1" ht="16.5" customHeight="1" x14ac:dyDescent="0.25">
      <c r="A651" s="68" t="s">
        <v>3913</v>
      </c>
      <c r="B651" s="68" t="s">
        <v>2349</v>
      </c>
      <c r="C651" s="68" t="s">
        <v>2986</v>
      </c>
      <c r="D651" s="68" t="s">
        <v>2990</v>
      </c>
      <c r="E651" s="68" t="s">
        <v>3053</v>
      </c>
      <c r="F651" s="68" t="s">
        <v>3047</v>
      </c>
      <c r="G651" s="68" t="s">
        <v>3057</v>
      </c>
      <c r="H651" s="68" t="s">
        <v>3058</v>
      </c>
      <c r="I651" s="68" t="s">
        <v>3050</v>
      </c>
      <c r="J651" s="68" t="s">
        <v>3160</v>
      </c>
      <c r="K651" s="69" t="s">
        <v>3160</v>
      </c>
      <c r="L651" s="69" t="str">
        <f>VLOOKUP(LinkTable6789[[#This Row],[Coluna1]],[4]AlarmCatalog!$A:$M,11,FALSE)</f>
        <v>Severidade 8</v>
      </c>
    </row>
    <row r="652" spans="1:12" s="67" customFormat="1" ht="16.5" customHeight="1" x14ac:dyDescent="0.25">
      <c r="A652" s="68" t="s">
        <v>3914</v>
      </c>
      <c r="B652" s="68" t="s">
        <v>2349</v>
      </c>
      <c r="C652" s="68" t="s">
        <v>2986</v>
      </c>
      <c r="D652" s="68" t="s">
        <v>2990</v>
      </c>
      <c r="E652" s="68" t="s">
        <v>3046</v>
      </c>
      <c r="F652" s="68" t="s">
        <v>3056</v>
      </c>
      <c r="G652" s="68" t="s">
        <v>3057</v>
      </c>
      <c r="H652" s="68" t="s">
        <v>3058</v>
      </c>
      <c r="I652" s="68" t="s">
        <v>3050</v>
      </c>
      <c r="J652" s="68" t="s">
        <v>3125</v>
      </c>
      <c r="K652" s="69" t="s">
        <v>3125</v>
      </c>
      <c r="L652" s="69" t="str">
        <f>VLOOKUP(LinkTable6789[[#This Row],[Coluna1]],[4]AlarmCatalog!$A:$M,11,FALSE)</f>
        <v>Severidade 8</v>
      </c>
    </row>
    <row r="653" spans="1:12" s="67" customFormat="1" ht="16.5" customHeight="1" x14ac:dyDescent="0.25">
      <c r="A653" s="68" t="s">
        <v>3915</v>
      </c>
      <c r="B653" s="68" t="s">
        <v>2349</v>
      </c>
      <c r="C653" s="68" t="s">
        <v>2986</v>
      </c>
      <c r="D653" s="68" t="s">
        <v>2990</v>
      </c>
      <c r="E653" s="68" t="s">
        <v>3046</v>
      </c>
      <c r="F653" s="68" t="s">
        <v>3047</v>
      </c>
      <c r="G653" s="68" t="s">
        <v>3057</v>
      </c>
      <c r="H653" s="68" t="s">
        <v>3058</v>
      </c>
      <c r="I653" s="68" t="s">
        <v>3050</v>
      </c>
      <c r="J653" s="68" t="s">
        <v>3160</v>
      </c>
      <c r="K653" s="69" t="s">
        <v>3160</v>
      </c>
      <c r="L653" s="69" t="str">
        <f>VLOOKUP(LinkTable6789[[#This Row],[Coluna1]],[4]AlarmCatalog!$A:$M,11,FALSE)</f>
        <v>Severidade 8</v>
      </c>
    </row>
    <row r="654" spans="1:12" s="67" customFormat="1" ht="16.5" customHeight="1" x14ac:dyDescent="0.25">
      <c r="A654" s="68" t="s">
        <v>3916</v>
      </c>
      <c r="B654" s="68" t="s">
        <v>2349</v>
      </c>
      <c r="C654" s="68" t="s">
        <v>2992</v>
      </c>
      <c r="D654" s="68" t="s">
        <v>2809</v>
      </c>
      <c r="E654" s="68" t="s">
        <v>3046</v>
      </c>
      <c r="F654" s="68" t="s">
        <v>3047</v>
      </c>
      <c r="G654" s="68" t="s">
        <v>3048</v>
      </c>
      <c r="H654" s="68" t="s">
        <v>3159</v>
      </c>
      <c r="I654" s="68" t="s">
        <v>3050</v>
      </c>
      <c r="J654" s="68" t="s">
        <v>3160</v>
      </c>
      <c r="K654" s="69" t="s">
        <v>3160</v>
      </c>
      <c r="L654" s="69" t="str">
        <f>VLOOKUP(LinkTable6789[[#This Row],[Coluna1]],[4]AlarmCatalog!$A:$M,11,FALSE)</f>
        <v>Severidade 8</v>
      </c>
    </row>
    <row r="655" spans="1:12" s="67" customFormat="1" ht="16.5" customHeight="1" x14ac:dyDescent="0.25">
      <c r="A655" s="68" t="s">
        <v>3917</v>
      </c>
      <c r="B655" s="68" t="s">
        <v>2349</v>
      </c>
      <c r="C655" s="68" t="s">
        <v>2986</v>
      </c>
      <c r="D655" s="68" t="s">
        <v>2809</v>
      </c>
      <c r="E655" s="68" t="s">
        <v>3046</v>
      </c>
      <c r="F655" s="68" t="s">
        <v>3056</v>
      </c>
      <c r="G655" s="68" t="s">
        <v>3057</v>
      </c>
      <c r="H655" s="68" t="s">
        <v>3058</v>
      </c>
      <c r="I655" s="68" t="s">
        <v>3050</v>
      </c>
      <c r="J655" s="68" t="s">
        <v>3059</v>
      </c>
      <c r="K655" s="69" t="s">
        <v>3059</v>
      </c>
      <c r="L655" s="69" t="str">
        <f>VLOOKUP(LinkTable6789[[#This Row],[Coluna1]],[4]AlarmCatalog!$A:$M,11,FALSE)</f>
        <v>Severidade 2</v>
      </c>
    </row>
    <row r="656" spans="1:12" s="67" customFormat="1" ht="16.5" customHeight="1" x14ac:dyDescent="0.25">
      <c r="A656" s="68" t="s">
        <v>913</v>
      </c>
      <c r="B656" s="68" t="s">
        <v>2349</v>
      </c>
      <c r="C656" s="68" t="s">
        <v>2982</v>
      </c>
      <c r="D656" s="68" t="s">
        <v>2809</v>
      </c>
      <c r="E656" s="68" t="s">
        <v>3053</v>
      </c>
      <c r="F656" s="68" t="s">
        <v>3047</v>
      </c>
      <c r="G656" s="68" t="s">
        <v>3048</v>
      </c>
      <c r="H656" s="68" t="s">
        <v>3058</v>
      </c>
      <c r="I656" s="68" t="s">
        <v>3050</v>
      </c>
      <c r="J656" s="68" t="s">
        <v>3160</v>
      </c>
      <c r="K656" s="69" t="s">
        <v>3160</v>
      </c>
      <c r="L656" s="69" t="str">
        <f>VLOOKUP(LinkTable6789[[#This Row],[Coluna1]],[4]AlarmCatalog!$A:$M,11,FALSE)</f>
        <v>Severidade 8</v>
      </c>
    </row>
    <row r="657" spans="1:12" s="67" customFormat="1" ht="16.5" customHeight="1" x14ac:dyDescent="0.25">
      <c r="A657" s="68" t="s">
        <v>3918</v>
      </c>
      <c r="B657" s="68" t="s">
        <v>2349</v>
      </c>
      <c r="C657" s="68" t="s">
        <v>2988</v>
      </c>
      <c r="D657" s="68" t="s">
        <v>2809</v>
      </c>
      <c r="E657" s="68" t="s">
        <v>3053</v>
      </c>
      <c r="F657" s="68" t="s">
        <v>3047</v>
      </c>
      <c r="G657" s="68" t="s">
        <v>3048</v>
      </c>
      <c r="H657" s="68" t="s">
        <v>3058</v>
      </c>
      <c r="I657" s="68" t="s">
        <v>3050</v>
      </c>
      <c r="J657" s="68" t="s">
        <v>3101</v>
      </c>
      <c r="K657" s="69" t="s">
        <v>3101</v>
      </c>
      <c r="L657" s="69" t="str">
        <f>VLOOKUP(LinkTable6789[[#This Row],[Coluna1]],[4]AlarmCatalog!$A:$M,11,FALSE)</f>
        <v>Severidade 8</v>
      </c>
    </row>
    <row r="658" spans="1:12" s="67" customFormat="1" ht="16.5" customHeight="1" x14ac:dyDescent="0.25">
      <c r="A658" s="68" t="s">
        <v>3919</v>
      </c>
      <c r="B658" s="68" t="s">
        <v>2349</v>
      </c>
      <c r="C658" s="68" t="s">
        <v>2991</v>
      </c>
      <c r="D658" s="68" t="s">
        <v>2809</v>
      </c>
      <c r="E658" s="68" t="s">
        <v>3053</v>
      </c>
      <c r="F658" s="68" t="s">
        <v>3047</v>
      </c>
      <c r="G658" s="68" t="s">
        <v>3048</v>
      </c>
      <c r="H658" s="68" t="s">
        <v>3077</v>
      </c>
      <c r="I658" s="68" t="s">
        <v>3050</v>
      </c>
      <c r="J658" s="68" t="s">
        <v>3101</v>
      </c>
      <c r="K658" s="69" t="s">
        <v>3101</v>
      </c>
      <c r="L658" s="69" t="str">
        <f>VLOOKUP(LinkTable6789[[#This Row],[Coluna1]],[4]AlarmCatalog!$A:$M,11,FALSE)</f>
        <v>Severidade 8</v>
      </c>
    </row>
    <row r="659" spans="1:12" s="67" customFormat="1" ht="16.5" customHeight="1" x14ac:dyDescent="0.25">
      <c r="A659" s="68" t="s">
        <v>3920</v>
      </c>
      <c r="B659" s="68" t="s">
        <v>2349</v>
      </c>
      <c r="C659" s="68" t="s">
        <v>2986</v>
      </c>
      <c r="D659" s="68" t="s">
        <v>2809</v>
      </c>
      <c r="E659" s="68" t="s">
        <v>3046</v>
      </c>
      <c r="F659" s="68" t="s">
        <v>3056</v>
      </c>
      <c r="G659" s="68" t="s">
        <v>3057</v>
      </c>
      <c r="H659" s="68" t="s">
        <v>3058</v>
      </c>
      <c r="I659" s="68" t="s">
        <v>3050</v>
      </c>
      <c r="J659" s="68" t="s">
        <v>3125</v>
      </c>
      <c r="K659" s="69" t="s">
        <v>3125</v>
      </c>
      <c r="L659" s="69" t="str">
        <f>VLOOKUP(LinkTable6789[[#This Row],[Coluna1]],[4]AlarmCatalog!$A:$M,11,FALSE)</f>
        <v>Severidade 8</v>
      </c>
    </row>
    <row r="660" spans="1:12" s="67" customFormat="1" ht="16.5" customHeight="1" x14ac:dyDescent="0.25">
      <c r="A660" s="68" t="s">
        <v>3921</v>
      </c>
      <c r="B660" s="68" t="s">
        <v>2349</v>
      </c>
      <c r="C660" s="68" t="s">
        <v>3496</v>
      </c>
      <c r="D660" s="68" t="s">
        <v>2990</v>
      </c>
      <c r="E660" s="68" t="s">
        <v>3053</v>
      </c>
      <c r="F660" s="68" t="s">
        <v>3056</v>
      </c>
      <c r="G660" s="68" t="s">
        <v>3057</v>
      </c>
      <c r="H660" s="68" t="s">
        <v>3077</v>
      </c>
      <c r="I660" s="68" t="s">
        <v>3050</v>
      </c>
      <c r="J660" s="68" t="s">
        <v>3059</v>
      </c>
      <c r="K660" s="69" t="s">
        <v>3059</v>
      </c>
      <c r="L660" s="69" t="str">
        <f>VLOOKUP(LinkTable6789[[#This Row],[Coluna1]],[4]AlarmCatalog!$A:$M,11,FALSE)</f>
        <v>Severidade 2</v>
      </c>
    </row>
    <row r="661" spans="1:12" s="67" customFormat="1" ht="16.5" customHeight="1" x14ac:dyDescent="0.25">
      <c r="A661" s="68" t="s">
        <v>3922</v>
      </c>
      <c r="B661" s="68" t="s">
        <v>2349</v>
      </c>
      <c r="C661" s="68" t="s">
        <v>3110</v>
      </c>
      <c r="D661" s="68" t="s">
        <v>2809</v>
      </c>
      <c r="E661" s="68" t="s">
        <v>3046</v>
      </c>
      <c r="F661" s="68" t="s">
        <v>3047</v>
      </c>
      <c r="G661" s="68" t="s">
        <v>3048</v>
      </c>
      <c r="H661" s="68" t="s">
        <v>3058</v>
      </c>
      <c r="I661" s="68" t="s">
        <v>3050</v>
      </c>
      <c r="J661" s="68" t="s">
        <v>3059</v>
      </c>
      <c r="K661" s="69" t="s">
        <v>3059</v>
      </c>
      <c r="L661" s="69" t="str">
        <f>VLOOKUP(LinkTable6789[[#This Row],[Coluna1]],[4]AlarmCatalog!$A:$M,11,FALSE)</f>
        <v>Severidade 2</v>
      </c>
    </row>
    <row r="662" spans="1:12" s="67" customFormat="1" ht="16.5" customHeight="1" x14ac:dyDescent="0.25">
      <c r="A662" s="68" t="s">
        <v>3923</v>
      </c>
      <c r="B662" s="68" t="s">
        <v>2349</v>
      </c>
      <c r="C662" s="68" t="s">
        <v>2986</v>
      </c>
      <c r="D662" s="68" t="s">
        <v>2809</v>
      </c>
      <c r="E662" s="68" t="s">
        <v>3053</v>
      </c>
      <c r="F662" s="68" t="s">
        <v>3056</v>
      </c>
      <c r="G662" s="68" t="s">
        <v>3057</v>
      </c>
      <c r="H662" s="68" t="s">
        <v>3058</v>
      </c>
      <c r="I662" s="68" t="s">
        <v>3050</v>
      </c>
      <c r="J662" s="68" t="s">
        <v>3061</v>
      </c>
      <c r="K662" s="69" t="s">
        <v>3061</v>
      </c>
      <c r="L662" s="69" t="str">
        <f>VLOOKUP(LinkTable6789[[#This Row],[Coluna1]],[4]AlarmCatalog!$A:$M,11,FALSE)</f>
        <v>Severidade 8</v>
      </c>
    </row>
    <row r="663" spans="1:12" s="67" customFormat="1" ht="16.5" customHeight="1" x14ac:dyDescent="0.25">
      <c r="A663" s="68" t="s">
        <v>3924</v>
      </c>
      <c r="B663" s="68" t="s">
        <v>2349</v>
      </c>
      <c r="C663" s="68" t="s">
        <v>2992</v>
      </c>
      <c r="D663" s="68" t="s">
        <v>2809</v>
      </c>
      <c r="E663" s="68" t="s">
        <v>3046</v>
      </c>
      <c r="F663" s="68" t="s">
        <v>3047</v>
      </c>
      <c r="G663" s="68" t="s">
        <v>3048</v>
      </c>
      <c r="H663" s="68" t="s">
        <v>3058</v>
      </c>
      <c r="I663" s="68" t="s">
        <v>3050</v>
      </c>
      <c r="J663" s="68" t="s">
        <v>3297</v>
      </c>
      <c r="K663" s="69" t="s">
        <v>3297</v>
      </c>
      <c r="L663" s="69" t="str">
        <f>VLOOKUP(LinkTable6789[[#This Row],[Coluna1]],[4]AlarmCatalog!$A:$M,11,FALSE)</f>
        <v>Severidade 4</v>
      </c>
    </row>
    <row r="664" spans="1:12" s="67" customFormat="1" ht="16.5" customHeight="1" x14ac:dyDescent="0.25">
      <c r="A664" s="68" t="s">
        <v>3925</v>
      </c>
      <c r="B664" s="68" t="s">
        <v>2349</v>
      </c>
      <c r="C664" s="68" t="s">
        <v>3366</v>
      </c>
      <c r="D664" s="68" t="s">
        <v>2809</v>
      </c>
      <c r="E664" s="68" t="s">
        <v>3046</v>
      </c>
      <c r="F664" s="68" t="s">
        <v>3047</v>
      </c>
      <c r="G664" s="68" t="s">
        <v>3048</v>
      </c>
      <c r="H664" s="68" t="s">
        <v>3058</v>
      </c>
      <c r="I664" s="68" t="s">
        <v>3050</v>
      </c>
      <c r="J664" s="68" t="s">
        <v>3160</v>
      </c>
      <c r="K664" s="69" t="s">
        <v>3160</v>
      </c>
      <c r="L664" s="69" t="str">
        <f>VLOOKUP(LinkTable6789[[#This Row],[Coluna1]],[4]AlarmCatalog!$A:$M,11,FALSE)</f>
        <v>Severidade 8</v>
      </c>
    </row>
    <row r="665" spans="1:12" s="67" customFormat="1" ht="16.5" customHeight="1" x14ac:dyDescent="0.25">
      <c r="A665" s="68" t="s">
        <v>1183</v>
      </c>
      <c r="B665" s="68" t="s">
        <v>2349</v>
      </c>
      <c r="C665" s="68" t="s">
        <v>2991</v>
      </c>
      <c r="D665" s="68" t="s">
        <v>2809</v>
      </c>
      <c r="E665" s="68" t="s">
        <v>3053</v>
      </c>
      <c r="F665" s="68" t="s">
        <v>3047</v>
      </c>
      <c r="G665" s="68" t="s">
        <v>3048</v>
      </c>
      <c r="H665" s="68" t="s">
        <v>3058</v>
      </c>
      <c r="I665" s="68" t="s">
        <v>3050</v>
      </c>
      <c r="J665" s="68" t="s">
        <v>3160</v>
      </c>
      <c r="K665" s="69" t="s">
        <v>3160</v>
      </c>
      <c r="L665" s="69" t="str">
        <f>VLOOKUP(LinkTable6789[[#This Row],[Coluna1]],[4]AlarmCatalog!$A:$M,11,FALSE)</f>
        <v>Severidade 8</v>
      </c>
    </row>
    <row r="666" spans="1:12" s="67" customFormat="1" ht="16.5" customHeight="1" x14ac:dyDescent="0.25">
      <c r="A666" s="68" t="s">
        <v>3926</v>
      </c>
      <c r="B666" s="68" t="s">
        <v>2349</v>
      </c>
      <c r="C666" s="68" t="s">
        <v>2991</v>
      </c>
      <c r="D666" s="68" t="s">
        <v>2809</v>
      </c>
      <c r="E666" s="68" t="s">
        <v>3053</v>
      </c>
      <c r="F666" s="68" t="s">
        <v>3047</v>
      </c>
      <c r="G666" s="68" t="s">
        <v>3048</v>
      </c>
      <c r="H666" s="68" t="s">
        <v>3058</v>
      </c>
      <c r="I666" s="68" t="s">
        <v>3050</v>
      </c>
      <c r="J666" s="68" t="s">
        <v>3160</v>
      </c>
      <c r="K666" s="69" t="s">
        <v>3160</v>
      </c>
      <c r="L666" s="69" t="str">
        <f>VLOOKUP(LinkTable6789[[#This Row],[Coluna1]],[4]AlarmCatalog!$A:$M,11,FALSE)</f>
        <v>Severidade 8</v>
      </c>
    </row>
    <row r="667" spans="1:12" s="67" customFormat="1" ht="16.5" customHeight="1" x14ac:dyDescent="0.25">
      <c r="A667" s="68" t="s">
        <v>3927</v>
      </c>
      <c r="B667" s="68" t="s">
        <v>2349</v>
      </c>
      <c r="C667" s="68" t="s">
        <v>2992</v>
      </c>
      <c r="D667" s="68" t="s">
        <v>2809</v>
      </c>
      <c r="E667" s="68" t="s">
        <v>3046</v>
      </c>
      <c r="F667" s="68" t="s">
        <v>3047</v>
      </c>
      <c r="G667" s="68" t="s">
        <v>3048</v>
      </c>
      <c r="H667" s="68" t="s">
        <v>3058</v>
      </c>
      <c r="I667" s="68" t="s">
        <v>3050</v>
      </c>
      <c r="J667" s="68" t="s">
        <v>3160</v>
      </c>
      <c r="K667" s="69" t="s">
        <v>3160</v>
      </c>
      <c r="L667" s="69" t="str">
        <f>VLOOKUP(LinkTable6789[[#This Row],[Coluna1]],[4]AlarmCatalog!$A:$M,11,FALSE)</f>
        <v>Severidade 8</v>
      </c>
    </row>
    <row r="668" spans="1:12" s="67" customFormat="1" ht="16.5" customHeight="1" x14ac:dyDescent="0.25">
      <c r="A668" s="68" t="s">
        <v>3928</v>
      </c>
      <c r="B668" s="68" t="s">
        <v>2349</v>
      </c>
      <c r="C668" s="68" t="s">
        <v>2808</v>
      </c>
      <c r="D668" s="68" t="s">
        <v>2809</v>
      </c>
      <c r="E668" s="68" t="s">
        <v>3046</v>
      </c>
      <c r="F668" s="68" t="s">
        <v>3047</v>
      </c>
      <c r="G668" s="68" t="s">
        <v>3048</v>
      </c>
      <c r="H668" s="68" t="s">
        <v>3058</v>
      </c>
      <c r="I668" s="68" t="s">
        <v>3050</v>
      </c>
      <c r="J668" s="68" t="s">
        <v>3160</v>
      </c>
      <c r="K668" s="69" t="s">
        <v>3160</v>
      </c>
      <c r="L668" s="69" t="str">
        <f>VLOOKUP(LinkTable6789[[#This Row],[Coluna1]],[4]AlarmCatalog!$A:$M,11,FALSE)</f>
        <v>Severidade 8</v>
      </c>
    </row>
    <row r="669" spans="1:12" s="67" customFormat="1" ht="16.5" customHeight="1" x14ac:dyDescent="0.25">
      <c r="A669" s="68" t="s">
        <v>3929</v>
      </c>
      <c r="B669" s="68" t="s">
        <v>2349</v>
      </c>
      <c r="C669" s="68" t="s">
        <v>3110</v>
      </c>
      <c r="D669" s="68" t="s">
        <v>2809</v>
      </c>
      <c r="E669" s="68" t="s">
        <v>3053</v>
      </c>
      <c r="F669" s="68" t="s">
        <v>3047</v>
      </c>
      <c r="G669" s="68" t="s">
        <v>3048</v>
      </c>
      <c r="H669" s="68" t="s">
        <v>3159</v>
      </c>
      <c r="I669" s="68" t="s">
        <v>3050</v>
      </c>
      <c r="J669" s="68" t="s">
        <v>3297</v>
      </c>
      <c r="K669" s="69" t="s">
        <v>3297</v>
      </c>
      <c r="L669" s="69" t="str">
        <f>VLOOKUP(LinkTable6789[[#This Row],[Coluna1]],[4]AlarmCatalog!$A:$M,11,FALSE)</f>
        <v>Severidade 4</v>
      </c>
    </row>
    <row r="670" spans="1:12" s="67" customFormat="1" ht="16.5" customHeight="1" x14ac:dyDescent="0.25">
      <c r="A670" s="68" t="s">
        <v>3930</v>
      </c>
      <c r="B670" s="68" t="s">
        <v>2349</v>
      </c>
      <c r="C670" s="68" t="s">
        <v>3347</v>
      </c>
      <c r="D670" s="68" t="s">
        <v>2809</v>
      </c>
      <c r="E670" s="68" t="s">
        <v>3053</v>
      </c>
      <c r="F670" s="68" t="s">
        <v>3047</v>
      </c>
      <c r="G670" s="68" t="s">
        <v>3048</v>
      </c>
      <c r="H670" s="68" t="s">
        <v>3058</v>
      </c>
      <c r="I670" s="68" t="s">
        <v>3050</v>
      </c>
      <c r="J670" s="68" t="s">
        <v>3160</v>
      </c>
      <c r="K670" s="69" t="s">
        <v>3160</v>
      </c>
      <c r="L670" s="69" t="str">
        <f>VLOOKUP(LinkTable6789[[#This Row],[Coluna1]],[4]AlarmCatalog!$A:$M,11,FALSE)</f>
        <v>Severidade 8</v>
      </c>
    </row>
    <row r="671" spans="1:12" s="67" customFormat="1" ht="16.5" customHeight="1" x14ac:dyDescent="0.25">
      <c r="A671" s="68" t="s">
        <v>3931</v>
      </c>
      <c r="B671" s="68" t="s">
        <v>2349</v>
      </c>
      <c r="C671" s="68" t="s">
        <v>3326</v>
      </c>
      <c r="D671" s="68" t="s">
        <v>2809</v>
      </c>
      <c r="E671" s="68" t="s">
        <v>3046</v>
      </c>
      <c r="F671" s="68" t="s">
        <v>3047</v>
      </c>
      <c r="G671" s="68" t="s">
        <v>3048</v>
      </c>
      <c r="H671" s="68" t="s">
        <v>3075</v>
      </c>
      <c r="I671" s="68" t="s">
        <v>3050</v>
      </c>
      <c r="J671" s="68" t="s">
        <v>3160</v>
      </c>
      <c r="K671" s="69" t="s">
        <v>3160</v>
      </c>
      <c r="L671" s="69" t="str">
        <f>VLOOKUP(LinkTable6789[[#This Row],[Coluna1]],[4]AlarmCatalog!$A:$M,11,FALSE)</f>
        <v>Severidade 8</v>
      </c>
    </row>
    <row r="672" spans="1:12" s="67" customFormat="1" ht="16.5" customHeight="1" x14ac:dyDescent="0.25">
      <c r="A672" s="68" t="s">
        <v>3932</v>
      </c>
      <c r="B672" s="68" t="s">
        <v>2349</v>
      </c>
      <c r="C672" s="68" t="s">
        <v>3898</v>
      </c>
      <c r="D672" s="68" t="s">
        <v>3053</v>
      </c>
      <c r="E672" s="68" t="s">
        <v>2990</v>
      </c>
      <c r="F672" s="68" t="s">
        <v>3933</v>
      </c>
      <c r="G672" s="68" t="s">
        <v>3190</v>
      </c>
      <c r="H672" s="68" t="s">
        <v>3123</v>
      </c>
      <c r="I672" s="68" t="s">
        <v>3124</v>
      </c>
      <c r="J672" s="68" t="s">
        <v>3061</v>
      </c>
      <c r="K672" s="69" t="s">
        <v>3061</v>
      </c>
      <c r="L672" s="69" t="str">
        <f>VLOOKUP(LinkTable6789[[#This Row],[Coluna1]],[4]AlarmCatalog!$A:$M,11,FALSE)</f>
        <v>Severidade 8</v>
      </c>
    </row>
    <row r="673" spans="1:12" s="67" customFormat="1" ht="16.5" customHeight="1" x14ac:dyDescent="0.25">
      <c r="A673" s="68" t="s">
        <v>3934</v>
      </c>
      <c r="B673" s="68" t="s">
        <v>2349</v>
      </c>
      <c r="C673" s="68" t="s">
        <v>3935</v>
      </c>
      <c r="D673" s="68" t="s">
        <v>2809</v>
      </c>
      <c r="E673" s="68" t="s">
        <v>3053</v>
      </c>
      <c r="F673" s="68" t="s">
        <v>3047</v>
      </c>
      <c r="G673" s="68" t="s">
        <v>3048</v>
      </c>
      <c r="H673" s="68" t="s">
        <v>3058</v>
      </c>
      <c r="I673" s="68" t="s">
        <v>3050</v>
      </c>
      <c r="J673" s="68" t="s">
        <v>3297</v>
      </c>
      <c r="K673" s="69" t="s">
        <v>3297</v>
      </c>
      <c r="L673" s="69" t="str">
        <f>VLOOKUP(LinkTable6789[[#This Row],[Coluna1]],[4]AlarmCatalog!$A:$M,11,FALSE)</f>
        <v>Severidade 4</v>
      </c>
    </row>
    <row r="674" spans="1:12" s="67" customFormat="1" ht="16.5" customHeight="1" x14ac:dyDescent="0.25">
      <c r="A674" s="68" t="s">
        <v>3936</v>
      </c>
      <c r="B674" s="68" t="s">
        <v>2349</v>
      </c>
      <c r="C674" s="68" t="s">
        <v>2986</v>
      </c>
      <c r="D674" s="68" t="s">
        <v>2990</v>
      </c>
      <c r="E674" s="68" t="s">
        <v>3053</v>
      </c>
      <c r="F674" s="68" t="s">
        <v>3056</v>
      </c>
      <c r="G674" s="68" t="s">
        <v>3057</v>
      </c>
      <c r="H674" s="68" t="s">
        <v>3077</v>
      </c>
      <c r="I674" s="68" t="s">
        <v>3050</v>
      </c>
      <c r="J674" s="68" t="s">
        <v>3125</v>
      </c>
      <c r="K674" s="69" t="s">
        <v>3125</v>
      </c>
      <c r="L674" s="69" t="str">
        <f>VLOOKUP(LinkTable6789[[#This Row],[Coluna1]],[4]AlarmCatalog!$A:$M,11,FALSE)</f>
        <v>Severidade 8</v>
      </c>
    </row>
    <row r="675" spans="1:12" s="67" customFormat="1" ht="16.5" customHeight="1" x14ac:dyDescent="0.25">
      <c r="A675" s="68" t="s">
        <v>3937</v>
      </c>
      <c r="B675" s="68" t="s">
        <v>2349</v>
      </c>
      <c r="C675" s="68" t="s">
        <v>3110</v>
      </c>
      <c r="D675" s="68" t="s">
        <v>2809</v>
      </c>
      <c r="E675" s="68" t="s">
        <v>3053</v>
      </c>
      <c r="F675" s="68" t="s">
        <v>3047</v>
      </c>
      <c r="G675" s="68" t="s">
        <v>3048</v>
      </c>
      <c r="H675" s="68" t="s">
        <v>3058</v>
      </c>
      <c r="I675" s="68" t="s">
        <v>3050</v>
      </c>
      <c r="J675" s="68" t="s">
        <v>3059</v>
      </c>
      <c r="K675" s="69" t="s">
        <v>3059</v>
      </c>
      <c r="L675" s="69" t="str">
        <f>VLOOKUP(LinkTable6789[[#This Row],[Coluna1]],[4]AlarmCatalog!$A:$M,11,FALSE)</f>
        <v>Severidade 2</v>
      </c>
    </row>
    <row r="676" spans="1:12" s="67" customFormat="1" ht="16.5" customHeight="1" x14ac:dyDescent="0.25">
      <c r="A676" s="68" t="s">
        <v>3938</v>
      </c>
      <c r="B676" s="68" t="s">
        <v>2349</v>
      </c>
      <c r="C676" s="68" t="s">
        <v>2986</v>
      </c>
      <c r="D676" s="68" t="s">
        <v>2809</v>
      </c>
      <c r="E676" s="68" t="s">
        <v>3053</v>
      </c>
      <c r="F676" s="68" t="s">
        <v>3047</v>
      </c>
      <c r="G676" s="68" t="s">
        <v>3057</v>
      </c>
      <c r="H676" s="68" t="s">
        <v>3058</v>
      </c>
      <c r="I676" s="68" t="s">
        <v>3050</v>
      </c>
      <c r="J676" s="68" t="s">
        <v>3160</v>
      </c>
      <c r="K676" s="69" t="s">
        <v>3160</v>
      </c>
      <c r="L676" s="69" t="str">
        <f>VLOOKUP(LinkTable6789[[#This Row],[Coluna1]],[4]AlarmCatalog!$A:$M,11,FALSE)</f>
        <v>Severidade 8</v>
      </c>
    </row>
    <row r="677" spans="1:12" s="67" customFormat="1" ht="16.5" customHeight="1" x14ac:dyDescent="0.25">
      <c r="A677" s="68" t="s">
        <v>3939</v>
      </c>
      <c r="B677" s="68" t="s">
        <v>2349</v>
      </c>
      <c r="C677" s="68" t="s">
        <v>3496</v>
      </c>
      <c r="D677" s="68" t="s">
        <v>2809</v>
      </c>
      <c r="E677" s="68" t="s">
        <v>3064</v>
      </c>
      <c r="F677" s="68" t="s">
        <v>3940</v>
      </c>
      <c r="G677" s="68" t="s">
        <v>3048</v>
      </c>
      <c r="H677" s="68" t="s">
        <v>3058</v>
      </c>
      <c r="I677" s="68" t="s">
        <v>3050</v>
      </c>
      <c r="J677" s="68" t="s">
        <v>3059</v>
      </c>
      <c r="K677" s="69" t="s">
        <v>3059</v>
      </c>
      <c r="L677" s="69" t="str">
        <f>VLOOKUP(LinkTable6789[[#This Row],[Coluna1]],[4]AlarmCatalog!$A:$M,11,FALSE)</f>
        <v>Severidade 2</v>
      </c>
    </row>
    <row r="678" spans="1:12" s="67" customFormat="1" ht="16.5" customHeight="1" x14ac:dyDescent="0.25">
      <c r="A678" s="68" t="s">
        <v>3941</v>
      </c>
      <c r="B678" s="68" t="s">
        <v>2349</v>
      </c>
      <c r="C678" s="68" t="s">
        <v>3496</v>
      </c>
      <c r="D678" s="68" t="s">
        <v>2809</v>
      </c>
      <c r="E678" s="68" t="s">
        <v>3111</v>
      </c>
      <c r="F678" s="68" t="s">
        <v>3940</v>
      </c>
      <c r="G678" s="68" t="s">
        <v>3048</v>
      </c>
      <c r="H678" s="68" t="s">
        <v>3058</v>
      </c>
      <c r="I678" s="68" t="s">
        <v>3050</v>
      </c>
      <c r="J678" s="68" t="s">
        <v>3059</v>
      </c>
      <c r="K678" s="69" t="s">
        <v>3059</v>
      </c>
      <c r="L678" s="69" t="str">
        <f>VLOOKUP(LinkTable6789[[#This Row],[Coluna1]],[4]AlarmCatalog!$A:$M,11,FALSE)</f>
        <v>Severidade 2</v>
      </c>
    </row>
    <row r="679" spans="1:12" s="67" customFormat="1" ht="16.5" customHeight="1" x14ac:dyDescent="0.25">
      <c r="A679" s="68" t="s">
        <v>3942</v>
      </c>
      <c r="B679" s="68" t="s">
        <v>2349</v>
      </c>
      <c r="C679" s="68" t="s">
        <v>3496</v>
      </c>
      <c r="D679" s="68" t="s">
        <v>2809</v>
      </c>
      <c r="E679" s="68" t="s">
        <v>3064</v>
      </c>
      <c r="F679" s="68" t="s">
        <v>3940</v>
      </c>
      <c r="G679" s="68" t="s">
        <v>3048</v>
      </c>
      <c r="H679" s="68" t="s">
        <v>3058</v>
      </c>
      <c r="I679" s="68" t="s">
        <v>3050</v>
      </c>
      <c r="J679" s="68" t="s">
        <v>3059</v>
      </c>
      <c r="K679" s="69" t="s">
        <v>3059</v>
      </c>
      <c r="L679" s="69" t="str">
        <f>VLOOKUP(LinkTable6789[[#This Row],[Coluna1]],[4]AlarmCatalog!$A:$M,11,FALSE)</f>
        <v>Severidade 2</v>
      </c>
    </row>
    <row r="680" spans="1:12" s="67" customFormat="1" ht="16.5" customHeight="1" x14ac:dyDescent="0.25">
      <c r="A680" s="68" t="s">
        <v>1166</v>
      </c>
      <c r="B680" s="68" t="s">
        <v>2349</v>
      </c>
      <c r="C680" s="68" t="s">
        <v>3103</v>
      </c>
      <c r="D680" s="68" t="s">
        <v>2990</v>
      </c>
      <c r="E680" s="68" t="s">
        <v>3053</v>
      </c>
      <c r="F680" s="68" t="s">
        <v>3943</v>
      </c>
      <c r="G680" s="68" t="s">
        <v>3944</v>
      </c>
      <c r="H680" s="68" t="s">
        <v>3058</v>
      </c>
      <c r="I680" s="68" t="s">
        <v>3050</v>
      </c>
      <c r="J680" s="68" t="s">
        <v>3125</v>
      </c>
      <c r="K680" s="69" t="s">
        <v>3125</v>
      </c>
      <c r="L680" s="69" t="str">
        <f>VLOOKUP(LinkTable6789[[#This Row],[Coluna1]],[4]AlarmCatalog!$A:$M,11,FALSE)</f>
        <v>Severidade 8</v>
      </c>
    </row>
    <row r="681" spans="1:12" s="67" customFormat="1" ht="16.5" customHeight="1" x14ac:dyDescent="0.25">
      <c r="A681" s="68" t="s">
        <v>1165</v>
      </c>
      <c r="B681" s="68" t="s">
        <v>2349</v>
      </c>
      <c r="C681" s="68" t="s">
        <v>3103</v>
      </c>
      <c r="D681" s="68" t="s">
        <v>2990</v>
      </c>
      <c r="E681" s="68" t="s">
        <v>3053</v>
      </c>
      <c r="F681" s="68" t="s">
        <v>3945</v>
      </c>
      <c r="G681" s="68" t="s">
        <v>3944</v>
      </c>
      <c r="H681" s="68" t="s">
        <v>3058</v>
      </c>
      <c r="I681" s="68" t="s">
        <v>3050</v>
      </c>
      <c r="J681" s="68" t="s">
        <v>3125</v>
      </c>
      <c r="K681" s="69" t="s">
        <v>3125</v>
      </c>
      <c r="L681" s="69" t="str">
        <f>VLOOKUP(LinkTable6789[[#This Row],[Coluna1]],[4]AlarmCatalog!$A:$M,11,FALSE)</f>
        <v>Severidade 8</v>
      </c>
    </row>
    <row r="682" spans="1:12" s="67" customFormat="1" ht="16.5" customHeight="1" x14ac:dyDescent="0.25">
      <c r="A682" s="68" t="s">
        <v>1191</v>
      </c>
      <c r="B682" s="68" t="s">
        <v>2349</v>
      </c>
      <c r="C682" s="68" t="s">
        <v>3935</v>
      </c>
      <c r="D682" s="68" t="s">
        <v>2809</v>
      </c>
      <c r="E682" s="68" t="s">
        <v>3053</v>
      </c>
      <c r="F682" s="68" t="s">
        <v>3047</v>
      </c>
      <c r="G682" s="68" t="s">
        <v>3048</v>
      </c>
      <c r="H682" s="68" t="s">
        <v>3058</v>
      </c>
      <c r="I682" s="68" t="s">
        <v>3050</v>
      </c>
      <c r="J682" s="68" t="s">
        <v>3160</v>
      </c>
      <c r="K682" s="69" t="s">
        <v>3160</v>
      </c>
      <c r="L682" s="69" t="str">
        <f>VLOOKUP(LinkTable6789[[#This Row],[Coluna1]],[4]AlarmCatalog!$A:$M,11,FALSE)</f>
        <v>Severidade 8</v>
      </c>
    </row>
    <row r="683" spans="1:12" s="67" customFormat="1" ht="16.5" customHeight="1" x14ac:dyDescent="0.25">
      <c r="A683" s="68" t="s">
        <v>3946</v>
      </c>
      <c r="B683" s="68" t="s">
        <v>2349</v>
      </c>
      <c r="C683" s="68" t="s">
        <v>2986</v>
      </c>
      <c r="D683" s="68" t="s">
        <v>2809</v>
      </c>
      <c r="E683" s="68" t="s">
        <v>3046</v>
      </c>
      <c r="F683" s="68" t="s">
        <v>3047</v>
      </c>
      <c r="G683" s="68" t="s">
        <v>3057</v>
      </c>
      <c r="H683" s="68" t="s">
        <v>3058</v>
      </c>
      <c r="I683" s="68" t="s">
        <v>3050</v>
      </c>
      <c r="J683" s="68" t="s">
        <v>3059</v>
      </c>
      <c r="K683" s="69" t="s">
        <v>3059</v>
      </c>
      <c r="L683" s="69" t="str">
        <f>VLOOKUP(LinkTable6789[[#This Row],[Coluna1]],[4]AlarmCatalog!$A:$M,11,FALSE)</f>
        <v>Severidade 2</v>
      </c>
    </row>
    <row r="684" spans="1:12" s="67" customFormat="1" ht="16.5" customHeight="1" x14ac:dyDescent="0.25">
      <c r="A684" s="68" t="s">
        <v>3947</v>
      </c>
      <c r="B684" s="68" t="s">
        <v>2349</v>
      </c>
      <c r="C684" s="68" t="s">
        <v>2986</v>
      </c>
      <c r="D684" s="68" t="s">
        <v>2809</v>
      </c>
      <c r="E684" s="68" t="s">
        <v>3046</v>
      </c>
      <c r="F684" s="68" t="s">
        <v>3047</v>
      </c>
      <c r="G684" s="68" t="s">
        <v>3057</v>
      </c>
      <c r="H684" s="68" t="s">
        <v>3058</v>
      </c>
      <c r="I684" s="68" t="s">
        <v>3050</v>
      </c>
      <c r="J684" s="68" t="s">
        <v>3125</v>
      </c>
      <c r="K684" s="69" t="s">
        <v>3125</v>
      </c>
      <c r="L684" s="69" t="str">
        <f>VLOOKUP(LinkTable6789[[#This Row],[Coluna1]],[4]AlarmCatalog!$A:$M,11,FALSE)</f>
        <v>Severidade 8</v>
      </c>
    </row>
    <row r="685" spans="1:12" s="67" customFormat="1" ht="16.5" customHeight="1" x14ac:dyDescent="0.25">
      <c r="A685" s="68" t="s">
        <v>1190</v>
      </c>
      <c r="B685" s="68" t="s">
        <v>2349</v>
      </c>
      <c r="C685" s="68" t="s">
        <v>2989</v>
      </c>
      <c r="D685" s="68" t="s">
        <v>2809</v>
      </c>
      <c r="E685" s="68" t="s">
        <v>3053</v>
      </c>
      <c r="F685" s="68" t="s">
        <v>3047</v>
      </c>
      <c r="G685" s="68" t="s">
        <v>3048</v>
      </c>
      <c r="H685" s="68" t="s">
        <v>3058</v>
      </c>
      <c r="I685" s="68" t="s">
        <v>3050</v>
      </c>
      <c r="J685" s="68" t="s">
        <v>3160</v>
      </c>
      <c r="K685" s="69" t="s">
        <v>3160</v>
      </c>
      <c r="L685" s="69" t="str">
        <f>VLOOKUP(LinkTable6789[[#This Row],[Coluna1]],[4]AlarmCatalog!$A:$M,11,FALSE)</f>
        <v>Severidade 8</v>
      </c>
    </row>
    <row r="686" spans="1:12" s="67" customFormat="1" ht="16.5" customHeight="1" x14ac:dyDescent="0.25">
      <c r="A686" s="68" t="s">
        <v>3948</v>
      </c>
      <c r="B686" s="68" t="s">
        <v>2349</v>
      </c>
      <c r="C686" s="68" t="s">
        <v>2986</v>
      </c>
      <c r="D686" s="68" t="s">
        <v>2809</v>
      </c>
      <c r="E686" s="68" t="s">
        <v>3046</v>
      </c>
      <c r="F686" s="68" t="s">
        <v>3047</v>
      </c>
      <c r="G686" s="68" t="s">
        <v>3057</v>
      </c>
      <c r="H686" s="68" t="s">
        <v>3058</v>
      </c>
      <c r="I686" s="68" t="s">
        <v>3050</v>
      </c>
      <c r="J686" s="68" t="s">
        <v>3297</v>
      </c>
      <c r="K686" s="69" t="s">
        <v>3297</v>
      </c>
      <c r="L686" s="69" t="str">
        <f>VLOOKUP(LinkTable6789[[#This Row],[Coluna1]],[4]AlarmCatalog!$A:$M,11,FALSE)</f>
        <v>Severidade 4</v>
      </c>
    </row>
    <row r="687" spans="1:12" s="67" customFormat="1" ht="16.5" customHeight="1" x14ac:dyDescent="0.25">
      <c r="A687" s="68" t="s">
        <v>3949</v>
      </c>
      <c r="B687" s="68" t="s">
        <v>2349</v>
      </c>
      <c r="C687" s="68" t="s">
        <v>2986</v>
      </c>
      <c r="D687" s="68" t="s">
        <v>2809</v>
      </c>
      <c r="E687" s="68" t="s">
        <v>3046</v>
      </c>
      <c r="F687" s="68" t="s">
        <v>3047</v>
      </c>
      <c r="G687" s="68" t="s">
        <v>3057</v>
      </c>
      <c r="H687" s="68" t="s">
        <v>3058</v>
      </c>
      <c r="I687" s="68" t="s">
        <v>3050</v>
      </c>
      <c r="J687" s="68" t="s">
        <v>3160</v>
      </c>
      <c r="K687" s="69" t="s">
        <v>3160</v>
      </c>
      <c r="L687" s="69" t="str">
        <f>VLOOKUP(LinkTable6789[[#This Row],[Coluna1]],[4]AlarmCatalog!$A:$M,11,FALSE)</f>
        <v>Severidade 8</v>
      </c>
    </row>
    <row r="688" spans="1:12" s="67" customFormat="1" ht="16.5" customHeight="1" x14ac:dyDescent="0.25">
      <c r="A688" s="68" t="s">
        <v>3950</v>
      </c>
      <c r="B688" s="68" t="s">
        <v>2349</v>
      </c>
      <c r="C688" s="68" t="s">
        <v>2986</v>
      </c>
      <c r="D688" s="68" t="s">
        <v>2809</v>
      </c>
      <c r="E688" s="68" t="s">
        <v>3053</v>
      </c>
      <c r="F688" s="68" t="s">
        <v>3047</v>
      </c>
      <c r="G688" s="68" t="s">
        <v>3057</v>
      </c>
      <c r="H688" s="68" t="s">
        <v>3058</v>
      </c>
      <c r="I688" s="68" t="s">
        <v>3050</v>
      </c>
      <c r="J688" s="68" t="s">
        <v>3059</v>
      </c>
      <c r="K688" s="69" t="s">
        <v>3059</v>
      </c>
      <c r="L688" s="69" t="str">
        <f>VLOOKUP(LinkTable6789[[#This Row],[Coluna1]],[4]AlarmCatalog!$A:$M,11,FALSE)</f>
        <v>Severidade 2</v>
      </c>
    </row>
    <row r="689" spans="1:12" s="67" customFormat="1" ht="16.5" customHeight="1" x14ac:dyDescent="0.25">
      <c r="A689" s="68" t="s">
        <v>3951</v>
      </c>
      <c r="B689" s="68" t="s">
        <v>2349</v>
      </c>
      <c r="C689" s="68" t="s">
        <v>3884</v>
      </c>
      <c r="D689" s="68" t="s">
        <v>2809</v>
      </c>
      <c r="E689" s="68" t="s">
        <v>3053</v>
      </c>
      <c r="F689" s="68" t="s">
        <v>3047</v>
      </c>
      <c r="G689" s="68" t="s">
        <v>3048</v>
      </c>
      <c r="H689" s="68" t="s">
        <v>3058</v>
      </c>
      <c r="I689" s="68" t="s">
        <v>3050</v>
      </c>
      <c r="J689" s="68" t="s">
        <v>3439</v>
      </c>
      <c r="K689" s="69" t="s">
        <v>3439</v>
      </c>
      <c r="L689" s="69" t="str">
        <f>VLOOKUP(LinkTable6789[[#This Row],[Coluna1]],[4]AlarmCatalog!$A:$M,11,FALSE)</f>
        <v>Severidade 4</v>
      </c>
    </row>
    <row r="690" spans="1:12" s="67" customFormat="1" ht="16.5" customHeight="1" x14ac:dyDescent="0.25">
      <c r="A690" s="68" t="s">
        <v>3952</v>
      </c>
      <c r="B690" s="68" t="s">
        <v>2349</v>
      </c>
      <c r="C690" s="68" t="s">
        <v>2986</v>
      </c>
      <c r="D690" s="68" t="s">
        <v>2809</v>
      </c>
      <c r="E690" s="68" t="s">
        <v>3053</v>
      </c>
      <c r="F690" s="68" t="s">
        <v>3047</v>
      </c>
      <c r="G690" s="68" t="s">
        <v>3057</v>
      </c>
      <c r="H690" s="68" t="s">
        <v>3058</v>
      </c>
      <c r="I690" s="68" t="s">
        <v>3050</v>
      </c>
      <c r="J690" s="68" t="s">
        <v>3125</v>
      </c>
      <c r="K690" s="69" t="s">
        <v>3125</v>
      </c>
      <c r="L690" s="69" t="str">
        <f>VLOOKUP(LinkTable6789[[#This Row],[Coluna1]],[4]AlarmCatalog!$A:$M,11,FALSE)</f>
        <v>Severidade 8</v>
      </c>
    </row>
    <row r="691" spans="1:12" s="67" customFormat="1" ht="16.5" customHeight="1" x14ac:dyDescent="0.25">
      <c r="A691" s="68" t="s">
        <v>3953</v>
      </c>
      <c r="B691" s="68" t="s">
        <v>2349</v>
      </c>
      <c r="C691" s="68" t="s">
        <v>3253</v>
      </c>
      <c r="D691" s="68" t="s">
        <v>2809</v>
      </c>
      <c r="E691" s="68" t="s">
        <v>3053</v>
      </c>
      <c r="F691" s="68" t="s">
        <v>3047</v>
      </c>
      <c r="G691" s="68" t="s">
        <v>3048</v>
      </c>
      <c r="H691" s="68" t="s">
        <v>3058</v>
      </c>
      <c r="I691" s="68" t="s">
        <v>3050</v>
      </c>
      <c r="J691" s="68" t="s">
        <v>3160</v>
      </c>
      <c r="K691" s="69" t="s">
        <v>3160</v>
      </c>
      <c r="L691" s="69" t="str">
        <f>VLOOKUP(LinkTable6789[[#This Row],[Coluna1]],[4]AlarmCatalog!$A:$M,11,FALSE)</f>
        <v>Severidade 8</v>
      </c>
    </row>
    <row r="692" spans="1:12" s="67" customFormat="1" ht="16.5" customHeight="1" x14ac:dyDescent="0.25">
      <c r="A692" s="68" t="s">
        <v>3954</v>
      </c>
      <c r="B692" s="68" t="s">
        <v>2349</v>
      </c>
      <c r="C692" s="68" t="s">
        <v>2985</v>
      </c>
      <c r="D692" s="68" t="s">
        <v>2809</v>
      </c>
      <c r="E692" s="68" t="s">
        <v>3053</v>
      </c>
      <c r="F692" s="68" t="s">
        <v>3047</v>
      </c>
      <c r="G692" s="68" t="s">
        <v>3048</v>
      </c>
      <c r="H692" s="68" t="s">
        <v>3058</v>
      </c>
      <c r="I692" s="68" t="s">
        <v>3050</v>
      </c>
      <c r="J692" s="68" t="s">
        <v>3160</v>
      </c>
      <c r="K692" s="69" t="s">
        <v>3160</v>
      </c>
      <c r="L692" s="69" t="str">
        <f>VLOOKUP(LinkTable6789[[#This Row],[Coluna1]],[4]AlarmCatalog!$A:$M,11,FALSE)</f>
        <v>Severidade 8</v>
      </c>
    </row>
    <row r="693" spans="1:12" s="67" customFormat="1" ht="16.5" customHeight="1" x14ac:dyDescent="0.25">
      <c r="A693" s="68" t="s">
        <v>3955</v>
      </c>
      <c r="B693" s="68" t="s">
        <v>2349</v>
      </c>
      <c r="C693" s="68" t="s">
        <v>3956</v>
      </c>
      <c r="D693" s="68" t="s">
        <v>3053</v>
      </c>
      <c r="E693" s="68" t="s">
        <v>2990</v>
      </c>
      <c r="F693" s="68" t="s">
        <v>3150</v>
      </c>
      <c r="G693" s="68" t="s">
        <v>3190</v>
      </c>
      <c r="H693" s="68" t="s">
        <v>3191</v>
      </c>
      <c r="I693" s="68" t="s">
        <v>3124</v>
      </c>
      <c r="J693" s="68" t="s">
        <v>3160</v>
      </c>
      <c r="K693" s="69" t="s">
        <v>3160</v>
      </c>
      <c r="L693" s="69" t="str">
        <f>VLOOKUP(LinkTable6789[[#This Row],[Coluna1]],[4]AlarmCatalog!$A:$M,11,FALSE)</f>
        <v>Severidade 8</v>
      </c>
    </row>
    <row r="694" spans="1:12" s="67" customFormat="1" ht="16.5" customHeight="1" x14ac:dyDescent="0.25">
      <c r="A694" s="68" t="s">
        <v>3957</v>
      </c>
      <c r="B694" s="68" t="s">
        <v>2349</v>
      </c>
      <c r="C694" s="68" t="s">
        <v>2986</v>
      </c>
      <c r="D694" s="68" t="s">
        <v>2809</v>
      </c>
      <c r="E694" s="68" t="s">
        <v>3053</v>
      </c>
      <c r="F694" s="68" t="s">
        <v>3047</v>
      </c>
      <c r="G694" s="68" t="s">
        <v>3057</v>
      </c>
      <c r="H694" s="68" t="s">
        <v>3058</v>
      </c>
      <c r="I694" s="68" t="s">
        <v>3050</v>
      </c>
      <c r="J694" s="68" t="s">
        <v>3297</v>
      </c>
      <c r="K694" s="69" t="s">
        <v>3297</v>
      </c>
      <c r="L694" s="69" t="str">
        <f>VLOOKUP(LinkTable6789[[#This Row],[Coluna1]],[4]AlarmCatalog!$A:$M,11,FALSE)</f>
        <v>Severidade 4</v>
      </c>
    </row>
    <row r="695" spans="1:12" s="67" customFormat="1" ht="16.5" customHeight="1" x14ac:dyDescent="0.25">
      <c r="A695" s="68" t="s">
        <v>3958</v>
      </c>
      <c r="B695" s="68" t="s">
        <v>2349</v>
      </c>
      <c r="C695" s="68" t="s">
        <v>3884</v>
      </c>
      <c r="D695" s="68" t="s">
        <v>2809</v>
      </c>
      <c r="E695" s="68" t="s">
        <v>3053</v>
      </c>
      <c r="F695" s="68" t="s">
        <v>3047</v>
      </c>
      <c r="G695" s="68" t="s">
        <v>3048</v>
      </c>
      <c r="H695" s="68" t="s">
        <v>3058</v>
      </c>
      <c r="I695" s="68" t="s">
        <v>3050</v>
      </c>
      <c r="J695" s="68" t="s">
        <v>3599</v>
      </c>
      <c r="K695" s="69" t="s">
        <v>3599</v>
      </c>
      <c r="L695" s="69" t="str">
        <f>VLOOKUP(LinkTable6789[[#This Row],[Coluna1]],[4]AlarmCatalog!$A:$M,11,FALSE)</f>
        <v>Severidade 5</v>
      </c>
    </row>
    <row r="696" spans="1:12" s="67" customFormat="1" ht="16.5" customHeight="1" x14ac:dyDescent="0.25">
      <c r="A696" s="68" t="s">
        <v>3959</v>
      </c>
      <c r="B696" s="68" t="s">
        <v>2349</v>
      </c>
      <c r="C696" s="68" t="s">
        <v>3960</v>
      </c>
      <c r="D696" s="68" t="s">
        <v>2809</v>
      </c>
      <c r="E696" s="68" t="s">
        <v>3961</v>
      </c>
      <c r="F696" s="68" t="s">
        <v>3149</v>
      </c>
      <c r="G696" s="68" t="s">
        <v>3190</v>
      </c>
      <c r="H696" s="68" t="s">
        <v>3191</v>
      </c>
      <c r="I696" s="68" t="s">
        <v>3124</v>
      </c>
      <c r="J696" s="68" t="s">
        <v>3125</v>
      </c>
      <c r="K696" s="69" t="s">
        <v>3125</v>
      </c>
      <c r="L696" s="69" t="str">
        <f>VLOOKUP(LinkTable6789[[#This Row],[Coluna1]],[4]AlarmCatalog!$A:$M,11,FALSE)</f>
        <v>Severidade 8</v>
      </c>
    </row>
    <row r="697" spans="1:12" s="67" customFormat="1" ht="16.5" customHeight="1" x14ac:dyDescent="0.25">
      <c r="A697" s="68" t="s">
        <v>3962</v>
      </c>
      <c r="B697" s="68" t="s">
        <v>2349</v>
      </c>
      <c r="C697" s="68" t="s">
        <v>3103</v>
      </c>
      <c r="D697" s="68" t="s">
        <v>2809</v>
      </c>
      <c r="E697" s="68" t="s">
        <v>3053</v>
      </c>
      <c r="F697" s="68" t="s">
        <v>3047</v>
      </c>
      <c r="G697" s="68" t="s">
        <v>3048</v>
      </c>
      <c r="H697" s="68" t="s">
        <v>3075</v>
      </c>
      <c r="I697" s="68" t="s">
        <v>3050</v>
      </c>
      <c r="J697" s="68" t="s">
        <v>3160</v>
      </c>
      <c r="K697" s="69" t="s">
        <v>3160</v>
      </c>
      <c r="L697" s="69" t="str">
        <f>VLOOKUP(LinkTable6789[[#This Row],[Coluna1]],[4]AlarmCatalog!$A:$M,11,FALSE)</f>
        <v>Severidade 8</v>
      </c>
    </row>
    <row r="698" spans="1:12" s="67" customFormat="1" ht="16.5" customHeight="1" x14ac:dyDescent="0.25">
      <c r="A698" s="68" t="s">
        <v>3963</v>
      </c>
      <c r="B698" s="68" t="s">
        <v>2349</v>
      </c>
      <c r="C698" s="68" t="s">
        <v>3110</v>
      </c>
      <c r="D698" s="68" t="s">
        <v>2809</v>
      </c>
      <c r="E698" s="68" t="s">
        <v>3053</v>
      </c>
      <c r="F698" s="68" t="s">
        <v>3047</v>
      </c>
      <c r="G698" s="68" t="s">
        <v>3048</v>
      </c>
      <c r="H698" s="68" t="s">
        <v>3058</v>
      </c>
      <c r="I698" s="68" t="s">
        <v>3050</v>
      </c>
      <c r="J698" s="68" t="s">
        <v>3297</v>
      </c>
      <c r="K698" s="69" t="s">
        <v>3297</v>
      </c>
      <c r="L698" s="69" t="str">
        <f>VLOOKUP(LinkTable6789[[#This Row],[Coluna1]],[4]AlarmCatalog!$A:$M,11,FALSE)</f>
        <v>Severidade 4</v>
      </c>
    </row>
    <row r="699" spans="1:12" s="67" customFormat="1" ht="16.5" customHeight="1" x14ac:dyDescent="0.25">
      <c r="A699" s="68" t="s">
        <v>1163</v>
      </c>
      <c r="B699" s="68" t="s">
        <v>2349</v>
      </c>
      <c r="C699" s="68" t="s">
        <v>2986</v>
      </c>
      <c r="D699" s="68" t="s">
        <v>2809</v>
      </c>
      <c r="E699" s="68" t="s">
        <v>3053</v>
      </c>
      <c r="F699" s="68" t="s">
        <v>3047</v>
      </c>
      <c r="G699" s="68" t="s">
        <v>3057</v>
      </c>
      <c r="H699" s="68" t="s">
        <v>3058</v>
      </c>
      <c r="I699" s="68" t="s">
        <v>3050</v>
      </c>
      <c r="J699" s="68" t="s">
        <v>3160</v>
      </c>
      <c r="K699" s="69" t="s">
        <v>3160</v>
      </c>
      <c r="L699" s="69" t="str">
        <f>VLOOKUP(LinkTable6789[[#This Row],[Coluna1]],[4]AlarmCatalog!$A:$M,11,FALSE)</f>
        <v>Severidade 8</v>
      </c>
    </row>
    <row r="700" spans="1:12" s="67" customFormat="1" ht="16.5" customHeight="1" x14ac:dyDescent="0.25">
      <c r="A700" s="68" t="s">
        <v>3964</v>
      </c>
      <c r="B700" s="68" t="s">
        <v>2349</v>
      </c>
      <c r="C700" s="68" t="s">
        <v>2986</v>
      </c>
      <c r="D700" s="68" t="s">
        <v>2990</v>
      </c>
      <c r="E700" s="68" t="s">
        <v>3053</v>
      </c>
      <c r="F700" s="68" t="s">
        <v>3047</v>
      </c>
      <c r="G700" s="68" t="s">
        <v>3057</v>
      </c>
      <c r="H700" s="68" t="s">
        <v>3058</v>
      </c>
      <c r="I700" s="68" t="s">
        <v>3050</v>
      </c>
      <c r="J700" s="68" t="s">
        <v>3741</v>
      </c>
      <c r="K700" s="69" t="s">
        <v>3741</v>
      </c>
      <c r="L700" s="69" t="str">
        <f>VLOOKUP(LinkTable6789[[#This Row],[Coluna1]],[4]AlarmCatalog!$A:$M,11,FALSE)</f>
        <v>Severidade 7</v>
      </c>
    </row>
    <row r="701" spans="1:12" s="67" customFormat="1" ht="16.5" customHeight="1" x14ac:dyDescent="0.25">
      <c r="A701" s="68" t="s">
        <v>3965</v>
      </c>
      <c r="B701" s="68" t="s">
        <v>2349</v>
      </c>
      <c r="C701" s="68" t="s">
        <v>2986</v>
      </c>
      <c r="D701" s="68" t="s">
        <v>2990</v>
      </c>
      <c r="E701" s="68" t="s">
        <v>3053</v>
      </c>
      <c r="F701" s="68" t="s">
        <v>3047</v>
      </c>
      <c r="G701" s="68" t="s">
        <v>3057</v>
      </c>
      <c r="H701" s="68" t="s">
        <v>3058</v>
      </c>
      <c r="I701" s="68" t="s">
        <v>3050</v>
      </c>
      <c r="J701" s="68" t="s">
        <v>3160</v>
      </c>
      <c r="K701" s="69" t="s">
        <v>3160</v>
      </c>
      <c r="L701" s="69" t="str">
        <f>VLOOKUP(LinkTable6789[[#This Row],[Coluna1]],[4]AlarmCatalog!$A:$M,11,FALSE)</f>
        <v>Severidade 8</v>
      </c>
    </row>
    <row r="702" spans="1:12" s="67" customFormat="1" ht="16.5" customHeight="1" x14ac:dyDescent="0.25">
      <c r="A702" s="68" t="s">
        <v>3966</v>
      </c>
      <c r="B702" s="68" t="s">
        <v>2349</v>
      </c>
      <c r="C702" s="68" t="s">
        <v>2992</v>
      </c>
      <c r="D702" s="68" t="s">
        <v>2809</v>
      </c>
      <c r="E702" s="68" t="s">
        <v>3053</v>
      </c>
      <c r="F702" s="68" t="s">
        <v>3047</v>
      </c>
      <c r="G702" s="68" t="s">
        <v>3048</v>
      </c>
      <c r="H702" s="68" t="s">
        <v>3058</v>
      </c>
      <c r="I702" s="68" t="s">
        <v>3050</v>
      </c>
      <c r="J702" s="68" t="s">
        <v>3101</v>
      </c>
      <c r="K702" s="69" t="s">
        <v>3101</v>
      </c>
      <c r="L702" s="69" t="str">
        <f>VLOOKUP(LinkTable6789[[#This Row],[Coluna1]],[4]AlarmCatalog!$A:$M,11,FALSE)</f>
        <v>Severidade 8</v>
      </c>
    </row>
    <row r="703" spans="1:12" s="67" customFormat="1" ht="16.5" customHeight="1" x14ac:dyDescent="0.25">
      <c r="A703" s="68" t="s">
        <v>3967</v>
      </c>
      <c r="B703" s="68" t="s">
        <v>2349</v>
      </c>
      <c r="C703" s="68" t="s">
        <v>2986</v>
      </c>
      <c r="D703" s="68" t="s">
        <v>2809</v>
      </c>
      <c r="E703" s="68" t="s">
        <v>3046</v>
      </c>
      <c r="F703" s="68" t="s">
        <v>3047</v>
      </c>
      <c r="G703" s="68" t="s">
        <v>3057</v>
      </c>
      <c r="H703" s="68" t="s">
        <v>3058</v>
      </c>
      <c r="I703" s="68" t="s">
        <v>3050</v>
      </c>
      <c r="J703" s="68" t="s">
        <v>3297</v>
      </c>
      <c r="K703" s="69" t="s">
        <v>3297</v>
      </c>
      <c r="L703" s="69" t="str">
        <f>VLOOKUP(LinkTable6789[[#This Row],[Coluna1]],[4]AlarmCatalog!$A:$M,11,FALSE)</f>
        <v>Severidade 4</v>
      </c>
    </row>
    <row r="704" spans="1:12" s="67" customFormat="1" ht="16.5" customHeight="1" x14ac:dyDescent="0.25">
      <c r="A704" s="68" t="s">
        <v>3968</v>
      </c>
      <c r="B704" s="68" t="s">
        <v>2349</v>
      </c>
      <c r="C704" s="68" t="s">
        <v>3326</v>
      </c>
      <c r="D704" s="68" t="s">
        <v>2809</v>
      </c>
      <c r="E704" s="68" t="s">
        <v>3046</v>
      </c>
      <c r="F704" s="68" t="s">
        <v>3173</v>
      </c>
      <c r="G704" s="68" t="s">
        <v>3048</v>
      </c>
      <c r="H704" s="68" t="s">
        <v>3075</v>
      </c>
      <c r="I704" s="68" t="s">
        <v>3050</v>
      </c>
      <c r="J704" s="68" t="s">
        <v>3125</v>
      </c>
      <c r="K704" s="69" t="s">
        <v>3125</v>
      </c>
      <c r="L704" s="69" t="str">
        <f>VLOOKUP(LinkTable6789[[#This Row],[Coluna1]],[4]AlarmCatalog!$A:$M,11,FALSE)</f>
        <v>Severidade 8</v>
      </c>
    </row>
    <row r="705" spans="1:12" s="67" customFormat="1" ht="16.5" customHeight="1" x14ac:dyDescent="0.25">
      <c r="A705" s="68" t="s">
        <v>3969</v>
      </c>
      <c r="B705" s="68" t="s">
        <v>2349</v>
      </c>
      <c r="C705" s="68" t="s">
        <v>2985</v>
      </c>
      <c r="D705" s="68" t="s">
        <v>2809</v>
      </c>
      <c r="E705" s="68" t="s">
        <v>3053</v>
      </c>
      <c r="F705" s="68" t="s">
        <v>3047</v>
      </c>
      <c r="G705" s="68" t="s">
        <v>3048</v>
      </c>
      <c r="H705" s="68" t="s">
        <v>3058</v>
      </c>
      <c r="I705" s="68" t="s">
        <v>3050</v>
      </c>
      <c r="J705" s="68" t="s">
        <v>3160</v>
      </c>
      <c r="K705" s="69" t="s">
        <v>3160</v>
      </c>
      <c r="L705" s="69" t="str">
        <f>VLOOKUP(LinkTable6789[[#This Row],[Coluna1]],[4]AlarmCatalog!$A:$M,11,FALSE)</f>
        <v>Severidade 8</v>
      </c>
    </row>
    <row r="706" spans="1:12" s="67" customFormat="1" ht="16.5" customHeight="1" x14ac:dyDescent="0.25">
      <c r="A706" s="68" t="s">
        <v>3970</v>
      </c>
      <c r="B706" s="68" t="s">
        <v>2349</v>
      </c>
      <c r="C706" s="68" t="s">
        <v>3374</v>
      </c>
      <c r="D706" s="68" t="s">
        <v>2990</v>
      </c>
      <c r="E706" s="68" t="s">
        <v>3046</v>
      </c>
      <c r="F706" s="68" t="s">
        <v>3047</v>
      </c>
      <c r="G706" s="68" t="s">
        <v>3048</v>
      </c>
      <c r="H706" s="68" t="s">
        <v>3058</v>
      </c>
      <c r="I706" s="68" t="s">
        <v>3050</v>
      </c>
      <c r="J706" s="68" t="s">
        <v>3160</v>
      </c>
      <c r="K706" s="69" t="s">
        <v>3160</v>
      </c>
      <c r="L706" s="69" t="str">
        <f>VLOOKUP(LinkTable6789[[#This Row],[Coluna1]],[4]AlarmCatalog!$A:$M,11,FALSE)</f>
        <v>Severidade 8</v>
      </c>
    </row>
    <row r="707" spans="1:12" s="67" customFormat="1" ht="16.5" customHeight="1" x14ac:dyDescent="0.25">
      <c r="A707" s="68" t="s">
        <v>99</v>
      </c>
      <c r="B707" s="68" t="s">
        <v>2349</v>
      </c>
      <c r="C707" s="68" t="s">
        <v>3326</v>
      </c>
      <c r="D707" s="68" t="s">
        <v>2809</v>
      </c>
      <c r="E707" s="68" t="s">
        <v>3053</v>
      </c>
      <c r="F707" s="68" t="s">
        <v>3047</v>
      </c>
      <c r="G707" s="68" t="s">
        <v>3048</v>
      </c>
      <c r="H707" s="68" t="s">
        <v>3075</v>
      </c>
      <c r="I707" s="68" t="s">
        <v>3050</v>
      </c>
      <c r="J707" s="68" t="s">
        <v>3160</v>
      </c>
      <c r="K707" s="69" t="s">
        <v>3160</v>
      </c>
      <c r="L707" s="69" t="str">
        <f>VLOOKUP(LinkTable6789[[#This Row],[Coluna1]],[4]AlarmCatalog!$A:$M,11,FALSE)</f>
        <v>Severidade 8</v>
      </c>
    </row>
    <row r="708" spans="1:12" s="67" customFormat="1" ht="16.5" customHeight="1" x14ac:dyDescent="0.25">
      <c r="A708" s="68" t="s">
        <v>115</v>
      </c>
      <c r="B708" s="68" t="s">
        <v>2349</v>
      </c>
      <c r="C708" s="68" t="s">
        <v>2992</v>
      </c>
      <c r="D708" s="68" t="s">
        <v>2809</v>
      </c>
      <c r="E708" s="68" t="s">
        <v>3053</v>
      </c>
      <c r="F708" s="68" t="s">
        <v>3047</v>
      </c>
      <c r="G708" s="68" t="s">
        <v>3048</v>
      </c>
      <c r="H708" s="68" t="s">
        <v>3058</v>
      </c>
      <c r="I708" s="68" t="s">
        <v>3050</v>
      </c>
      <c r="J708" s="68" t="s">
        <v>3160</v>
      </c>
      <c r="K708" s="69" t="s">
        <v>3160</v>
      </c>
      <c r="L708" s="69" t="str">
        <f>VLOOKUP(LinkTable6789[[#This Row],[Coluna1]],[4]AlarmCatalog!$A:$M,11,FALSE)</f>
        <v>Severidade 8</v>
      </c>
    </row>
    <row r="709" spans="1:12" s="67" customFormat="1" ht="16.5" customHeight="1" x14ac:dyDescent="0.25">
      <c r="A709" s="68" t="s">
        <v>3971</v>
      </c>
      <c r="B709" s="68" t="s">
        <v>2349</v>
      </c>
      <c r="C709" s="68" t="s">
        <v>3230</v>
      </c>
      <c r="D709" s="68" t="s">
        <v>2990</v>
      </c>
      <c r="E709" s="68" t="s">
        <v>3053</v>
      </c>
      <c r="F709" s="68" t="s">
        <v>3047</v>
      </c>
      <c r="G709" s="68" t="s">
        <v>3048</v>
      </c>
      <c r="H709" s="68" t="s">
        <v>3058</v>
      </c>
      <c r="I709" s="68" t="s">
        <v>3050</v>
      </c>
      <c r="J709" s="68" t="s">
        <v>3160</v>
      </c>
      <c r="K709" s="69" t="s">
        <v>3160</v>
      </c>
      <c r="L709" s="69" t="str">
        <f>VLOOKUP(LinkTable6789[[#This Row],[Coluna1]],[4]AlarmCatalog!$A:$M,11,FALSE)</f>
        <v>Severidade 8</v>
      </c>
    </row>
    <row r="710" spans="1:12" s="67" customFormat="1" ht="16.5" customHeight="1" x14ac:dyDescent="0.25">
      <c r="A710" s="68" t="s">
        <v>1274</v>
      </c>
      <c r="B710" s="68" t="s">
        <v>2349</v>
      </c>
      <c r="C710" s="68" t="s">
        <v>3326</v>
      </c>
      <c r="D710" s="68" t="s">
        <v>2809</v>
      </c>
      <c r="E710" s="68" t="s">
        <v>3053</v>
      </c>
      <c r="F710" s="68" t="s">
        <v>3173</v>
      </c>
      <c r="G710" s="68" t="s">
        <v>3048</v>
      </c>
      <c r="H710" s="68" t="s">
        <v>3075</v>
      </c>
      <c r="I710" s="68" t="s">
        <v>3050</v>
      </c>
      <c r="J710" s="68" t="s">
        <v>3125</v>
      </c>
      <c r="K710" s="69" t="s">
        <v>3059</v>
      </c>
      <c r="L710" s="69" t="str">
        <f>VLOOKUP(LinkTable6789[[#This Row],[Coluna1]],[4]AlarmCatalog!$A:$M,11,FALSE)</f>
        <v>Severidade 2</v>
      </c>
    </row>
    <row r="711" spans="1:12" s="67" customFormat="1" ht="16.5" customHeight="1" x14ac:dyDescent="0.25">
      <c r="A711" s="68" t="s">
        <v>3972</v>
      </c>
      <c r="B711" s="68" t="s">
        <v>2349</v>
      </c>
      <c r="C711" s="68" t="s">
        <v>3103</v>
      </c>
      <c r="D711" s="68" t="s">
        <v>2809</v>
      </c>
      <c r="E711" s="68" t="s">
        <v>3053</v>
      </c>
      <c r="F711" s="68" t="s">
        <v>3047</v>
      </c>
      <c r="G711" s="68" t="s">
        <v>3048</v>
      </c>
      <c r="H711" s="68" t="s">
        <v>3075</v>
      </c>
      <c r="I711" s="68" t="s">
        <v>3050</v>
      </c>
      <c r="J711" s="68" t="s">
        <v>3160</v>
      </c>
      <c r="K711" s="69" t="s">
        <v>3160</v>
      </c>
      <c r="L711" s="69" t="str">
        <f>VLOOKUP(LinkTable6789[[#This Row],[Coluna1]],[4]AlarmCatalog!$A:$M,11,FALSE)</f>
        <v>Severidade 8</v>
      </c>
    </row>
    <row r="712" spans="1:12" s="67" customFormat="1" ht="16.5" customHeight="1" x14ac:dyDescent="0.25">
      <c r="A712" s="68" t="s">
        <v>3973</v>
      </c>
      <c r="B712" s="68" t="s">
        <v>2349</v>
      </c>
      <c r="C712" s="68" t="s">
        <v>2986</v>
      </c>
      <c r="D712" s="68" t="s">
        <v>2809</v>
      </c>
      <c r="E712" s="68" t="s">
        <v>3053</v>
      </c>
      <c r="F712" s="68" t="s">
        <v>3047</v>
      </c>
      <c r="G712" s="68" t="s">
        <v>3057</v>
      </c>
      <c r="H712" s="68" t="s">
        <v>3058</v>
      </c>
      <c r="I712" s="68" t="s">
        <v>3050</v>
      </c>
      <c r="J712" s="68" t="s">
        <v>3297</v>
      </c>
      <c r="K712" s="69" t="s">
        <v>3297</v>
      </c>
      <c r="L712" s="69" t="str">
        <f>VLOOKUP(LinkTable6789[[#This Row],[Coluna1]],[4]AlarmCatalog!$A:$M,11,FALSE)</f>
        <v>Severidade 4</v>
      </c>
    </row>
    <row r="713" spans="1:12" s="67" customFormat="1" ht="16.5" customHeight="1" x14ac:dyDescent="0.25">
      <c r="A713" s="68" t="s">
        <v>3974</v>
      </c>
      <c r="B713" s="68" t="s">
        <v>2349</v>
      </c>
      <c r="C713" s="68" t="s">
        <v>3975</v>
      </c>
      <c r="D713" s="68" t="s">
        <v>2990</v>
      </c>
      <c r="E713" s="68" t="s">
        <v>3976</v>
      </c>
      <c r="F713" s="68" t="s">
        <v>3977</v>
      </c>
      <c r="G713" s="68" t="s">
        <v>3978</v>
      </c>
      <c r="H713" s="68" t="s">
        <v>3159</v>
      </c>
      <c r="I713" s="68" t="s">
        <v>3241</v>
      </c>
      <c r="J713" s="68" t="s">
        <v>3061</v>
      </c>
      <c r="K713" s="69" t="s">
        <v>3061</v>
      </c>
      <c r="L713" s="69" t="str">
        <f>VLOOKUP(LinkTable6789[[#This Row],[Coluna1]],[4]AlarmCatalog!$A:$M,11,FALSE)</f>
        <v>Severidade 8</v>
      </c>
    </row>
    <row r="714" spans="1:12" s="67" customFormat="1" ht="16.5" customHeight="1" x14ac:dyDescent="0.25">
      <c r="A714" s="68" t="s">
        <v>3979</v>
      </c>
      <c r="B714" s="68" t="s">
        <v>2349</v>
      </c>
      <c r="C714" s="68" t="s">
        <v>3980</v>
      </c>
      <c r="D714" s="68" t="s">
        <v>2809</v>
      </c>
      <c r="E714" s="68" t="s">
        <v>3981</v>
      </c>
      <c r="F714" s="68" t="s">
        <v>3173</v>
      </c>
      <c r="G714" s="68" t="s">
        <v>3982</v>
      </c>
      <c r="H714" s="68" t="s">
        <v>3159</v>
      </c>
      <c r="I714" s="68" t="s">
        <v>3241</v>
      </c>
      <c r="J714" s="68" t="s">
        <v>3061</v>
      </c>
      <c r="K714" s="69" t="s">
        <v>3061</v>
      </c>
      <c r="L714" s="69" t="str">
        <f>VLOOKUP(LinkTable6789[[#This Row],[Coluna1]],[4]AlarmCatalog!$A:$M,11,FALSE)</f>
        <v>Severidade 8</v>
      </c>
    </row>
    <row r="715" spans="1:12" s="67" customFormat="1" ht="16.5" customHeight="1" x14ac:dyDescent="0.25">
      <c r="A715" s="68" t="s">
        <v>3983</v>
      </c>
      <c r="B715" s="68" t="s">
        <v>2349</v>
      </c>
      <c r="C715" s="68" t="s">
        <v>2985</v>
      </c>
      <c r="D715" s="68" t="s">
        <v>2809</v>
      </c>
      <c r="E715" s="68" t="s">
        <v>3046</v>
      </c>
      <c r="F715" s="68" t="s">
        <v>3629</v>
      </c>
      <c r="G715" s="68" t="s">
        <v>3048</v>
      </c>
      <c r="H715" s="68" t="s">
        <v>3058</v>
      </c>
      <c r="I715" s="68" t="s">
        <v>3050</v>
      </c>
      <c r="J715" s="68" t="s">
        <v>3125</v>
      </c>
      <c r="K715" s="69" t="s">
        <v>3125</v>
      </c>
      <c r="L715" s="69" t="str">
        <f>VLOOKUP(LinkTable6789[[#This Row],[Coluna1]],[4]AlarmCatalog!$A:$M,11,FALSE)</f>
        <v>Severidade 8</v>
      </c>
    </row>
    <row r="716" spans="1:12" s="67" customFormat="1" ht="16.5" customHeight="1" x14ac:dyDescent="0.25">
      <c r="A716" s="68" t="s">
        <v>3984</v>
      </c>
      <c r="B716" s="68" t="s">
        <v>2349</v>
      </c>
      <c r="C716" s="68" t="s">
        <v>3374</v>
      </c>
      <c r="D716" s="68" t="s">
        <v>2990</v>
      </c>
      <c r="E716" s="68" t="s">
        <v>3053</v>
      </c>
      <c r="F716" s="68" t="s">
        <v>3047</v>
      </c>
      <c r="G716" s="68" t="s">
        <v>3048</v>
      </c>
      <c r="H716" s="68" t="s">
        <v>3075</v>
      </c>
      <c r="I716" s="68" t="s">
        <v>3050</v>
      </c>
      <c r="J716" s="68" t="s">
        <v>3160</v>
      </c>
      <c r="K716" s="69" t="s">
        <v>3160</v>
      </c>
      <c r="L716" s="69" t="str">
        <f>VLOOKUP(LinkTable6789[[#This Row],[Coluna1]],[4]AlarmCatalog!$A:$M,11,FALSE)</f>
        <v>Severidade 8</v>
      </c>
    </row>
    <row r="717" spans="1:12" s="67" customFormat="1" ht="16.5" customHeight="1" x14ac:dyDescent="0.25">
      <c r="A717" s="68" t="s">
        <v>3985</v>
      </c>
      <c r="B717" s="68" t="s">
        <v>2349</v>
      </c>
      <c r="C717" s="68" t="s">
        <v>3103</v>
      </c>
      <c r="D717" s="68" t="s">
        <v>2809</v>
      </c>
      <c r="E717" s="68" t="s">
        <v>3053</v>
      </c>
      <c r="F717" s="68" t="s">
        <v>3145</v>
      </c>
      <c r="G717" s="68" t="s">
        <v>3048</v>
      </c>
      <c r="H717" s="68" t="s">
        <v>3075</v>
      </c>
      <c r="I717" s="68" t="s">
        <v>3050</v>
      </c>
      <c r="J717" s="68" t="s">
        <v>3125</v>
      </c>
      <c r="K717" s="69" t="s">
        <v>3125</v>
      </c>
      <c r="L717" s="69" t="str">
        <f>VLOOKUP(LinkTable6789[[#This Row],[Coluna1]],[4]AlarmCatalog!$A:$M,11,FALSE)</f>
        <v>Severidade 8</v>
      </c>
    </row>
    <row r="718" spans="1:12" s="67" customFormat="1" ht="16.5" customHeight="1" x14ac:dyDescent="0.25">
      <c r="A718" s="68" t="s">
        <v>3986</v>
      </c>
      <c r="B718" s="68" t="s">
        <v>2349</v>
      </c>
      <c r="C718" s="68" t="s">
        <v>2992</v>
      </c>
      <c r="D718" s="68" t="s">
        <v>2809</v>
      </c>
      <c r="E718" s="68" t="s">
        <v>3046</v>
      </c>
      <c r="F718" s="68" t="s">
        <v>3047</v>
      </c>
      <c r="G718" s="68" t="s">
        <v>3048</v>
      </c>
      <c r="H718" s="68" t="s">
        <v>3058</v>
      </c>
      <c r="I718" s="68" t="s">
        <v>3050</v>
      </c>
      <c r="J718" s="68" t="s">
        <v>3297</v>
      </c>
      <c r="K718" s="69" t="s">
        <v>3297</v>
      </c>
      <c r="L718" s="69" t="str">
        <f>VLOOKUP(LinkTable6789[[#This Row],[Coluna1]],[4]AlarmCatalog!$A:$M,11,FALSE)</f>
        <v>Severidade 4</v>
      </c>
    </row>
    <row r="719" spans="1:12" s="67" customFormat="1" ht="16.5" customHeight="1" x14ac:dyDescent="0.25">
      <c r="A719" s="68" t="s">
        <v>3987</v>
      </c>
      <c r="B719" s="68" t="s">
        <v>2349</v>
      </c>
      <c r="C719" s="68" t="s">
        <v>2986</v>
      </c>
      <c r="D719" s="68" t="s">
        <v>2809</v>
      </c>
      <c r="E719" s="68" t="s">
        <v>3053</v>
      </c>
      <c r="F719" s="68" t="s">
        <v>3047</v>
      </c>
      <c r="G719" s="68" t="s">
        <v>3057</v>
      </c>
      <c r="H719" s="68" t="s">
        <v>3058</v>
      </c>
      <c r="I719" s="68" t="s">
        <v>3050</v>
      </c>
      <c r="J719" s="68" t="s">
        <v>3741</v>
      </c>
      <c r="K719" s="69" t="s">
        <v>3741</v>
      </c>
      <c r="L719" s="69" t="str">
        <f>VLOOKUP(LinkTable6789[[#This Row],[Coluna1]],[4]AlarmCatalog!$A:$M,11,FALSE)</f>
        <v>Severidade 7</v>
      </c>
    </row>
    <row r="720" spans="1:12" s="67" customFormat="1" ht="16.5" customHeight="1" x14ac:dyDescent="0.25">
      <c r="A720" s="68" t="s">
        <v>3988</v>
      </c>
      <c r="B720" s="68" t="s">
        <v>2349</v>
      </c>
      <c r="C720" s="68" t="s">
        <v>2989</v>
      </c>
      <c r="D720" s="68" t="s">
        <v>2809</v>
      </c>
      <c r="E720" s="68" t="s">
        <v>3046</v>
      </c>
      <c r="F720" s="68" t="s">
        <v>3047</v>
      </c>
      <c r="G720" s="68" t="s">
        <v>3048</v>
      </c>
      <c r="H720" s="68" t="s">
        <v>3058</v>
      </c>
      <c r="I720" s="68" t="s">
        <v>3050</v>
      </c>
      <c r="J720" s="68" t="s">
        <v>3160</v>
      </c>
      <c r="K720" s="69" t="s">
        <v>3160</v>
      </c>
      <c r="L720" s="69" t="str">
        <f>VLOOKUP(LinkTable6789[[#This Row],[Coluna1]],[4]AlarmCatalog!$A:$M,11,FALSE)</f>
        <v>Severidade 8</v>
      </c>
    </row>
    <row r="721" spans="1:12" s="67" customFormat="1" ht="16.5" customHeight="1" x14ac:dyDescent="0.25">
      <c r="A721" s="68" t="s">
        <v>3989</v>
      </c>
      <c r="B721" s="68" t="s">
        <v>2349</v>
      </c>
      <c r="C721" s="68" t="s">
        <v>2985</v>
      </c>
      <c r="D721" s="68" t="s">
        <v>2809</v>
      </c>
      <c r="E721" s="68" t="s">
        <v>3046</v>
      </c>
      <c r="F721" s="68" t="s">
        <v>3047</v>
      </c>
      <c r="G721" s="68" t="s">
        <v>3048</v>
      </c>
      <c r="H721" s="68" t="s">
        <v>3058</v>
      </c>
      <c r="I721" s="68" t="s">
        <v>3050</v>
      </c>
      <c r="J721" s="68" t="s">
        <v>3160</v>
      </c>
      <c r="K721" s="69" t="s">
        <v>3160</v>
      </c>
      <c r="L721" s="69" t="str">
        <f>VLOOKUP(LinkTable6789[[#This Row],[Coluna1]],[4]AlarmCatalog!$A:$M,11,FALSE)</f>
        <v>Severidade 8</v>
      </c>
    </row>
    <row r="722" spans="1:12" s="67" customFormat="1" ht="16.5" customHeight="1" x14ac:dyDescent="0.25">
      <c r="A722" s="68" t="s">
        <v>3990</v>
      </c>
      <c r="B722" s="68" t="s">
        <v>2349</v>
      </c>
      <c r="C722" s="68" t="s">
        <v>3862</v>
      </c>
      <c r="D722" s="68" t="s">
        <v>2990</v>
      </c>
      <c r="E722" s="68" t="s">
        <v>3053</v>
      </c>
      <c r="F722" s="68" t="s">
        <v>3047</v>
      </c>
      <c r="G722" s="68" t="s">
        <v>3048</v>
      </c>
      <c r="H722" s="68" t="s">
        <v>3058</v>
      </c>
      <c r="I722" s="68" t="s">
        <v>3050</v>
      </c>
      <c r="J722" s="68" t="s">
        <v>3160</v>
      </c>
      <c r="K722" s="69" t="s">
        <v>3160</v>
      </c>
      <c r="L722" s="69" t="str">
        <f>VLOOKUP(LinkTable6789[[#This Row],[Coluna1]],[4]AlarmCatalog!$A:$M,11,FALSE)</f>
        <v>Severidade 8</v>
      </c>
    </row>
    <row r="723" spans="1:12" s="67" customFormat="1" ht="16.5" customHeight="1" x14ac:dyDescent="0.25">
      <c r="A723" s="68" t="s">
        <v>3991</v>
      </c>
      <c r="B723" s="68" t="s">
        <v>2349</v>
      </c>
      <c r="C723" s="68" t="s">
        <v>2987</v>
      </c>
      <c r="D723" s="68" t="s">
        <v>2809</v>
      </c>
      <c r="E723" s="68" t="s">
        <v>3053</v>
      </c>
      <c r="F723" s="68" t="s">
        <v>3047</v>
      </c>
      <c r="G723" s="68" t="s">
        <v>3048</v>
      </c>
      <c r="H723" s="68" t="s">
        <v>3058</v>
      </c>
      <c r="I723" s="68" t="s">
        <v>3050</v>
      </c>
      <c r="J723" s="68" t="s">
        <v>3297</v>
      </c>
      <c r="K723" s="69" t="s">
        <v>3297</v>
      </c>
      <c r="L723" s="69" t="str">
        <f>VLOOKUP(LinkTable6789[[#This Row],[Coluna1]],[4]AlarmCatalog!$A:$M,11,FALSE)</f>
        <v>Severidade 4</v>
      </c>
    </row>
    <row r="724" spans="1:12" s="67" customFormat="1" ht="16.5" customHeight="1" x14ac:dyDescent="0.25">
      <c r="A724" s="68" t="s">
        <v>3992</v>
      </c>
      <c r="B724" s="68" t="s">
        <v>2349</v>
      </c>
      <c r="C724" s="68" t="s">
        <v>2985</v>
      </c>
      <c r="D724" s="68" t="s">
        <v>2809</v>
      </c>
      <c r="E724" s="68" t="s">
        <v>3046</v>
      </c>
      <c r="F724" s="68" t="s">
        <v>3629</v>
      </c>
      <c r="G724" s="68" t="s">
        <v>3048</v>
      </c>
      <c r="H724" s="68" t="s">
        <v>3058</v>
      </c>
      <c r="I724" s="68" t="s">
        <v>3050</v>
      </c>
      <c r="J724" s="68" t="s">
        <v>3993</v>
      </c>
      <c r="K724" s="69" t="s">
        <v>3993</v>
      </c>
      <c r="L724" s="69" t="str">
        <f>VLOOKUP(LinkTable6789[[#This Row],[Coluna1]],[4]AlarmCatalog!$A:$M,11,FALSE)</f>
        <v>Severidade 8</v>
      </c>
    </row>
    <row r="725" spans="1:12" s="67" customFormat="1" ht="16.5" customHeight="1" x14ac:dyDescent="0.25">
      <c r="A725" s="68" t="s">
        <v>3994</v>
      </c>
      <c r="B725" s="68" t="s">
        <v>2349</v>
      </c>
      <c r="C725" s="68" t="s">
        <v>3584</v>
      </c>
      <c r="D725" s="68" t="s">
        <v>2809</v>
      </c>
      <c r="E725" s="68" t="s">
        <v>2809</v>
      </c>
      <c r="F725" s="68" t="s">
        <v>3585</v>
      </c>
      <c r="G725" s="68" t="s">
        <v>3586</v>
      </c>
      <c r="H725" s="68" t="s">
        <v>3068</v>
      </c>
      <c r="I725" s="68" t="s">
        <v>3050</v>
      </c>
      <c r="J725" s="68" t="s">
        <v>3125</v>
      </c>
      <c r="K725" s="69" t="s">
        <v>3125</v>
      </c>
      <c r="L725" s="69" t="str">
        <f>VLOOKUP(LinkTable6789[[#This Row],[Coluna1]],[4]AlarmCatalog!$A:$M,11,FALSE)</f>
        <v>Severidade 8</v>
      </c>
    </row>
    <row r="726" spans="1:12" s="67" customFormat="1" ht="16.5" customHeight="1" x14ac:dyDescent="0.25">
      <c r="A726" s="68" t="s">
        <v>3995</v>
      </c>
      <c r="B726" s="68" t="s">
        <v>2349</v>
      </c>
      <c r="C726" s="68" t="s">
        <v>3996</v>
      </c>
      <c r="D726" s="68" t="s">
        <v>2809</v>
      </c>
      <c r="E726" s="68" t="s">
        <v>3046</v>
      </c>
      <c r="F726" s="68" t="s">
        <v>3047</v>
      </c>
      <c r="G726" s="68" t="s">
        <v>3048</v>
      </c>
      <c r="H726" s="68" t="s">
        <v>3058</v>
      </c>
      <c r="I726" s="68" t="s">
        <v>3050</v>
      </c>
      <c r="J726" s="68" t="s">
        <v>3160</v>
      </c>
      <c r="K726" s="69" t="s">
        <v>3160</v>
      </c>
      <c r="L726" s="69" t="str">
        <f>VLOOKUP(LinkTable6789[[#This Row],[Coluna1]],[4]AlarmCatalog!$A:$M,11,FALSE)</f>
        <v>Severidade 8</v>
      </c>
    </row>
    <row r="727" spans="1:12" s="67" customFormat="1" ht="16.5" customHeight="1" x14ac:dyDescent="0.25">
      <c r="A727" s="68" t="s">
        <v>3997</v>
      </c>
      <c r="B727" s="68" t="s">
        <v>2349</v>
      </c>
      <c r="C727" s="68" t="s">
        <v>3103</v>
      </c>
      <c r="D727" s="68" t="s">
        <v>2809</v>
      </c>
      <c r="E727" s="68" t="s">
        <v>2809</v>
      </c>
      <c r="F727" s="68" t="s">
        <v>3047</v>
      </c>
      <c r="G727" s="68" t="s">
        <v>3048</v>
      </c>
      <c r="H727" s="68" t="s">
        <v>3058</v>
      </c>
      <c r="I727" s="68" t="s">
        <v>3050</v>
      </c>
      <c r="J727" s="68" t="s">
        <v>3160</v>
      </c>
      <c r="K727" s="69" t="s">
        <v>3160</v>
      </c>
      <c r="L727" s="69" t="str">
        <f>VLOOKUP(LinkTable6789[[#This Row],[Coluna1]],[4]AlarmCatalog!$A:$M,11,FALSE)</f>
        <v>Severidade 8</v>
      </c>
    </row>
    <row r="728" spans="1:12" s="67" customFormat="1" ht="16.5" customHeight="1" x14ac:dyDescent="0.25">
      <c r="A728" s="68" t="s">
        <v>3998</v>
      </c>
      <c r="B728" s="68" t="s">
        <v>2349</v>
      </c>
      <c r="C728" s="68" t="s">
        <v>3996</v>
      </c>
      <c r="D728" s="68" t="s">
        <v>2809</v>
      </c>
      <c r="E728" s="68" t="s">
        <v>3053</v>
      </c>
      <c r="F728" s="68" t="s">
        <v>3047</v>
      </c>
      <c r="G728" s="68" t="s">
        <v>3048</v>
      </c>
      <c r="H728" s="68" t="s">
        <v>3058</v>
      </c>
      <c r="I728" s="68" t="s">
        <v>3050</v>
      </c>
      <c r="J728" s="68" t="s">
        <v>3160</v>
      </c>
      <c r="K728" s="69" t="s">
        <v>3160</v>
      </c>
      <c r="L728" s="69" t="str">
        <f>VLOOKUP(LinkTable6789[[#This Row],[Coluna1]],[4]AlarmCatalog!$A:$M,11,FALSE)</f>
        <v>Severidade 8</v>
      </c>
    </row>
    <row r="729" spans="1:12" s="67" customFormat="1" ht="16.5" customHeight="1" x14ac:dyDescent="0.25">
      <c r="A729" s="68" t="s">
        <v>3999</v>
      </c>
      <c r="B729" s="68" t="s">
        <v>2349</v>
      </c>
      <c r="C729" s="68" t="s">
        <v>3935</v>
      </c>
      <c r="D729" s="68" t="s">
        <v>2809</v>
      </c>
      <c r="E729" s="68" t="s">
        <v>3053</v>
      </c>
      <c r="F729" s="68" t="s">
        <v>3047</v>
      </c>
      <c r="G729" s="68" t="s">
        <v>3048</v>
      </c>
      <c r="H729" s="68" t="s">
        <v>3058</v>
      </c>
      <c r="I729" s="68" t="s">
        <v>3050</v>
      </c>
      <c r="J729" s="68" t="s">
        <v>3602</v>
      </c>
      <c r="K729" s="69" t="s">
        <v>3602</v>
      </c>
      <c r="L729" s="69" t="str">
        <f>VLOOKUP(LinkTable6789[[#This Row],[Coluna1]],[4]AlarmCatalog!$A:$M,11,FALSE)</f>
        <v>Severidade 5</v>
      </c>
    </row>
    <row r="730" spans="1:12" s="67" customFormat="1" ht="16.5" customHeight="1" x14ac:dyDescent="0.25">
      <c r="A730" s="68" t="s">
        <v>4000</v>
      </c>
      <c r="B730" s="68" t="s">
        <v>2349</v>
      </c>
      <c r="C730" s="68" t="s">
        <v>3960</v>
      </c>
      <c r="D730" s="68" t="s">
        <v>2809</v>
      </c>
      <c r="E730" s="68" t="s">
        <v>2990</v>
      </c>
      <c r="F730" s="68" t="s">
        <v>3887</v>
      </c>
      <c r="G730" s="68" t="s">
        <v>4001</v>
      </c>
      <c r="H730" s="68" t="s">
        <v>3077</v>
      </c>
      <c r="I730" s="68" t="s">
        <v>3124</v>
      </c>
      <c r="J730" s="68" t="s">
        <v>3160</v>
      </c>
      <c r="K730" s="69" t="s">
        <v>3160</v>
      </c>
      <c r="L730" s="69" t="str">
        <f>VLOOKUP(LinkTable6789[[#This Row],[Coluna1]],[4]AlarmCatalog!$A:$M,11,FALSE)</f>
        <v>Severidade 8</v>
      </c>
    </row>
    <row r="731" spans="1:12" s="67" customFormat="1" ht="16.5" customHeight="1" x14ac:dyDescent="0.25">
      <c r="A731" s="68" t="s">
        <v>36</v>
      </c>
      <c r="B731" s="68" t="s">
        <v>2349</v>
      </c>
      <c r="C731" s="68" t="s">
        <v>2986</v>
      </c>
      <c r="D731" s="68" t="s">
        <v>2809</v>
      </c>
      <c r="E731" s="68" t="s">
        <v>3053</v>
      </c>
      <c r="F731" s="68" t="s">
        <v>3047</v>
      </c>
      <c r="G731" s="68" t="s">
        <v>3057</v>
      </c>
      <c r="H731" s="68" t="s">
        <v>3058</v>
      </c>
      <c r="I731" s="68" t="s">
        <v>3050</v>
      </c>
      <c r="J731" s="68" t="s">
        <v>3160</v>
      </c>
      <c r="K731" s="69" t="s">
        <v>3160</v>
      </c>
      <c r="L731" s="69" t="str">
        <f>VLOOKUP(LinkTable6789[[#This Row],[Coluna1]],[4]AlarmCatalog!$A:$M,11,FALSE)</f>
        <v>Severidade 8</v>
      </c>
    </row>
    <row r="732" spans="1:12" s="67" customFormat="1" ht="16.5" customHeight="1" x14ac:dyDescent="0.25">
      <c r="A732" s="68" t="s">
        <v>1238</v>
      </c>
      <c r="B732" s="68" t="s">
        <v>2349</v>
      </c>
      <c r="C732" s="68" t="s">
        <v>2987</v>
      </c>
      <c r="D732" s="68" t="s">
        <v>2809</v>
      </c>
      <c r="E732" s="68" t="s">
        <v>3053</v>
      </c>
      <c r="F732" s="68" t="s">
        <v>3047</v>
      </c>
      <c r="G732" s="68" t="s">
        <v>3048</v>
      </c>
      <c r="H732" s="68" t="s">
        <v>3058</v>
      </c>
      <c r="I732" s="68" t="s">
        <v>3050</v>
      </c>
      <c r="J732" s="68" t="s">
        <v>3160</v>
      </c>
      <c r="K732" s="69" t="s">
        <v>3160</v>
      </c>
      <c r="L732" s="69" t="str">
        <f>VLOOKUP(LinkTable6789[[#This Row],[Coluna1]],[4]AlarmCatalog!$A:$M,11,FALSE)</f>
        <v>Severidade 8</v>
      </c>
    </row>
    <row r="733" spans="1:12" s="67" customFormat="1" ht="16.5" customHeight="1" x14ac:dyDescent="0.25">
      <c r="A733" s="68" t="s">
        <v>4002</v>
      </c>
      <c r="B733" s="68" t="s">
        <v>2349</v>
      </c>
      <c r="C733" s="68" t="s">
        <v>3149</v>
      </c>
      <c r="D733" s="68" t="s">
        <v>3053</v>
      </c>
      <c r="E733" s="68" t="s">
        <v>2990</v>
      </c>
      <c r="F733" s="68" t="s">
        <v>3150</v>
      </c>
      <c r="G733" s="68" t="s">
        <v>3190</v>
      </c>
      <c r="H733" s="68" t="s">
        <v>3191</v>
      </c>
      <c r="I733" s="68" t="s">
        <v>3124</v>
      </c>
      <c r="J733" s="68" t="s">
        <v>3160</v>
      </c>
      <c r="K733" s="69" t="s">
        <v>3160</v>
      </c>
      <c r="L733" s="69" t="str">
        <f>VLOOKUP(LinkTable6789[[#This Row],[Coluna1]],[4]AlarmCatalog!$A:$M,11,FALSE)</f>
        <v>Severidade 8</v>
      </c>
    </row>
    <row r="734" spans="1:12" s="67" customFormat="1" ht="16.5" customHeight="1" x14ac:dyDescent="0.25">
      <c r="A734" s="68" t="s">
        <v>4003</v>
      </c>
      <c r="B734" s="68" t="s">
        <v>2349</v>
      </c>
      <c r="C734" s="68" t="s">
        <v>4004</v>
      </c>
      <c r="D734" s="68" t="s">
        <v>2809</v>
      </c>
      <c r="E734" s="68" t="s">
        <v>2809</v>
      </c>
      <c r="F734" s="68" t="s">
        <v>3887</v>
      </c>
      <c r="G734" s="68" t="s">
        <v>4001</v>
      </c>
      <c r="H734" s="68" t="s">
        <v>3695</v>
      </c>
      <c r="I734" s="68" t="s">
        <v>3124</v>
      </c>
      <c r="J734" s="68" t="s">
        <v>3160</v>
      </c>
      <c r="K734" s="69" t="s">
        <v>3160</v>
      </c>
      <c r="L734" s="69" t="str">
        <f>VLOOKUP(LinkTable6789[[#This Row],[Coluna1]],[4]AlarmCatalog!$A:$M,11,FALSE)</f>
        <v>Severidade 8</v>
      </c>
    </row>
    <row r="735" spans="1:12" s="67" customFormat="1" ht="16.5" customHeight="1" x14ac:dyDescent="0.25">
      <c r="A735" s="68" t="s">
        <v>4005</v>
      </c>
      <c r="B735" s="68" t="s">
        <v>2349</v>
      </c>
      <c r="C735" s="68" t="s">
        <v>2985</v>
      </c>
      <c r="D735" s="68" t="s">
        <v>2809</v>
      </c>
      <c r="E735" s="68" t="s">
        <v>3053</v>
      </c>
      <c r="F735" s="68" t="s">
        <v>3629</v>
      </c>
      <c r="G735" s="68" t="s">
        <v>3048</v>
      </c>
      <c r="H735" s="68" t="s">
        <v>3058</v>
      </c>
      <c r="I735" s="68" t="s">
        <v>3050</v>
      </c>
      <c r="J735" s="68" t="s">
        <v>3125</v>
      </c>
      <c r="K735" s="69" t="s">
        <v>3125</v>
      </c>
      <c r="L735" s="69" t="str">
        <f>VLOOKUP(LinkTable6789[[#This Row],[Coluna1]],[4]AlarmCatalog!$A:$M,11,FALSE)</f>
        <v>Severidade 8</v>
      </c>
    </row>
    <row r="736" spans="1:12" s="67" customFormat="1" ht="16.5" customHeight="1" x14ac:dyDescent="0.25">
      <c r="A736" s="68" t="s">
        <v>4006</v>
      </c>
      <c r="B736" s="68" t="s">
        <v>2349</v>
      </c>
      <c r="C736" s="68" t="s">
        <v>4007</v>
      </c>
      <c r="D736" s="68" t="s">
        <v>2809</v>
      </c>
      <c r="E736" s="68" t="s">
        <v>3053</v>
      </c>
      <c r="F736" s="68" t="s">
        <v>3047</v>
      </c>
      <c r="G736" s="68" t="s">
        <v>3048</v>
      </c>
      <c r="H736" s="68" t="s">
        <v>3058</v>
      </c>
      <c r="I736" s="68" t="s">
        <v>3050</v>
      </c>
      <c r="J736" s="68" t="s">
        <v>3297</v>
      </c>
      <c r="K736" s="69" t="s">
        <v>3297</v>
      </c>
      <c r="L736" s="69" t="str">
        <f>VLOOKUP(LinkTable6789[[#This Row],[Coluna1]],[4]AlarmCatalog!$A:$M,11,FALSE)</f>
        <v>Severidade 4</v>
      </c>
    </row>
    <row r="737" spans="1:12" s="67" customFormat="1" ht="16.5" customHeight="1" x14ac:dyDescent="0.25">
      <c r="A737" s="68" t="s">
        <v>4008</v>
      </c>
      <c r="B737" s="68" t="s">
        <v>2349</v>
      </c>
      <c r="C737" s="68" t="s">
        <v>3862</v>
      </c>
      <c r="D737" s="68" t="s">
        <v>2990</v>
      </c>
      <c r="E737" s="68" t="s">
        <v>3053</v>
      </c>
      <c r="F737" s="68" t="s">
        <v>3629</v>
      </c>
      <c r="G737" s="68" t="s">
        <v>3048</v>
      </c>
      <c r="H737" s="68" t="s">
        <v>3058</v>
      </c>
      <c r="I737" s="68" t="s">
        <v>3050</v>
      </c>
      <c r="J737" s="68" t="s">
        <v>3125</v>
      </c>
      <c r="K737" s="69" t="s">
        <v>3125</v>
      </c>
      <c r="L737" s="69" t="str">
        <f>VLOOKUP(LinkTable6789[[#This Row],[Coluna1]],[4]AlarmCatalog!$A:$M,11,FALSE)</f>
        <v>Severidade 8</v>
      </c>
    </row>
    <row r="738" spans="1:12" s="67" customFormat="1" ht="16.5" customHeight="1" x14ac:dyDescent="0.25">
      <c r="A738" s="68" t="s">
        <v>4009</v>
      </c>
      <c r="B738" s="68" t="s">
        <v>2349</v>
      </c>
      <c r="C738" s="68" t="s">
        <v>4010</v>
      </c>
      <c r="D738" s="68" t="s">
        <v>2809</v>
      </c>
      <c r="E738" s="68" t="s">
        <v>3053</v>
      </c>
      <c r="F738" s="68" t="s">
        <v>4011</v>
      </c>
      <c r="G738" s="68" t="s">
        <v>4012</v>
      </c>
      <c r="H738" s="68" t="s">
        <v>3249</v>
      </c>
      <c r="I738" s="68" t="s">
        <v>3050</v>
      </c>
      <c r="J738" s="68" t="s">
        <v>3125</v>
      </c>
      <c r="K738" s="69" t="s">
        <v>3125</v>
      </c>
      <c r="L738" s="69" t="str">
        <f>VLOOKUP(LinkTable6789[[#This Row],[Coluna1]],[4]AlarmCatalog!$A:$M,11,FALSE)</f>
        <v>Severidade 8</v>
      </c>
    </row>
    <row r="739" spans="1:12" s="67" customFormat="1" ht="16.5" customHeight="1" x14ac:dyDescent="0.25">
      <c r="A739" s="68" t="s">
        <v>466</v>
      </c>
      <c r="B739" s="68" t="s">
        <v>2349</v>
      </c>
      <c r="C739" s="68" t="s">
        <v>2985</v>
      </c>
      <c r="D739" s="68" t="s">
        <v>2809</v>
      </c>
      <c r="E739" s="68" t="s">
        <v>3053</v>
      </c>
      <c r="F739" s="68" t="s">
        <v>3131</v>
      </c>
      <c r="G739" s="68" t="s">
        <v>3048</v>
      </c>
      <c r="H739" s="68" t="s">
        <v>3058</v>
      </c>
      <c r="I739" s="68" t="s">
        <v>3050</v>
      </c>
      <c r="J739" s="68" t="s">
        <v>3125</v>
      </c>
      <c r="K739" s="69" t="s">
        <v>3125</v>
      </c>
      <c r="L739" s="69" t="str">
        <f>VLOOKUP(LinkTable6789[[#This Row],[Coluna1]],[4]AlarmCatalog!$A:$M,11,FALSE)</f>
        <v>Severidade 8</v>
      </c>
    </row>
    <row r="740" spans="1:12" s="67" customFormat="1" ht="16.5" customHeight="1" x14ac:dyDescent="0.25">
      <c r="A740" s="68" t="s">
        <v>463</v>
      </c>
      <c r="B740" s="68" t="s">
        <v>2349</v>
      </c>
      <c r="C740" s="68" t="s">
        <v>2985</v>
      </c>
      <c r="D740" s="68" t="s">
        <v>2809</v>
      </c>
      <c r="E740" s="68" t="s">
        <v>3053</v>
      </c>
      <c r="F740" s="68" t="s">
        <v>3153</v>
      </c>
      <c r="G740" s="68" t="s">
        <v>3048</v>
      </c>
      <c r="H740" s="68" t="s">
        <v>3058</v>
      </c>
      <c r="I740" s="68" t="s">
        <v>3124</v>
      </c>
      <c r="J740" s="68" t="s">
        <v>3125</v>
      </c>
      <c r="K740" s="69" t="s">
        <v>3125</v>
      </c>
      <c r="L740" s="69" t="str">
        <f>VLOOKUP(LinkTable6789[[#This Row],[Coluna1]],[4]AlarmCatalog!$A:$M,11,FALSE)</f>
        <v>Severidade 8</v>
      </c>
    </row>
    <row r="741" spans="1:12" s="67" customFormat="1" ht="16.5" customHeight="1" x14ac:dyDescent="0.25">
      <c r="A741" s="68" t="s">
        <v>4013</v>
      </c>
      <c r="B741" s="68" t="s">
        <v>2349</v>
      </c>
      <c r="C741" s="68" t="s">
        <v>3374</v>
      </c>
      <c r="D741" s="68" t="s">
        <v>2809</v>
      </c>
      <c r="E741" s="68" t="s">
        <v>3046</v>
      </c>
      <c r="F741" s="68" t="s">
        <v>3047</v>
      </c>
      <c r="G741" s="68" t="s">
        <v>3048</v>
      </c>
      <c r="H741" s="68" t="s">
        <v>3058</v>
      </c>
      <c r="I741" s="68" t="s">
        <v>3050</v>
      </c>
      <c r="J741" s="68" t="s">
        <v>3160</v>
      </c>
      <c r="K741" s="69" t="s">
        <v>3160</v>
      </c>
      <c r="L741" s="69" t="str">
        <f>VLOOKUP(LinkTable6789[[#This Row],[Coluna1]],[4]AlarmCatalog!$A:$M,11,FALSE)</f>
        <v>Severidade 8</v>
      </c>
    </row>
    <row r="742" spans="1:12" s="67" customFormat="1" ht="16.5" customHeight="1" x14ac:dyDescent="0.25">
      <c r="A742" s="68" t="s">
        <v>4014</v>
      </c>
      <c r="B742" s="68" t="s">
        <v>2349</v>
      </c>
      <c r="C742" s="68" t="s">
        <v>4015</v>
      </c>
      <c r="D742" s="68" t="s">
        <v>2809</v>
      </c>
      <c r="E742" s="68" t="s">
        <v>2809</v>
      </c>
      <c r="F742" s="68" t="s">
        <v>4016</v>
      </c>
      <c r="G742" s="68" t="s">
        <v>4017</v>
      </c>
      <c r="H742" s="68" t="s">
        <v>3123</v>
      </c>
      <c r="I742" s="68" t="s">
        <v>3124</v>
      </c>
      <c r="J742" s="68" t="s">
        <v>3125</v>
      </c>
      <c r="K742" s="69" t="s">
        <v>3125</v>
      </c>
      <c r="L742" s="69" t="str">
        <f>VLOOKUP(LinkTable6789[[#This Row],[Coluna1]],[4]AlarmCatalog!$A:$M,11,FALSE)</f>
        <v>Severidade 8</v>
      </c>
    </row>
    <row r="743" spans="1:12" s="67" customFormat="1" ht="16.5" customHeight="1" x14ac:dyDescent="0.25">
      <c r="A743" s="68" t="s">
        <v>4018</v>
      </c>
      <c r="B743" s="68" t="s">
        <v>2349</v>
      </c>
      <c r="C743" s="68" t="s">
        <v>3047</v>
      </c>
      <c r="D743" s="68" t="s">
        <v>2809</v>
      </c>
      <c r="E743" s="68" t="s">
        <v>3961</v>
      </c>
      <c r="F743" s="68" t="s">
        <v>3149</v>
      </c>
      <c r="G743" s="68" t="s">
        <v>4017</v>
      </c>
      <c r="H743" s="68" t="s">
        <v>3123</v>
      </c>
      <c r="I743" s="68" t="s">
        <v>3124</v>
      </c>
      <c r="J743" s="68" t="s">
        <v>3125</v>
      </c>
      <c r="K743" s="69" t="s">
        <v>3125</v>
      </c>
      <c r="L743" s="69" t="str">
        <f>VLOOKUP(LinkTable6789[[#This Row],[Coluna1]],[4]AlarmCatalog!$A:$M,11,FALSE)</f>
        <v>Severidade 8</v>
      </c>
    </row>
    <row r="744" spans="1:12" s="67" customFormat="1" ht="16.5" customHeight="1" x14ac:dyDescent="0.25">
      <c r="A744" s="68" t="s">
        <v>4019</v>
      </c>
      <c r="B744" s="68" t="s">
        <v>2349</v>
      </c>
      <c r="C744" s="68" t="s">
        <v>3448</v>
      </c>
      <c r="D744" s="68" t="s">
        <v>2809</v>
      </c>
      <c r="E744" s="68" t="s">
        <v>3046</v>
      </c>
      <c r="F744" s="68" t="s">
        <v>3047</v>
      </c>
      <c r="G744" s="68" t="s">
        <v>3048</v>
      </c>
      <c r="H744" s="68" t="s">
        <v>3058</v>
      </c>
      <c r="I744" s="68" t="s">
        <v>3050</v>
      </c>
      <c r="J744" s="68" t="s">
        <v>3160</v>
      </c>
      <c r="K744" s="69" t="s">
        <v>3160</v>
      </c>
      <c r="L744" s="69" t="str">
        <f>VLOOKUP(LinkTable6789[[#This Row],[Coluna1]],[4]AlarmCatalog!$A:$M,11,FALSE)</f>
        <v>Severidade 8</v>
      </c>
    </row>
    <row r="745" spans="1:12" s="67" customFormat="1" ht="16.5" customHeight="1" x14ac:dyDescent="0.25">
      <c r="A745" s="68" t="s">
        <v>4020</v>
      </c>
      <c r="B745" s="68" t="s">
        <v>2349</v>
      </c>
      <c r="C745" s="68" t="s">
        <v>3566</v>
      </c>
      <c r="D745" s="68" t="s">
        <v>2809</v>
      </c>
      <c r="E745" s="68" t="s">
        <v>3053</v>
      </c>
      <c r="F745" s="68" t="s">
        <v>3047</v>
      </c>
      <c r="G745" s="68" t="s">
        <v>3048</v>
      </c>
      <c r="H745" s="68" t="s">
        <v>3058</v>
      </c>
      <c r="I745" s="68" t="s">
        <v>3050</v>
      </c>
      <c r="J745" s="68" t="s">
        <v>3160</v>
      </c>
      <c r="K745" s="69" t="s">
        <v>3160</v>
      </c>
      <c r="L745" s="69" t="str">
        <f>VLOOKUP(LinkTable6789[[#This Row],[Coluna1]],[4]AlarmCatalog!$A:$M,11,FALSE)</f>
        <v>Severidade 8</v>
      </c>
    </row>
    <row r="746" spans="1:12" s="67" customFormat="1" ht="16.5" customHeight="1" x14ac:dyDescent="0.25">
      <c r="A746" s="68" t="s">
        <v>4021</v>
      </c>
      <c r="B746" s="68" t="s">
        <v>2349</v>
      </c>
      <c r="C746" s="68" t="s">
        <v>4022</v>
      </c>
      <c r="D746" s="68" t="s">
        <v>2809</v>
      </c>
      <c r="E746" s="68" t="s">
        <v>3053</v>
      </c>
      <c r="F746" s="68" t="s">
        <v>3047</v>
      </c>
      <c r="G746" s="68" t="s">
        <v>3048</v>
      </c>
      <c r="H746" s="68" t="s">
        <v>3058</v>
      </c>
      <c r="I746" s="68" t="s">
        <v>3050</v>
      </c>
      <c r="J746" s="68" t="s">
        <v>3439</v>
      </c>
      <c r="K746" s="69" t="s">
        <v>3439</v>
      </c>
      <c r="L746" s="69" t="str">
        <f>VLOOKUP(LinkTable6789[[#This Row],[Coluna1]],[4]AlarmCatalog!$A:$M,11,FALSE)</f>
        <v>Severidade 4</v>
      </c>
    </row>
    <row r="747" spans="1:12" s="67" customFormat="1" ht="16.5" customHeight="1" x14ac:dyDescent="0.25">
      <c r="A747" s="68" t="s">
        <v>1212</v>
      </c>
      <c r="B747" s="68" t="s">
        <v>2349</v>
      </c>
      <c r="C747" s="68" t="s">
        <v>3817</v>
      </c>
      <c r="D747" s="68" t="s">
        <v>2809</v>
      </c>
      <c r="E747" s="68" t="s">
        <v>3053</v>
      </c>
      <c r="F747" s="68" t="s">
        <v>3047</v>
      </c>
      <c r="G747" s="68" t="s">
        <v>3048</v>
      </c>
      <c r="H747" s="68" t="s">
        <v>3058</v>
      </c>
      <c r="I747" s="68" t="s">
        <v>3050</v>
      </c>
      <c r="J747" s="68" t="s">
        <v>3160</v>
      </c>
      <c r="K747" s="69" t="s">
        <v>3160</v>
      </c>
      <c r="L747" s="69" t="str">
        <f>VLOOKUP(LinkTable6789[[#This Row],[Coluna1]],[4]AlarmCatalog!$A:$M,11,FALSE)</f>
        <v>Severidade 8</v>
      </c>
    </row>
    <row r="748" spans="1:12" s="67" customFormat="1" ht="16.5" customHeight="1" x14ac:dyDescent="0.25">
      <c r="A748" s="68" t="s">
        <v>4023</v>
      </c>
      <c r="B748" s="68" t="s">
        <v>2349</v>
      </c>
      <c r="C748" s="68" t="s">
        <v>2985</v>
      </c>
      <c r="D748" s="68" t="s">
        <v>2809</v>
      </c>
      <c r="E748" s="68" t="s">
        <v>3053</v>
      </c>
      <c r="F748" s="68" t="s">
        <v>3047</v>
      </c>
      <c r="G748" s="68" t="s">
        <v>3048</v>
      </c>
      <c r="H748" s="68" t="s">
        <v>3058</v>
      </c>
      <c r="I748" s="68" t="s">
        <v>3050</v>
      </c>
      <c r="J748" s="68" t="s">
        <v>3160</v>
      </c>
      <c r="K748" s="69" t="s">
        <v>3160</v>
      </c>
      <c r="L748" s="69" t="str">
        <f>VLOOKUP(LinkTable6789[[#This Row],[Coluna1]],[4]AlarmCatalog!$A:$M,11,FALSE)</f>
        <v>Severidade 8</v>
      </c>
    </row>
    <row r="749" spans="1:12" s="67" customFormat="1" ht="16.5" customHeight="1" x14ac:dyDescent="0.25">
      <c r="A749" s="68" t="s">
        <v>4024</v>
      </c>
      <c r="B749" s="68" t="s">
        <v>2349</v>
      </c>
      <c r="C749" s="68" t="s">
        <v>2986</v>
      </c>
      <c r="D749" s="68" t="s">
        <v>2809</v>
      </c>
      <c r="E749" s="68" t="s">
        <v>3046</v>
      </c>
      <c r="F749" s="68" t="s">
        <v>3047</v>
      </c>
      <c r="G749" s="68" t="s">
        <v>3057</v>
      </c>
      <c r="H749" s="68" t="s">
        <v>3058</v>
      </c>
      <c r="I749" s="68" t="s">
        <v>3050</v>
      </c>
      <c r="J749" s="68" t="s">
        <v>3160</v>
      </c>
      <c r="K749" s="69" t="s">
        <v>3160</v>
      </c>
      <c r="L749" s="69" t="str">
        <f>VLOOKUP(LinkTable6789[[#This Row],[Coluna1]],[4]AlarmCatalog!$A:$M,11,FALSE)</f>
        <v>Severidade 8</v>
      </c>
    </row>
    <row r="750" spans="1:12" s="67" customFormat="1" ht="16.5" customHeight="1" x14ac:dyDescent="0.25">
      <c r="A750" s="68" t="s">
        <v>4025</v>
      </c>
      <c r="B750" s="68" t="s">
        <v>2349</v>
      </c>
      <c r="C750" s="68" t="s">
        <v>4026</v>
      </c>
      <c r="D750" s="68" t="s">
        <v>2809</v>
      </c>
      <c r="E750" s="68" t="s">
        <v>3053</v>
      </c>
      <c r="F750" s="68" t="s">
        <v>3047</v>
      </c>
      <c r="G750" s="68" t="s">
        <v>3847</v>
      </c>
      <c r="H750" s="68" t="s">
        <v>3068</v>
      </c>
      <c r="I750" s="68" t="s">
        <v>3050</v>
      </c>
      <c r="J750" s="68" t="s">
        <v>3160</v>
      </c>
      <c r="K750" s="69" t="s">
        <v>3160</v>
      </c>
      <c r="L750" s="69" t="str">
        <f>VLOOKUP(LinkTable6789[[#This Row],[Coluna1]],[4]AlarmCatalog!$A:$M,11,FALSE)</f>
        <v>Severidade 8</v>
      </c>
    </row>
    <row r="751" spans="1:12" s="67" customFormat="1" ht="16.5" customHeight="1" x14ac:dyDescent="0.25">
      <c r="A751" s="68" t="s">
        <v>4027</v>
      </c>
      <c r="B751" s="68" t="s">
        <v>2349</v>
      </c>
      <c r="C751" s="68" t="s">
        <v>2986</v>
      </c>
      <c r="D751" s="68" t="s">
        <v>2809</v>
      </c>
      <c r="E751" s="68" t="s">
        <v>3046</v>
      </c>
      <c r="F751" s="68" t="s">
        <v>3047</v>
      </c>
      <c r="G751" s="68" t="s">
        <v>3057</v>
      </c>
      <c r="H751" s="68" t="s">
        <v>3058</v>
      </c>
      <c r="I751" s="68" t="s">
        <v>3050</v>
      </c>
      <c r="J751" s="68" t="s">
        <v>3297</v>
      </c>
      <c r="K751" s="69" t="s">
        <v>3297</v>
      </c>
      <c r="L751" s="69" t="str">
        <f>VLOOKUP(LinkTable6789[[#This Row],[Coluna1]],[4]AlarmCatalog!$A:$M,11,FALSE)</f>
        <v>Severidade 4</v>
      </c>
    </row>
    <row r="752" spans="1:12" s="67" customFormat="1" ht="16.5" customHeight="1" x14ac:dyDescent="0.25">
      <c r="A752" s="68" t="s">
        <v>4028</v>
      </c>
      <c r="B752" s="68" t="s">
        <v>2349</v>
      </c>
      <c r="C752" s="68" t="s">
        <v>2992</v>
      </c>
      <c r="D752" s="68" t="s">
        <v>2809</v>
      </c>
      <c r="E752" s="68" t="s">
        <v>3053</v>
      </c>
      <c r="F752" s="68" t="s">
        <v>3047</v>
      </c>
      <c r="G752" s="68" t="s">
        <v>3048</v>
      </c>
      <c r="H752" s="68" t="s">
        <v>3058</v>
      </c>
      <c r="I752" s="68" t="s">
        <v>3050</v>
      </c>
      <c r="J752" s="68" t="s">
        <v>3297</v>
      </c>
      <c r="K752" s="69" t="s">
        <v>3297</v>
      </c>
      <c r="L752" s="69" t="str">
        <f>VLOOKUP(LinkTable6789[[#This Row],[Coluna1]],[4]AlarmCatalog!$A:$M,11,FALSE)</f>
        <v>Severidade 4</v>
      </c>
    </row>
    <row r="753" spans="1:12" s="67" customFormat="1" ht="16.5" customHeight="1" x14ac:dyDescent="0.25">
      <c r="A753" s="68" t="s">
        <v>4029</v>
      </c>
      <c r="B753" s="68" t="s">
        <v>2349</v>
      </c>
      <c r="C753" s="68" t="s">
        <v>4004</v>
      </c>
      <c r="D753" s="68" t="s">
        <v>2809</v>
      </c>
      <c r="E753" s="68" t="s">
        <v>2809</v>
      </c>
      <c r="F753" s="68" t="s">
        <v>3047</v>
      </c>
      <c r="G753" s="68" t="s">
        <v>4017</v>
      </c>
      <c r="H753" s="68" t="s">
        <v>3123</v>
      </c>
      <c r="I753" s="68" t="s">
        <v>3116</v>
      </c>
      <c r="J753" s="68" t="s">
        <v>3125</v>
      </c>
      <c r="K753" s="69" t="s">
        <v>3125</v>
      </c>
      <c r="L753" s="69" t="str">
        <f>VLOOKUP(LinkTable6789[[#This Row],[Coluna1]],[4]AlarmCatalog!$A:$M,11,FALSE)</f>
        <v>Severidade 8</v>
      </c>
    </row>
    <row r="754" spans="1:12" s="67" customFormat="1" ht="16.5" customHeight="1" x14ac:dyDescent="0.25">
      <c r="A754" s="68" t="s">
        <v>4030</v>
      </c>
      <c r="B754" s="68" t="s">
        <v>2349</v>
      </c>
      <c r="C754" s="68" t="s">
        <v>3047</v>
      </c>
      <c r="D754" s="68" t="s">
        <v>2809</v>
      </c>
      <c r="E754" s="68" t="s">
        <v>3961</v>
      </c>
      <c r="F754" s="68" t="s">
        <v>4031</v>
      </c>
      <c r="G754" s="68" t="s">
        <v>4032</v>
      </c>
      <c r="H754" s="68" t="s">
        <v>3075</v>
      </c>
      <c r="I754" s="68" t="s">
        <v>3116</v>
      </c>
      <c r="J754" s="68" t="s">
        <v>3125</v>
      </c>
      <c r="K754" s="69" t="s">
        <v>3125</v>
      </c>
      <c r="L754" s="69" t="str">
        <f>VLOOKUP(LinkTable6789[[#This Row],[Coluna1]],[4]AlarmCatalog!$A:$M,11,FALSE)</f>
        <v>Severidade 8</v>
      </c>
    </row>
    <row r="755" spans="1:12" s="67" customFormat="1" ht="16.5" customHeight="1" x14ac:dyDescent="0.25">
      <c r="A755" s="68" t="s">
        <v>4033</v>
      </c>
      <c r="B755" s="68" t="s">
        <v>2349</v>
      </c>
      <c r="C755" s="68" t="s">
        <v>3103</v>
      </c>
      <c r="D755" s="68" t="s">
        <v>2809</v>
      </c>
      <c r="E755" s="68" t="s">
        <v>3053</v>
      </c>
      <c r="F755" s="68" t="s">
        <v>3145</v>
      </c>
      <c r="G755" s="68" t="s">
        <v>3048</v>
      </c>
      <c r="H755" s="68" t="s">
        <v>3075</v>
      </c>
      <c r="I755" s="68" t="s">
        <v>3050</v>
      </c>
      <c r="J755" s="68" t="s">
        <v>3125</v>
      </c>
      <c r="K755" s="69" t="s">
        <v>3125</v>
      </c>
      <c r="L755" s="69" t="str">
        <f>VLOOKUP(LinkTable6789[[#This Row],[Coluna1]],[4]AlarmCatalog!$A:$M,11,FALSE)</f>
        <v>Severidade 8</v>
      </c>
    </row>
    <row r="756" spans="1:12" s="67" customFormat="1" ht="16.5" customHeight="1" x14ac:dyDescent="0.25">
      <c r="A756" s="68" t="s">
        <v>4034</v>
      </c>
      <c r="B756" s="68" t="s">
        <v>2349</v>
      </c>
      <c r="C756" s="68" t="s">
        <v>3908</v>
      </c>
      <c r="D756" s="68" t="s">
        <v>2809</v>
      </c>
      <c r="E756" s="68" t="s">
        <v>3053</v>
      </c>
      <c r="F756" s="68" t="s">
        <v>3909</v>
      </c>
      <c r="G756" s="68" t="s">
        <v>3048</v>
      </c>
      <c r="H756" s="68" t="s">
        <v>3058</v>
      </c>
      <c r="I756" s="68" t="s">
        <v>3050</v>
      </c>
      <c r="J756" s="68" t="s">
        <v>4035</v>
      </c>
      <c r="K756" s="69" t="s">
        <v>4035</v>
      </c>
      <c r="L756" s="69" t="str">
        <f>VLOOKUP(LinkTable6789[[#This Row],[Coluna1]],[4]AlarmCatalog!$A:$M,11,FALSE)</f>
        <v>Severidade 8</v>
      </c>
    </row>
    <row r="757" spans="1:12" s="67" customFormat="1" ht="16.5" customHeight="1" x14ac:dyDescent="0.25">
      <c r="A757" s="68" t="s">
        <v>4036</v>
      </c>
      <c r="B757" s="68" t="s">
        <v>2349</v>
      </c>
      <c r="C757" s="68" t="s">
        <v>2991</v>
      </c>
      <c r="D757" s="68" t="s">
        <v>2809</v>
      </c>
      <c r="E757" s="68" t="s">
        <v>3053</v>
      </c>
      <c r="F757" s="68" t="s">
        <v>3911</v>
      </c>
      <c r="G757" s="68" t="s">
        <v>3048</v>
      </c>
      <c r="H757" s="68" t="s">
        <v>3058</v>
      </c>
      <c r="I757" s="68" t="s">
        <v>3050</v>
      </c>
      <c r="J757" s="68" t="s">
        <v>4035</v>
      </c>
      <c r="K757" s="69" t="s">
        <v>4035</v>
      </c>
      <c r="L757" s="69" t="str">
        <f>VLOOKUP(LinkTable6789[[#This Row],[Coluna1]],[4]AlarmCatalog!$A:$M,11,FALSE)</f>
        <v>Severidade 8</v>
      </c>
    </row>
    <row r="758" spans="1:12" s="67" customFormat="1" ht="16.5" customHeight="1" x14ac:dyDescent="0.25">
      <c r="A758" s="68" t="s">
        <v>4037</v>
      </c>
      <c r="B758" s="68" t="s">
        <v>2349</v>
      </c>
      <c r="C758" s="68" t="s">
        <v>3253</v>
      </c>
      <c r="D758" s="68" t="s">
        <v>2809</v>
      </c>
      <c r="E758" s="68" t="s">
        <v>3053</v>
      </c>
      <c r="F758" s="68" t="s">
        <v>3047</v>
      </c>
      <c r="G758" s="68" t="s">
        <v>3048</v>
      </c>
      <c r="H758" s="68" t="s">
        <v>3058</v>
      </c>
      <c r="I758" s="68" t="s">
        <v>3050</v>
      </c>
      <c r="J758" s="68" t="s">
        <v>4038</v>
      </c>
      <c r="K758" s="69" t="s">
        <v>4038</v>
      </c>
      <c r="L758" s="69" t="str">
        <f>VLOOKUP(LinkTable6789[[#This Row],[Coluna1]],[4]AlarmCatalog!$A:$M,11,FALSE)</f>
        <v>Severidade 8</v>
      </c>
    </row>
    <row r="759" spans="1:12" s="67" customFormat="1" ht="16.5" customHeight="1" x14ac:dyDescent="0.25">
      <c r="A759" s="68" t="s">
        <v>4039</v>
      </c>
      <c r="B759" s="68" t="s">
        <v>2349</v>
      </c>
      <c r="C759" s="68" t="s">
        <v>2985</v>
      </c>
      <c r="D759" s="68" t="s">
        <v>2809</v>
      </c>
      <c r="E759" s="68" t="s">
        <v>3053</v>
      </c>
      <c r="F759" s="68" t="s">
        <v>3047</v>
      </c>
      <c r="G759" s="68" t="s">
        <v>3048</v>
      </c>
      <c r="H759" s="68" t="s">
        <v>3058</v>
      </c>
      <c r="I759" s="68" t="s">
        <v>3050</v>
      </c>
      <c r="J759" s="68" t="s">
        <v>4040</v>
      </c>
      <c r="K759" s="69" t="s">
        <v>4040</v>
      </c>
      <c r="L759" s="69" t="str">
        <f>VLOOKUP(LinkTable6789[[#This Row],[Coluna1]],[4]AlarmCatalog!$A:$M,11,FALSE)</f>
        <v>Severidade 8</v>
      </c>
    </row>
    <row r="760" spans="1:12" s="67" customFormat="1" ht="16.5" customHeight="1" x14ac:dyDescent="0.25">
      <c r="A760" s="68" t="s">
        <v>4041</v>
      </c>
      <c r="B760" s="68" t="s">
        <v>2349</v>
      </c>
      <c r="C760" s="68" t="s">
        <v>3980</v>
      </c>
      <c r="D760" s="68" t="s">
        <v>2809</v>
      </c>
      <c r="E760" s="68" t="s">
        <v>3981</v>
      </c>
      <c r="F760" s="68" t="s">
        <v>3173</v>
      </c>
      <c r="G760" s="68" t="s">
        <v>3982</v>
      </c>
      <c r="H760" s="68" t="s">
        <v>3159</v>
      </c>
      <c r="I760" s="68" t="s">
        <v>3241</v>
      </c>
      <c r="J760" s="68" t="s">
        <v>4035</v>
      </c>
      <c r="K760" s="69" t="s">
        <v>4035</v>
      </c>
      <c r="L760" s="69" t="str">
        <f>VLOOKUP(LinkTable6789[[#This Row],[Coluna1]],[4]AlarmCatalog!$A:$M,11,FALSE)</f>
        <v>Severidade 8</v>
      </c>
    </row>
    <row r="761" spans="1:12" s="67" customFormat="1" ht="16.5" customHeight="1" x14ac:dyDescent="0.25">
      <c r="A761" s="68" t="s">
        <v>4042</v>
      </c>
      <c r="B761" s="68" t="s">
        <v>2349</v>
      </c>
      <c r="C761" s="68" t="s">
        <v>3103</v>
      </c>
      <c r="D761" s="68" t="s">
        <v>2809</v>
      </c>
      <c r="E761" s="68" t="s">
        <v>3053</v>
      </c>
      <c r="F761" s="68" t="s">
        <v>3104</v>
      </c>
      <c r="G761" s="68" t="s">
        <v>3048</v>
      </c>
      <c r="H761" s="68" t="s">
        <v>3075</v>
      </c>
      <c r="I761" s="68" t="s">
        <v>3050</v>
      </c>
      <c r="J761" s="68" t="s">
        <v>4035</v>
      </c>
      <c r="K761" s="69" t="s">
        <v>4035</v>
      </c>
      <c r="L761" s="69" t="str">
        <f>VLOOKUP(LinkTable6789[[#This Row],[Coluna1]],[4]AlarmCatalog!$A:$M,11,FALSE)</f>
        <v>Severidade 8</v>
      </c>
    </row>
    <row r="762" spans="1:12" s="67" customFormat="1" ht="16.5" customHeight="1" x14ac:dyDescent="0.25">
      <c r="A762" s="68" t="s">
        <v>4043</v>
      </c>
      <c r="B762" s="68" t="s">
        <v>2349</v>
      </c>
      <c r="C762" s="68" t="s">
        <v>2985</v>
      </c>
      <c r="D762" s="68" t="s">
        <v>2809</v>
      </c>
      <c r="E762" s="68" t="s">
        <v>3053</v>
      </c>
      <c r="F762" s="68" t="s">
        <v>3209</v>
      </c>
      <c r="G762" s="68" t="s">
        <v>3048</v>
      </c>
      <c r="H762" s="68" t="s">
        <v>3058</v>
      </c>
      <c r="I762" s="68" t="s">
        <v>3050</v>
      </c>
      <c r="J762" s="68" t="s">
        <v>4035</v>
      </c>
      <c r="K762" s="69" t="s">
        <v>4035</v>
      </c>
      <c r="L762" s="69" t="str">
        <f>VLOOKUP(LinkTable6789[[#This Row],[Coluna1]],[4]AlarmCatalog!$A:$M,11,FALSE)</f>
        <v>Severidade 8</v>
      </c>
    </row>
    <row r="763" spans="1:12" s="67" customFormat="1" ht="16.5" customHeight="1" x14ac:dyDescent="0.25">
      <c r="A763" s="68" t="s">
        <v>4044</v>
      </c>
      <c r="B763" s="68" t="s">
        <v>2349</v>
      </c>
      <c r="C763" s="68" t="s">
        <v>3097</v>
      </c>
      <c r="D763" s="68" t="s">
        <v>2990</v>
      </c>
      <c r="E763" s="68" t="s">
        <v>3046</v>
      </c>
      <c r="F763" s="68" t="s">
        <v>3047</v>
      </c>
      <c r="G763" s="68" t="s">
        <v>3048</v>
      </c>
      <c r="H763" s="68" t="s">
        <v>3058</v>
      </c>
      <c r="I763" s="68" t="s">
        <v>3050</v>
      </c>
      <c r="J763" s="68" t="s">
        <v>4038</v>
      </c>
      <c r="K763" s="69" t="s">
        <v>4038</v>
      </c>
      <c r="L763" s="69" t="str">
        <f>VLOOKUP(LinkTable6789[[#This Row],[Coluna1]],[4]AlarmCatalog!$A:$M,11,FALSE)</f>
        <v>Severidade 8</v>
      </c>
    </row>
    <row r="764" spans="1:12" s="67" customFormat="1" ht="16.5" customHeight="1" x14ac:dyDescent="0.25">
      <c r="A764" s="68" t="s">
        <v>4045</v>
      </c>
      <c r="B764" s="68" t="s">
        <v>2349</v>
      </c>
      <c r="C764" s="68" t="s">
        <v>3103</v>
      </c>
      <c r="D764" s="68" t="s">
        <v>2990</v>
      </c>
      <c r="E764" s="68" t="s">
        <v>2990</v>
      </c>
      <c r="F764" s="68" t="s">
        <v>3846</v>
      </c>
      <c r="G764" s="68" t="s">
        <v>3847</v>
      </c>
      <c r="H764" s="68" t="s">
        <v>3058</v>
      </c>
      <c r="I764" s="68" t="s">
        <v>3050</v>
      </c>
      <c r="J764" s="68" t="s">
        <v>3125</v>
      </c>
      <c r="K764" s="69" t="s">
        <v>3125</v>
      </c>
      <c r="L764" s="69" t="str">
        <f>VLOOKUP(LinkTable6789[[#This Row],[Coluna1]],[4]AlarmCatalog!$A:$M,11,FALSE)</f>
        <v>Severidade 8</v>
      </c>
    </row>
    <row r="765" spans="1:12" s="67" customFormat="1" ht="16.5" customHeight="1" x14ac:dyDescent="0.25">
      <c r="A765" s="68" t="s">
        <v>4046</v>
      </c>
      <c r="B765" s="68" t="s">
        <v>2349</v>
      </c>
      <c r="C765" s="68" t="s">
        <v>4004</v>
      </c>
      <c r="D765" s="68" t="s">
        <v>2809</v>
      </c>
      <c r="E765" s="68" t="s">
        <v>4047</v>
      </c>
      <c r="F765" s="68" t="s">
        <v>3427</v>
      </c>
      <c r="G765" s="68" t="s">
        <v>4001</v>
      </c>
      <c r="H765" s="68" t="s">
        <v>3123</v>
      </c>
      <c r="I765" s="68" t="s">
        <v>3124</v>
      </c>
      <c r="J765" s="68" t="s">
        <v>3160</v>
      </c>
      <c r="K765" s="69" t="s">
        <v>3160</v>
      </c>
      <c r="L765" s="69" t="str">
        <f>VLOOKUP(LinkTable6789[[#This Row],[Coluna1]],[4]AlarmCatalog!$A:$M,11,FALSE)</f>
        <v>Severidade 8</v>
      </c>
    </row>
    <row r="766" spans="1:12" s="67" customFormat="1" ht="16.5" customHeight="1" x14ac:dyDescent="0.25">
      <c r="A766" s="68" t="s">
        <v>4048</v>
      </c>
      <c r="B766" s="68" t="s">
        <v>2349</v>
      </c>
      <c r="C766" s="68" t="s">
        <v>4049</v>
      </c>
      <c r="D766" s="68" t="s">
        <v>4050</v>
      </c>
      <c r="E766" s="68" t="s">
        <v>4050</v>
      </c>
      <c r="F766" s="68" t="s">
        <v>4051</v>
      </c>
      <c r="G766" s="68" t="s">
        <v>4052</v>
      </c>
      <c r="H766" s="68" t="s">
        <v>4053</v>
      </c>
      <c r="I766" s="68" t="s">
        <v>4054</v>
      </c>
      <c r="J766" s="68" t="s">
        <v>3125</v>
      </c>
      <c r="K766" s="69" t="s">
        <v>3125</v>
      </c>
      <c r="L766" s="69" t="str">
        <f>VLOOKUP(LinkTable6789[[#This Row],[Coluna1]],[4]AlarmCatalog!$A:$M,11,FALSE)</f>
        <v>Severidade 8</v>
      </c>
    </row>
    <row r="767" spans="1:12" s="67" customFormat="1" ht="16.5" customHeight="1" x14ac:dyDescent="0.25">
      <c r="A767" s="68" t="s">
        <v>2811</v>
      </c>
      <c r="B767" s="68" t="s">
        <v>2349</v>
      </c>
      <c r="C767" s="68" t="s">
        <v>3584</v>
      </c>
      <c r="D767" s="68" t="s">
        <v>2809</v>
      </c>
      <c r="E767" s="68" t="s">
        <v>3053</v>
      </c>
      <c r="F767" s="68" t="s">
        <v>3585</v>
      </c>
      <c r="G767" s="68" t="s">
        <v>3586</v>
      </c>
      <c r="H767" s="68" t="s">
        <v>3058</v>
      </c>
      <c r="I767" s="68" t="s">
        <v>3050</v>
      </c>
      <c r="J767" s="68" t="s">
        <v>3125</v>
      </c>
      <c r="K767" s="69" t="s">
        <v>3125</v>
      </c>
      <c r="L767" s="69" t="str">
        <f>VLOOKUP(LinkTable6789[[#This Row],[Coluna1]],[4]AlarmCatalog!$A:$M,11,FALSE)</f>
        <v>Severidade 8</v>
      </c>
    </row>
    <row r="768" spans="1:12" s="67" customFormat="1" ht="16.5" customHeight="1" x14ac:dyDescent="0.25">
      <c r="A768" s="68" t="s">
        <v>4055</v>
      </c>
      <c r="B768" s="68" t="s">
        <v>2349</v>
      </c>
      <c r="C768" s="68" t="s">
        <v>2988</v>
      </c>
      <c r="D768" s="68" t="s">
        <v>2809</v>
      </c>
      <c r="E768" s="68" t="s">
        <v>3046</v>
      </c>
      <c r="F768" s="68" t="s">
        <v>3047</v>
      </c>
      <c r="G768" s="68" t="s">
        <v>3048</v>
      </c>
      <c r="H768" s="68" t="s">
        <v>3077</v>
      </c>
      <c r="I768" s="68" t="s">
        <v>3050</v>
      </c>
      <c r="J768" s="68" t="s">
        <v>3101</v>
      </c>
      <c r="K768" s="69" t="s">
        <v>3101</v>
      </c>
      <c r="L768" s="69" t="str">
        <f>VLOOKUP(LinkTable6789[[#This Row],[Coluna1]],[4]AlarmCatalog!$A:$M,11,FALSE)</f>
        <v>Severidade 8</v>
      </c>
    </row>
    <row r="769" spans="1:12" s="67" customFormat="1" ht="16.5" customHeight="1" x14ac:dyDescent="0.25">
      <c r="A769" s="68" t="s">
        <v>4056</v>
      </c>
      <c r="B769" s="68" t="s">
        <v>2349</v>
      </c>
      <c r="C769" s="68" t="s">
        <v>4057</v>
      </c>
      <c r="D769" s="68" t="s">
        <v>2809</v>
      </c>
      <c r="E769" s="68" t="s">
        <v>3053</v>
      </c>
      <c r="F769" s="68" t="s">
        <v>4058</v>
      </c>
      <c r="G769" s="68" t="s">
        <v>3057</v>
      </c>
      <c r="H769" s="68" t="s">
        <v>3058</v>
      </c>
      <c r="I769" s="68" t="s">
        <v>3050</v>
      </c>
      <c r="J769" s="68" t="s">
        <v>3160</v>
      </c>
      <c r="K769" s="69" t="s">
        <v>3160</v>
      </c>
      <c r="L769" s="69" t="str">
        <f>VLOOKUP(LinkTable6789[[#This Row],[Coluna1]],[4]AlarmCatalog!$A:$M,11,FALSE)</f>
        <v>Severidade 8</v>
      </c>
    </row>
    <row r="770" spans="1:12" s="67" customFormat="1" ht="16.5" customHeight="1" x14ac:dyDescent="0.25">
      <c r="A770" s="68" t="s">
        <v>1194</v>
      </c>
      <c r="B770" s="68" t="s">
        <v>2349</v>
      </c>
      <c r="C770" s="68" t="s">
        <v>3103</v>
      </c>
      <c r="D770" s="68" t="s">
        <v>2809</v>
      </c>
      <c r="E770" s="68" t="s">
        <v>3053</v>
      </c>
      <c r="F770" s="68" t="s">
        <v>3515</v>
      </c>
      <c r="G770" s="68" t="s">
        <v>3048</v>
      </c>
      <c r="H770" s="68" t="s">
        <v>3075</v>
      </c>
      <c r="I770" s="68" t="s">
        <v>3050</v>
      </c>
      <c r="J770" s="68" t="s">
        <v>3125</v>
      </c>
      <c r="K770" s="69" t="s">
        <v>3125</v>
      </c>
      <c r="L770" s="69" t="str">
        <f>VLOOKUP(LinkTable6789[[#This Row],[Coluna1]],[4]AlarmCatalog!$A:$M,11,FALSE)</f>
        <v>Severidade 8</v>
      </c>
    </row>
    <row r="771" spans="1:12" s="67" customFormat="1" ht="16.5" customHeight="1" x14ac:dyDescent="0.25">
      <c r="A771" s="68" t="s">
        <v>4059</v>
      </c>
      <c r="B771" s="68" t="s">
        <v>2349</v>
      </c>
      <c r="C771" s="68" t="s">
        <v>3103</v>
      </c>
      <c r="D771" s="68" t="s">
        <v>2809</v>
      </c>
      <c r="E771" s="68" t="s">
        <v>3053</v>
      </c>
      <c r="F771" s="68" t="s">
        <v>3221</v>
      </c>
      <c r="G771" s="68" t="s">
        <v>3048</v>
      </c>
      <c r="H771" s="68" t="s">
        <v>3075</v>
      </c>
      <c r="I771" s="68" t="s">
        <v>3050</v>
      </c>
      <c r="J771" s="68" t="s">
        <v>3125</v>
      </c>
      <c r="K771" s="69" t="s">
        <v>3125</v>
      </c>
      <c r="L771" s="69" t="str">
        <f>VLOOKUP(LinkTable6789[[#This Row],[Coluna1]],[4]AlarmCatalog!$A:$M,11,FALSE)</f>
        <v>Severidade 8</v>
      </c>
    </row>
    <row r="772" spans="1:12" s="67" customFormat="1" ht="16.5" customHeight="1" x14ac:dyDescent="0.25">
      <c r="A772" s="68" t="s">
        <v>4060</v>
      </c>
      <c r="B772" s="68" t="s">
        <v>4061</v>
      </c>
      <c r="C772" s="68" t="s">
        <v>3047</v>
      </c>
      <c r="D772" s="68" t="s">
        <v>2809</v>
      </c>
      <c r="E772" s="68" t="s">
        <v>3053</v>
      </c>
      <c r="F772" s="68" t="s">
        <v>3909</v>
      </c>
      <c r="G772" s="68" t="s">
        <v>3048</v>
      </c>
      <c r="H772" s="68" t="s">
        <v>3075</v>
      </c>
      <c r="I772" s="68" t="s">
        <v>3050</v>
      </c>
      <c r="J772" s="68" t="s">
        <v>3061</v>
      </c>
      <c r="K772" s="69" t="s">
        <v>3061</v>
      </c>
      <c r="L772" s="69" t="str">
        <f>VLOOKUP(LinkTable6789[[#This Row],[Coluna1]],[4]AlarmCatalog!$A:$M,11,FALSE)</f>
        <v>Severidade 8</v>
      </c>
    </row>
    <row r="773" spans="1:12" s="67" customFormat="1" ht="16.5" customHeight="1" x14ac:dyDescent="0.25">
      <c r="A773" s="68" t="s">
        <v>4062</v>
      </c>
      <c r="B773" s="68" t="s">
        <v>4063</v>
      </c>
      <c r="C773" s="68" t="s">
        <v>4010</v>
      </c>
      <c r="D773" s="68" t="s">
        <v>2809</v>
      </c>
      <c r="E773" s="68" t="s">
        <v>3053</v>
      </c>
      <c r="F773" s="68" t="s">
        <v>4064</v>
      </c>
      <c r="G773" s="68" t="s">
        <v>3048</v>
      </c>
      <c r="H773" s="68" t="s">
        <v>3075</v>
      </c>
      <c r="I773" s="68" t="s">
        <v>3050</v>
      </c>
      <c r="J773" s="68" t="s">
        <v>3061</v>
      </c>
      <c r="K773" s="69" t="s">
        <v>3061</v>
      </c>
      <c r="L773" s="69" t="str">
        <f>VLOOKUP(LinkTable6789[[#This Row],[Coluna1]],[4]AlarmCatalog!$A:$M,11,FALSE)</f>
        <v>Severidade 8</v>
      </c>
    </row>
    <row r="774" spans="1:12" s="67" customFormat="1" ht="16.5" customHeight="1" x14ac:dyDescent="0.25">
      <c r="A774" s="68" t="s">
        <v>4065</v>
      </c>
      <c r="B774" s="68" t="s">
        <v>4066</v>
      </c>
      <c r="C774" s="68" t="s">
        <v>4010</v>
      </c>
      <c r="D774" s="68" t="s">
        <v>2809</v>
      </c>
      <c r="E774" s="68" t="s">
        <v>3053</v>
      </c>
      <c r="F774" s="68" t="s">
        <v>4067</v>
      </c>
      <c r="G774" s="68" t="s">
        <v>3048</v>
      </c>
      <c r="H774" s="68" t="s">
        <v>3075</v>
      </c>
      <c r="I774" s="68" t="s">
        <v>3050</v>
      </c>
      <c r="J774" s="68" t="s">
        <v>3061</v>
      </c>
      <c r="K774" s="69" t="s">
        <v>3061</v>
      </c>
      <c r="L774" s="69" t="str">
        <f>VLOOKUP(LinkTable6789[[#This Row],[Coluna1]],[4]AlarmCatalog!$A:$M,11,FALSE)</f>
        <v>Severidade 8</v>
      </c>
    </row>
    <row r="775" spans="1:12" s="67" customFormat="1" ht="16.5" customHeight="1" x14ac:dyDescent="0.25">
      <c r="A775" s="68" t="s">
        <v>4068</v>
      </c>
      <c r="B775" s="68" t="s">
        <v>4069</v>
      </c>
      <c r="C775" s="68" t="s">
        <v>4010</v>
      </c>
      <c r="D775" s="68" t="s">
        <v>2809</v>
      </c>
      <c r="E775" s="68" t="s">
        <v>3053</v>
      </c>
      <c r="F775" s="68" t="s">
        <v>4070</v>
      </c>
      <c r="G775" s="68" t="s">
        <v>3048</v>
      </c>
      <c r="H775" s="68" t="s">
        <v>3075</v>
      </c>
      <c r="I775" s="68" t="s">
        <v>3050</v>
      </c>
      <c r="J775" s="68" t="s">
        <v>3061</v>
      </c>
      <c r="K775" s="69" t="s">
        <v>3061</v>
      </c>
      <c r="L775" s="69" t="str">
        <f>VLOOKUP(LinkTable6789[[#This Row],[Coluna1]],[4]AlarmCatalog!$A:$M,11,FALSE)</f>
        <v>Severidade 8</v>
      </c>
    </row>
    <row r="776" spans="1:12" s="67" customFormat="1" ht="16.5" customHeight="1" x14ac:dyDescent="0.25">
      <c r="A776" s="68" t="s">
        <v>4071</v>
      </c>
      <c r="B776" s="68" t="s">
        <v>4072</v>
      </c>
      <c r="C776" s="68" t="s">
        <v>3047</v>
      </c>
      <c r="D776" s="68" t="s">
        <v>2809</v>
      </c>
      <c r="E776" s="68" t="s">
        <v>3053</v>
      </c>
      <c r="F776" s="68" t="s">
        <v>4073</v>
      </c>
      <c r="G776" s="68" t="s">
        <v>3048</v>
      </c>
      <c r="H776" s="68" t="s">
        <v>3058</v>
      </c>
      <c r="I776" s="68" t="s">
        <v>3050</v>
      </c>
      <c r="J776" s="68" t="s">
        <v>4035</v>
      </c>
      <c r="K776" s="69" t="s">
        <v>4035</v>
      </c>
      <c r="L776" s="69" t="str">
        <f>VLOOKUP(LinkTable6789[[#This Row],[Coluna1]],[4]AlarmCatalog!$A:$M,11,FALSE)</f>
        <v>Severidade 8</v>
      </c>
    </row>
    <row r="777" spans="1:12" s="67" customFormat="1" ht="16.5" customHeight="1" x14ac:dyDescent="0.25">
      <c r="A777" s="68" t="s">
        <v>1182</v>
      </c>
      <c r="B777" s="68" t="s">
        <v>2349</v>
      </c>
      <c r="C777" s="68" t="s">
        <v>3103</v>
      </c>
      <c r="D777" s="68" t="s">
        <v>2809</v>
      </c>
      <c r="E777" s="68" t="s">
        <v>3053</v>
      </c>
      <c r="F777" s="68" t="s">
        <v>4074</v>
      </c>
      <c r="G777" s="68" t="s">
        <v>3048</v>
      </c>
      <c r="H777" s="68" t="s">
        <v>3075</v>
      </c>
      <c r="I777" s="68" t="s">
        <v>3050</v>
      </c>
      <c r="J777" s="68" t="s">
        <v>3125</v>
      </c>
      <c r="K777" s="69" t="s">
        <v>3125</v>
      </c>
      <c r="L777" s="69" t="str">
        <f>VLOOKUP(LinkTable6789[[#This Row],[Coluna1]],[4]AlarmCatalog!$A:$M,11,FALSE)</f>
        <v>Severidade 8</v>
      </c>
    </row>
    <row r="778" spans="1:12" s="67" customFormat="1" ht="16.5" customHeight="1" x14ac:dyDescent="0.25">
      <c r="A778" s="68" t="s">
        <v>4075</v>
      </c>
      <c r="B778" s="68" t="s">
        <v>2349</v>
      </c>
      <c r="C778" s="68" t="s">
        <v>2986</v>
      </c>
      <c r="D778" s="68" t="s">
        <v>2809</v>
      </c>
      <c r="E778" s="68" t="s">
        <v>3046</v>
      </c>
      <c r="F778" s="68" t="s">
        <v>3047</v>
      </c>
      <c r="G778" s="68" t="s">
        <v>3057</v>
      </c>
      <c r="H778" s="68" t="s">
        <v>3058</v>
      </c>
      <c r="I778" s="68" t="s">
        <v>3050</v>
      </c>
      <c r="J778" s="68" t="s">
        <v>3160</v>
      </c>
      <c r="K778" s="69" t="s">
        <v>3160</v>
      </c>
      <c r="L778" s="69" t="str">
        <f>VLOOKUP(LinkTable6789[[#This Row],[Coluna1]],[4]AlarmCatalog!$A:$M,11,FALSE)</f>
        <v>Severidade 8</v>
      </c>
    </row>
    <row r="779" spans="1:12" s="67" customFormat="1" ht="16.5" customHeight="1" x14ac:dyDescent="0.25">
      <c r="A779" s="68" t="s">
        <v>4076</v>
      </c>
      <c r="B779" s="68" t="s">
        <v>2349</v>
      </c>
      <c r="C779" s="68" t="s">
        <v>3496</v>
      </c>
      <c r="D779" s="68" t="s">
        <v>2809</v>
      </c>
      <c r="E779" s="68" t="s">
        <v>3053</v>
      </c>
      <c r="F779" s="68" t="s">
        <v>3047</v>
      </c>
      <c r="G779" s="68" t="s">
        <v>3057</v>
      </c>
      <c r="H779" s="68" t="s">
        <v>3159</v>
      </c>
      <c r="I779" s="68" t="s">
        <v>3050</v>
      </c>
      <c r="J779" s="68" t="s">
        <v>3297</v>
      </c>
      <c r="K779" s="69" t="s">
        <v>3297</v>
      </c>
      <c r="L779" s="69" t="str">
        <f>VLOOKUP(LinkTable6789[[#This Row],[Coluna1]],[4]AlarmCatalog!$A:$M,11,FALSE)</f>
        <v>Severidade 4</v>
      </c>
    </row>
    <row r="780" spans="1:12" s="67" customFormat="1" ht="16.5" customHeight="1" x14ac:dyDescent="0.25">
      <c r="A780" s="68" t="s">
        <v>4077</v>
      </c>
      <c r="B780" s="68" t="s">
        <v>2349</v>
      </c>
      <c r="C780" s="68" t="s">
        <v>3535</v>
      </c>
      <c r="D780" s="68" t="s">
        <v>2809</v>
      </c>
      <c r="E780" s="68" t="s">
        <v>2809</v>
      </c>
      <c r="F780" s="68" t="s">
        <v>3047</v>
      </c>
      <c r="G780" s="68" t="s">
        <v>3057</v>
      </c>
      <c r="H780" s="68" t="s">
        <v>3159</v>
      </c>
      <c r="I780" s="68" t="s">
        <v>3050</v>
      </c>
      <c r="J780" s="68" t="s">
        <v>3160</v>
      </c>
      <c r="K780" s="69" t="s">
        <v>3160</v>
      </c>
      <c r="L780" s="69" t="str">
        <f>VLOOKUP(LinkTable6789[[#This Row],[Coluna1]],[4]AlarmCatalog!$A:$M,11,FALSE)</f>
        <v>Severidade 8</v>
      </c>
    </row>
    <row r="781" spans="1:12" s="67" customFormat="1" ht="16.5" customHeight="1" x14ac:dyDescent="0.25">
      <c r="A781" s="68" t="s">
        <v>4078</v>
      </c>
      <c r="B781" s="68" t="s">
        <v>2349</v>
      </c>
      <c r="C781" s="68" t="s">
        <v>2986</v>
      </c>
      <c r="D781" s="68" t="s">
        <v>2809</v>
      </c>
      <c r="E781" s="68" t="s">
        <v>3053</v>
      </c>
      <c r="F781" s="68" t="s">
        <v>3047</v>
      </c>
      <c r="G781" s="68" t="s">
        <v>3057</v>
      </c>
      <c r="H781" s="68" t="s">
        <v>3058</v>
      </c>
      <c r="I781" s="68" t="s">
        <v>3050</v>
      </c>
      <c r="J781" s="68" t="s">
        <v>3297</v>
      </c>
      <c r="K781" s="69" t="s">
        <v>3297</v>
      </c>
      <c r="L781" s="69" t="str">
        <f>VLOOKUP(LinkTable6789[[#This Row],[Coluna1]],[4]AlarmCatalog!$A:$M,11,FALSE)</f>
        <v>Severidade 4</v>
      </c>
    </row>
    <row r="782" spans="1:12" s="67" customFormat="1" ht="16.5" customHeight="1" x14ac:dyDescent="0.25">
      <c r="A782" s="68" t="s">
        <v>181</v>
      </c>
      <c r="B782" s="68" t="s">
        <v>2349</v>
      </c>
      <c r="C782" s="68" t="s">
        <v>2986</v>
      </c>
      <c r="D782" s="68" t="s">
        <v>2809</v>
      </c>
      <c r="E782" s="68" t="s">
        <v>3053</v>
      </c>
      <c r="F782" s="68" t="s">
        <v>3047</v>
      </c>
      <c r="G782" s="68" t="s">
        <v>3057</v>
      </c>
      <c r="H782" s="68" t="s">
        <v>3058</v>
      </c>
      <c r="I782" s="68" t="s">
        <v>3050</v>
      </c>
      <c r="J782" s="68" t="s">
        <v>3160</v>
      </c>
      <c r="K782" s="69" t="s">
        <v>3160</v>
      </c>
      <c r="L782" s="69" t="str">
        <f>VLOOKUP(LinkTable6789[[#This Row],[Coluna1]],[4]AlarmCatalog!$A:$M,11,FALSE)</f>
        <v>Severidade 8</v>
      </c>
    </row>
    <row r="783" spans="1:12" s="67" customFormat="1" ht="16.5" customHeight="1" x14ac:dyDescent="0.25">
      <c r="A783" s="68" t="s">
        <v>4079</v>
      </c>
      <c r="B783" s="68" t="s">
        <v>2349</v>
      </c>
      <c r="C783" s="68" t="s">
        <v>2986</v>
      </c>
      <c r="D783" s="68" t="s">
        <v>2990</v>
      </c>
      <c r="E783" s="68" t="s">
        <v>3053</v>
      </c>
      <c r="F783" s="68" t="s">
        <v>3047</v>
      </c>
      <c r="G783" s="68" t="s">
        <v>3057</v>
      </c>
      <c r="H783" s="68" t="s">
        <v>3058</v>
      </c>
      <c r="I783" s="68" t="s">
        <v>3050</v>
      </c>
      <c r="J783" s="68" t="s">
        <v>3160</v>
      </c>
      <c r="K783" s="69" t="s">
        <v>3160</v>
      </c>
      <c r="L783" s="69" t="str">
        <f>VLOOKUP(LinkTable6789[[#This Row],[Coluna1]],[4]AlarmCatalog!$A:$M,11,FALSE)</f>
        <v>Severidade 8</v>
      </c>
    </row>
    <row r="784" spans="1:12" s="67" customFormat="1" ht="16.5" customHeight="1" x14ac:dyDescent="0.25">
      <c r="A784" s="68" t="s">
        <v>4080</v>
      </c>
      <c r="B784" s="68" t="s">
        <v>2349</v>
      </c>
      <c r="C784" s="68" t="s">
        <v>2986</v>
      </c>
      <c r="D784" s="68" t="s">
        <v>2990</v>
      </c>
      <c r="E784" s="68" t="s">
        <v>3046</v>
      </c>
      <c r="F784" s="68" t="s">
        <v>3047</v>
      </c>
      <c r="G784" s="68" t="s">
        <v>3057</v>
      </c>
      <c r="H784" s="68" t="s">
        <v>3058</v>
      </c>
      <c r="I784" s="68" t="s">
        <v>3050</v>
      </c>
      <c r="J784" s="68" t="s">
        <v>3160</v>
      </c>
      <c r="K784" s="69" t="s">
        <v>3160</v>
      </c>
      <c r="L784" s="69" t="str">
        <f>VLOOKUP(LinkTable6789[[#This Row],[Coluna1]],[4]AlarmCatalog!$A:$M,11,FALSE)</f>
        <v>Severidade 8</v>
      </c>
    </row>
    <row r="785" spans="1:12" s="67" customFormat="1" ht="16.5" customHeight="1" x14ac:dyDescent="0.25">
      <c r="A785" s="68" t="s">
        <v>4081</v>
      </c>
      <c r="B785" s="68" t="s">
        <v>2349</v>
      </c>
      <c r="C785" s="68" t="s">
        <v>3496</v>
      </c>
      <c r="D785" s="68" t="s">
        <v>2809</v>
      </c>
      <c r="E785" s="68" t="s">
        <v>3046</v>
      </c>
      <c r="F785" s="68" t="s">
        <v>3047</v>
      </c>
      <c r="G785" s="68" t="s">
        <v>3057</v>
      </c>
      <c r="H785" s="68" t="s">
        <v>3058</v>
      </c>
      <c r="I785" s="68" t="s">
        <v>3050</v>
      </c>
      <c r="J785" s="68" t="s">
        <v>3297</v>
      </c>
      <c r="K785" s="69" t="s">
        <v>3297</v>
      </c>
      <c r="L785" s="69" t="str">
        <f>VLOOKUP(LinkTable6789[[#This Row],[Coluna1]],[4]AlarmCatalog!$A:$M,11,FALSE)</f>
        <v>Severidade 4</v>
      </c>
    </row>
    <row r="786" spans="1:12" s="67" customFormat="1" ht="16.5" customHeight="1" x14ac:dyDescent="0.25">
      <c r="A786" s="68" t="s">
        <v>4082</v>
      </c>
      <c r="B786" s="68" t="s">
        <v>2349</v>
      </c>
      <c r="C786" s="68" t="s">
        <v>2986</v>
      </c>
      <c r="D786" s="68" t="s">
        <v>2809</v>
      </c>
      <c r="E786" s="68" t="s">
        <v>3046</v>
      </c>
      <c r="F786" s="68" t="s">
        <v>3047</v>
      </c>
      <c r="G786" s="68" t="s">
        <v>3057</v>
      </c>
      <c r="H786" s="68" t="s">
        <v>3058</v>
      </c>
      <c r="I786" s="68" t="s">
        <v>3050</v>
      </c>
      <c r="J786" s="68" t="s">
        <v>3160</v>
      </c>
      <c r="K786" s="69" t="s">
        <v>3160</v>
      </c>
      <c r="L786" s="69" t="str">
        <f>VLOOKUP(LinkTable6789[[#This Row],[Coluna1]],[4]AlarmCatalog!$A:$M,11,FALSE)</f>
        <v>Severidade 8</v>
      </c>
    </row>
    <row r="787" spans="1:12" s="67" customFormat="1" ht="16.5" customHeight="1" x14ac:dyDescent="0.25">
      <c r="A787" s="68" t="s">
        <v>4083</v>
      </c>
      <c r="B787" s="68" t="s">
        <v>2349</v>
      </c>
      <c r="C787" s="68" t="s">
        <v>2986</v>
      </c>
      <c r="D787" s="68" t="s">
        <v>2809</v>
      </c>
      <c r="E787" s="68" t="s">
        <v>3053</v>
      </c>
      <c r="F787" s="68" t="s">
        <v>3047</v>
      </c>
      <c r="G787" s="68" t="s">
        <v>3057</v>
      </c>
      <c r="H787" s="68" t="s">
        <v>3058</v>
      </c>
      <c r="I787" s="68" t="s">
        <v>3050</v>
      </c>
      <c r="J787" s="68" t="s">
        <v>3297</v>
      </c>
      <c r="K787" s="69" t="s">
        <v>3297</v>
      </c>
      <c r="L787" s="69" t="str">
        <f>VLOOKUP(LinkTable6789[[#This Row],[Coluna1]],[4]AlarmCatalog!$A:$M,11,FALSE)</f>
        <v>Severidade 4</v>
      </c>
    </row>
    <row r="788" spans="1:12" s="67" customFormat="1" ht="16.5" customHeight="1" x14ac:dyDescent="0.25">
      <c r="A788" s="68" t="s">
        <v>4084</v>
      </c>
      <c r="B788" s="68" t="s">
        <v>2349</v>
      </c>
      <c r="C788" s="68" t="s">
        <v>2986</v>
      </c>
      <c r="D788" s="68" t="s">
        <v>2809</v>
      </c>
      <c r="E788" s="68" t="s">
        <v>3053</v>
      </c>
      <c r="F788" s="68" t="s">
        <v>3047</v>
      </c>
      <c r="G788" s="68" t="s">
        <v>3057</v>
      </c>
      <c r="H788" s="68" t="s">
        <v>3058</v>
      </c>
      <c r="I788" s="68" t="s">
        <v>3050</v>
      </c>
      <c r="J788" s="68" t="s">
        <v>3160</v>
      </c>
      <c r="K788" s="69" t="s">
        <v>3160</v>
      </c>
      <c r="L788" s="69" t="str">
        <f>VLOOKUP(LinkTable6789[[#This Row],[Coluna1]],[4]AlarmCatalog!$A:$M,11,FALSE)</f>
        <v>Severidade 8</v>
      </c>
    </row>
    <row r="789" spans="1:12" s="67" customFormat="1" ht="16.5" customHeight="1" x14ac:dyDescent="0.25">
      <c r="A789" s="68" t="s">
        <v>4085</v>
      </c>
      <c r="B789" s="68" t="s">
        <v>2349</v>
      </c>
      <c r="C789" s="68" t="s">
        <v>3094</v>
      </c>
      <c r="D789" s="68" t="s">
        <v>2809</v>
      </c>
      <c r="E789" s="68" t="s">
        <v>3053</v>
      </c>
      <c r="F789" s="68" t="s">
        <v>3180</v>
      </c>
      <c r="G789" s="68" t="s">
        <v>3048</v>
      </c>
      <c r="H789" s="68" t="s">
        <v>3058</v>
      </c>
      <c r="I789" s="68" t="s">
        <v>3050</v>
      </c>
      <c r="J789" s="68" t="s">
        <v>4086</v>
      </c>
      <c r="K789" s="69" t="s">
        <v>4086</v>
      </c>
      <c r="L789" s="69" t="str">
        <f>VLOOKUP(LinkTable6789[[#This Row],[Coluna1]],[4]AlarmCatalog!$A:$M,11,FALSE)</f>
        <v>Severidade 9</v>
      </c>
    </row>
    <row r="790" spans="1:12" s="67" customFormat="1" ht="16.5" customHeight="1" x14ac:dyDescent="0.25">
      <c r="A790" s="68" t="s">
        <v>4087</v>
      </c>
      <c r="B790" s="68" t="s">
        <v>2349</v>
      </c>
      <c r="C790" s="68" t="s">
        <v>3097</v>
      </c>
      <c r="D790" s="68" t="s">
        <v>2809</v>
      </c>
      <c r="E790" s="68" t="s">
        <v>3053</v>
      </c>
      <c r="F790" s="68" t="s">
        <v>3098</v>
      </c>
      <c r="G790" s="68" t="s">
        <v>3048</v>
      </c>
      <c r="H790" s="68" t="s">
        <v>3058</v>
      </c>
      <c r="I790" s="68" t="s">
        <v>3050</v>
      </c>
      <c r="J790" s="68" t="s">
        <v>4086</v>
      </c>
      <c r="K790" s="69" t="s">
        <v>4086</v>
      </c>
      <c r="L790" s="69" t="str">
        <f>VLOOKUP(LinkTable6789[[#This Row],[Coluna1]],[4]AlarmCatalog!$A:$M,11,FALSE)</f>
        <v>Severidade 9</v>
      </c>
    </row>
    <row r="791" spans="1:12" s="67" customFormat="1" ht="16.5" customHeight="1" x14ac:dyDescent="0.25">
      <c r="A791" s="68" t="s">
        <v>4088</v>
      </c>
      <c r="B791" s="68" t="s">
        <v>2349</v>
      </c>
      <c r="C791" s="68" t="s">
        <v>3071</v>
      </c>
      <c r="D791" s="68" t="s">
        <v>2809</v>
      </c>
      <c r="E791" s="68" t="s">
        <v>2809</v>
      </c>
      <c r="F791" s="68" t="s">
        <v>3098</v>
      </c>
      <c r="G791" s="68" t="s">
        <v>4089</v>
      </c>
      <c r="H791" s="68" t="s">
        <v>3068</v>
      </c>
      <c r="I791" s="68" t="s">
        <v>3116</v>
      </c>
      <c r="J791" s="68"/>
      <c r="K791" s="69"/>
      <c r="L791" s="69" t="e">
        <f>VLOOKUP(LinkTable6789[[#This Row],[Coluna1]],[4]AlarmCatalog!$A:$M,11,FALSE)</f>
        <v>#N/A</v>
      </c>
    </row>
    <row r="792" spans="1:12" s="67" customFormat="1" ht="16.5" customHeight="1" x14ac:dyDescent="0.25">
      <c r="A792" s="68" t="s">
        <v>4090</v>
      </c>
      <c r="B792" s="68" t="s">
        <v>2349</v>
      </c>
      <c r="C792" s="68" t="s">
        <v>4091</v>
      </c>
      <c r="D792" s="68" t="s">
        <v>2809</v>
      </c>
      <c r="E792" s="68" t="s">
        <v>2809</v>
      </c>
      <c r="F792" s="68" t="s">
        <v>4092</v>
      </c>
      <c r="G792" s="68" t="s">
        <v>4093</v>
      </c>
      <c r="H792" s="68" t="s">
        <v>3075</v>
      </c>
      <c r="I792" s="68" t="s">
        <v>3116</v>
      </c>
      <c r="J792" s="68"/>
      <c r="K792" s="69"/>
      <c r="L792" s="69" t="e">
        <f>VLOOKUP(LinkTable6789[[#This Row],[Coluna1]],[4]AlarmCatalog!$A:$M,11,FALSE)</f>
        <v>#N/A</v>
      </c>
    </row>
    <row r="793" spans="1:12" s="67" customFormat="1" ht="16.5" customHeight="1" x14ac:dyDescent="0.25">
      <c r="A793" s="68" t="s">
        <v>4094</v>
      </c>
      <c r="B793" s="68" t="s">
        <v>2349</v>
      </c>
      <c r="C793" s="68" t="s">
        <v>3071</v>
      </c>
      <c r="D793" s="68" t="s">
        <v>2809</v>
      </c>
      <c r="E793" s="68" t="s">
        <v>2809</v>
      </c>
      <c r="F793" s="68" t="s">
        <v>3098</v>
      </c>
      <c r="G793" s="68" t="s">
        <v>4095</v>
      </c>
      <c r="H793" s="68" t="s">
        <v>3068</v>
      </c>
      <c r="I793" s="68" t="s">
        <v>3116</v>
      </c>
      <c r="J793" s="68"/>
      <c r="K793" s="69"/>
      <c r="L793" s="69" t="e">
        <f>VLOOKUP(LinkTable6789[[#This Row],[Coluna1]],[4]AlarmCatalog!$A:$M,11,FALSE)</f>
        <v>#N/A</v>
      </c>
    </row>
    <row r="794" spans="1:12" s="67" customFormat="1" ht="16.5" customHeight="1" x14ac:dyDescent="0.25">
      <c r="A794" s="68" t="s">
        <v>4096</v>
      </c>
      <c r="B794" s="68" t="s">
        <v>2349</v>
      </c>
      <c r="C794" s="68" t="s">
        <v>4091</v>
      </c>
      <c r="D794" s="68" t="s">
        <v>2809</v>
      </c>
      <c r="E794" s="68" t="s">
        <v>2809</v>
      </c>
      <c r="F794" s="68" t="s">
        <v>4092</v>
      </c>
      <c r="G794" s="68" t="s">
        <v>4093</v>
      </c>
      <c r="H794" s="68" t="s">
        <v>3075</v>
      </c>
      <c r="I794" s="68" t="s">
        <v>3116</v>
      </c>
      <c r="J794" s="68"/>
      <c r="K794" s="69"/>
      <c r="L794" s="69" t="e">
        <f>VLOOKUP(LinkTable6789[[#This Row],[Coluna1]],[4]AlarmCatalog!$A:$M,11,FALSE)</f>
        <v>#N/A</v>
      </c>
    </row>
    <row r="795" spans="1:12" s="67" customFormat="1" ht="16.5" customHeight="1" x14ac:dyDescent="0.25">
      <c r="A795" s="68" t="s">
        <v>4097</v>
      </c>
      <c r="B795" s="68" t="s">
        <v>2349</v>
      </c>
      <c r="C795" s="68" t="s">
        <v>4091</v>
      </c>
      <c r="D795" s="68" t="s">
        <v>2809</v>
      </c>
      <c r="E795" s="68" t="s">
        <v>2809</v>
      </c>
      <c r="F795" s="68" t="s">
        <v>4092</v>
      </c>
      <c r="G795" s="68" t="s">
        <v>4093</v>
      </c>
      <c r="H795" s="68" t="s">
        <v>3075</v>
      </c>
      <c r="I795" s="68" t="s">
        <v>3116</v>
      </c>
      <c r="J795" s="68"/>
      <c r="K795" s="69"/>
      <c r="L795" s="69" t="e">
        <f>VLOOKUP(LinkTable6789[[#This Row],[Coluna1]],[4]AlarmCatalog!$A:$M,11,FALSE)</f>
        <v>#N/A</v>
      </c>
    </row>
    <row r="796" spans="1:12" s="67" customFormat="1" ht="16.5" customHeight="1" x14ac:dyDescent="0.25">
      <c r="A796" s="68" t="s">
        <v>4098</v>
      </c>
      <c r="B796" s="68" t="s">
        <v>2349</v>
      </c>
      <c r="C796" s="68" t="s">
        <v>3490</v>
      </c>
      <c r="D796" s="68" t="s">
        <v>2809</v>
      </c>
      <c r="E796" s="68" t="s">
        <v>2809</v>
      </c>
      <c r="F796" s="68" t="s">
        <v>4099</v>
      </c>
      <c r="G796" s="68" t="s">
        <v>4093</v>
      </c>
      <c r="H796" s="68" t="s">
        <v>3075</v>
      </c>
      <c r="I796" s="68" t="s">
        <v>3116</v>
      </c>
      <c r="J796" s="68"/>
      <c r="K796" s="69"/>
      <c r="L796" s="69" t="e">
        <f>VLOOKUP(LinkTable6789[[#This Row],[Coluna1]],[4]AlarmCatalog!$A:$M,11,FALSE)</f>
        <v>#N/A</v>
      </c>
    </row>
    <row r="797" spans="1:12" s="67" customFormat="1" ht="16.5" customHeight="1" x14ac:dyDescent="0.25">
      <c r="A797" s="68" t="s">
        <v>649</v>
      </c>
      <c r="B797" s="68" t="s">
        <v>2349</v>
      </c>
      <c r="C797" s="68" t="s">
        <v>3170</v>
      </c>
      <c r="D797" s="68" t="s">
        <v>2809</v>
      </c>
      <c r="E797" s="68" t="s">
        <v>2809</v>
      </c>
      <c r="F797" s="68" t="s">
        <v>3104</v>
      </c>
      <c r="G797" s="68" t="s">
        <v>4093</v>
      </c>
      <c r="H797" s="68" t="s">
        <v>3075</v>
      </c>
      <c r="I797" s="68" t="s">
        <v>3116</v>
      </c>
      <c r="J797" s="68"/>
      <c r="K797" s="69"/>
      <c r="L797" s="69" t="e">
        <f>VLOOKUP(LinkTable6789[[#This Row],[Coluna1]],[4]AlarmCatalog!$A:$M,11,FALSE)</f>
        <v>#N/A</v>
      </c>
    </row>
    <row r="798" spans="1:12" s="67" customFormat="1" ht="16.5" customHeight="1" x14ac:dyDescent="0.25">
      <c r="A798" s="68" t="s">
        <v>4100</v>
      </c>
      <c r="B798" s="68" t="s">
        <v>2349</v>
      </c>
      <c r="C798" s="68" t="s">
        <v>4101</v>
      </c>
      <c r="D798" s="68" t="s">
        <v>2809</v>
      </c>
      <c r="E798" s="68" t="s">
        <v>2809</v>
      </c>
      <c r="F798" s="68" t="s">
        <v>4102</v>
      </c>
      <c r="G798" s="68" t="s">
        <v>4093</v>
      </c>
      <c r="H798" s="68" t="s">
        <v>3075</v>
      </c>
      <c r="I798" s="68" t="s">
        <v>3116</v>
      </c>
      <c r="J798" s="68"/>
      <c r="K798" s="69"/>
      <c r="L798" s="69" t="e">
        <f>VLOOKUP(LinkTable6789[[#This Row],[Coluna1]],[4]AlarmCatalog!$A:$M,11,FALSE)</f>
        <v>#N/A</v>
      </c>
    </row>
    <row r="799" spans="1:12" s="67" customFormat="1" ht="16.5" customHeight="1" x14ac:dyDescent="0.25">
      <c r="A799" s="68" t="s">
        <v>4103</v>
      </c>
      <c r="B799" s="68" t="s">
        <v>2349</v>
      </c>
      <c r="C799" s="68" t="s">
        <v>4104</v>
      </c>
      <c r="D799" s="68" t="s">
        <v>2809</v>
      </c>
      <c r="E799" s="68" t="s">
        <v>2809</v>
      </c>
      <c r="F799" s="68" t="s">
        <v>4105</v>
      </c>
      <c r="G799" s="68" t="s">
        <v>4095</v>
      </c>
      <c r="H799" s="68" t="s">
        <v>3068</v>
      </c>
      <c r="I799" s="68" t="s">
        <v>3116</v>
      </c>
      <c r="J799" s="68"/>
      <c r="K799" s="69"/>
      <c r="L799" s="69" t="e">
        <f>VLOOKUP(LinkTable6789[[#This Row],[Coluna1]],[4]AlarmCatalog!$A:$M,11,FALSE)</f>
        <v>#N/A</v>
      </c>
    </row>
    <row r="800" spans="1:12" s="67" customFormat="1" ht="16.5" customHeight="1" x14ac:dyDescent="0.25">
      <c r="A800" s="68" t="s">
        <v>4106</v>
      </c>
      <c r="B800" s="68" t="s">
        <v>2349</v>
      </c>
      <c r="C800" s="68" t="s">
        <v>4107</v>
      </c>
      <c r="D800" s="68" t="s">
        <v>4108</v>
      </c>
      <c r="E800" s="68" t="s">
        <v>4108</v>
      </c>
      <c r="F800" s="68" t="s">
        <v>4107</v>
      </c>
      <c r="G800" s="68" t="s">
        <v>4109</v>
      </c>
      <c r="H800" s="68" t="s">
        <v>4110</v>
      </c>
      <c r="I800" s="68" t="s">
        <v>4111</v>
      </c>
      <c r="J800" s="68"/>
      <c r="K800" s="69"/>
      <c r="L800" s="69" t="e">
        <f>VLOOKUP(LinkTable6789[[#This Row],[Coluna1]],[4]AlarmCatalog!$A:$M,11,FALSE)</f>
        <v>#N/A</v>
      </c>
    </row>
    <row r="801" spans="1:12" s="67" customFormat="1" ht="16.5" customHeight="1" x14ac:dyDescent="0.25">
      <c r="A801" s="68" t="s">
        <v>4112</v>
      </c>
      <c r="B801" s="68" t="s">
        <v>2349</v>
      </c>
      <c r="C801" s="68" t="s">
        <v>4113</v>
      </c>
      <c r="D801" s="68" t="s">
        <v>4114</v>
      </c>
      <c r="E801" s="68" t="s">
        <v>4114</v>
      </c>
      <c r="F801" s="68" t="s">
        <v>4113</v>
      </c>
      <c r="G801" s="68" t="s">
        <v>4115</v>
      </c>
      <c r="H801" s="68" t="s">
        <v>4116</v>
      </c>
      <c r="I801" s="68" t="s">
        <v>4117</v>
      </c>
      <c r="J801" s="68"/>
      <c r="K801" s="69"/>
      <c r="L801" s="69" t="e">
        <f>VLOOKUP(LinkTable6789[[#This Row],[Coluna1]],[4]AlarmCatalog!$A:$M,11,FALSE)</f>
        <v>#N/A</v>
      </c>
    </row>
    <row r="802" spans="1:12" s="67" customFormat="1" ht="16.5" customHeight="1" x14ac:dyDescent="0.25">
      <c r="A802" s="68" t="s">
        <v>4118</v>
      </c>
      <c r="B802" s="68" t="s">
        <v>2349</v>
      </c>
      <c r="C802" s="68" t="s">
        <v>4022</v>
      </c>
      <c r="D802" s="68" t="s">
        <v>2809</v>
      </c>
      <c r="E802" s="68" t="s">
        <v>3053</v>
      </c>
      <c r="F802" s="68" t="s">
        <v>3047</v>
      </c>
      <c r="G802" s="68" t="s">
        <v>3048</v>
      </c>
      <c r="H802" s="68" t="s">
        <v>3058</v>
      </c>
      <c r="I802" s="68" t="s">
        <v>3050</v>
      </c>
      <c r="J802" s="68" t="s">
        <v>3160</v>
      </c>
      <c r="K802" s="69" t="s">
        <v>3160</v>
      </c>
      <c r="L802" s="69" t="str">
        <f>VLOOKUP(LinkTable6789[[#This Row],[Coluna1]],[4]AlarmCatalog!$A:$M,11,FALSE)</f>
        <v>Severidade 8</v>
      </c>
    </row>
    <row r="803" spans="1:12" s="67" customFormat="1" ht="16.5" customHeight="1" x14ac:dyDescent="0.25">
      <c r="A803" s="68" t="s">
        <v>4119</v>
      </c>
      <c r="B803" s="68" t="s">
        <v>2349</v>
      </c>
      <c r="C803" s="68" t="s">
        <v>3496</v>
      </c>
      <c r="D803" s="68" t="s">
        <v>2990</v>
      </c>
      <c r="E803" s="68" t="s">
        <v>3046</v>
      </c>
      <c r="F803" s="68" t="s">
        <v>3056</v>
      </c>
      <c r="G803" s="68" t="s">
        <v>4093</v>
      </c>
      <c r="H803" s="68" t="s">
        <v>3075</v>
      </c>
      <c r="I803" s="68" t="s">
        <v>3116</v>
      </c>
      <c r="J803" s="68"/>
      <c r="K803" s="69"/>
      <c r="L803" s="69" t="e">
        <f>VLOOKUP(LinkTable6789[[#This Row],[Coluna1]],[4]AlarmCatalog!$A:$M,11,FALSE)</f>
        <v>#N/A</v>
      </c>
    </row>
    <row r="804" spans="1:12" s="67" customFormat="1" ht="16.5" customHeight="1" x14ac:dyDescent="0.25">
      <c r="A804" s="68" t="s">
        <v>4120</v>
      </c>
      <c r="B804" s="68" t="s">
        <v>2349</v>
      </c>
      <c r="C804" s="68" t="s">
        <v>4121</v>
      </c>
      <c r="D804" s="68" t="s">
        <v>4122</v>
      </c>
      <c r="E804" s="68" t="s">
        <v>4122</v>
      </c>
      <c r="F804" s="68" t="s">
        <v>4123</v>
      </c>
      <c r="G804" s="68" t="s">
        <v>4124</v>
      </c>
      <c r="H804" s="68" t="s">
        <v>4125</v>
      </c>
      <c r="I804" s="68" t="s">
        <v>4126</v>
      </c>
      <c r="J804" s="68"/>
      <c r="K804" s="69"/>
      <c r="L804" s="69" t="e">
        <f>VLOOKUP(LinkTable6789[[#This Row],[Coluna1]],[4]AlarmCatalog!$A:$M,11,FALSE)</f>
        <v>#N/A</v>
      </c>
    </row>
    <row r="805" spans="1:12" s="67" customFormat="1" ht="16.5" customHeight="1" x14ac:dyDescent="0.25">
      <c r="A805" s="68" t="s">
        <v>4127</v>
      </c>
      <c r="B805" s="68" t="s">
        <v>2349</v>
      </c>
      <c r="C805" s="68" t="s">
        <v>4128</v>
      </c>
      <c r="D805" s="68" t="s">
        <v>2809</v>
      </c>
      <c r="E805" s="68" t="s">
        <v>3046</v>
      </c>
      <c r="F805" s="68" t="s">
        <v>3047</v>
      </c>
      <c r="G805" s="68" t="s">
        <v>4089</v>
      </c>
      <c r="H805" s="68" t="s">
        <v>3068</v>
      </c>
      <c r="I805" s="68" t="s">
        <v>3116</v>
      </c>
      <c r="J805" s="68"/>
      <c r="K805" s="69"/>
      <c r="L805" s="69" t="e">
        <f>VLOOKUP(LinkTable6789[[#This Row],[Coluna1]],[4]AlarmCatalog!$A:$M,11,FALSE)</f>
        <v>#N/A</v>
      </c>
    </row>
    <row r="806" spans="1:12" s="67" customFormat="1" ht="16.5" customHeight="1" x14ac:dyDescent="0.25">
      <c r="A806" s="68" t="s">
        <v>4129</v>
      </c>
      <c r="B806" s="68" t="s">
        <v>2349</v>
      </c>
      <c r="C806" s="68" t="s">
        <v>4130</v>
      </c>
      <c r="D806" s="68" t="s">
        <v>2809</v>
      </c>
      <c r="E806" s="68" t="s">
        <v>3046</v>
      </c>
      <c r="F806" s="68" t="s">
        <v>3047</v>
      </c>
      <c r="G806" s="68" t="s">
        <v>4089</v>
      </c>
      <c r="H806" s="68" t="s">
        <v>3068</v>
      </c>
      <c r="I806" s="68" t="s">
        <v>3116</v>
      </c>
      <c r="J806" s="68"/>
      <c r="K806" s="69"/>
      <c r="L806" s="69" t="e">
        <f>VLOOKUP(LinkTable6789[[#This Row],[Coluna1]],[4]AlarmCatalog!$A:$M,11,FALSE)</f>
        <v>#N/A</v>
      </c>
    </row>
    <row r="807" spans="1:12" ht="15.75" customHeight="1" x14ac:dyDescent="0.25">
      <c r="A807" s="72" t="s">
        <v>170</v>
      </c>
      <c r="B807" s="72"/>
      <c r="C807" s="73" t="s">
        <v>2992</v>
      </c>
      <c r="D807" s="73" t="s">
        <v>2809</v>
      </c>
      <c r="E807" s="73" t="s">
        <v>3053</v>
      </c>
      <c r="F807" s="68" t="s">
        <v>3047</v>
      </c>
      <c r="G807" s="68" t="s">
        <v>3048</v>
      </c>
      <c r="H807" s="68" t="s">
        <v>3058</v>
      </c>
      <c r="I807" s="68" t="s">
        <v>3050</v>
      </c>
      <c r="J807" s="68" t="s">
        <v>3160</v>
      </c>
      <c r="K807" s="74" t="s">
        <v>3160</v>
      </c>
      <c r="L807" s="74" t="str">
        <f>VLOOKUP(LinkTable6789[[#This Row],[Coluna1]],[4]AlarmCatalog!$A:$M,11,FALSE)</f>
        <v>Severidade 8</v>
      </c>
    </row>
    <row r="808" spans="1:12" ht="16.5" customHeight="1" x14ac:dyDescent="0.25">
      <c r="A808" s="75" t="s">
        <v>471</v>
      </c>
      <c r="B808" s="76" t="s">
        <v>2349</v>
      </c>
      <c r="C808" s="76" t="s">
        <v>2982</v>
      </c>
      <c r="D808" s="76" t="s">
        <v>2809</v>
      </c>
      <c r="E808" s="76" t="s">
        <v>3053</v>
      </c>
      <c r="F808" s="69" t="s">
        <v>3394</v>
      </c>
      <c r="G808" s="69" t="s">
        <v>2983</v>
      </c>
      <c r="H808" s="77"/>
      <c r="I808" s="77"/>
      <c r="J808" s="77"/>
      <c r="K808" s="69" t="s">
        <v>3602</v>
      </c>
      <c r="L808" s="78" t="str">
        <f>VLOOKUP(LinkTable6789[[#This Row],[Coluna1]],[4]AlarmCatalog!$A:$M,11,FALSE)</f>
        <v>Severidade 5</v>
      </c>
    </row>
    <row r="809" spans="1:12" x14ac:dyDescent="0.25">
      <c r="A809" s="77" t="s">
        <v>1167</v>
      </c>
      <c r="B809" s="77"/>
      <c r="C809" s="76" t="s">
        <v>2982</v>
      </c>
      <c r="D809" s="76" t="s">
        <v>2809</v>
      </c>
      <c r="E809" s="76" t="s">
        <v>3053</v>
      </c>
      <c r="F809" s="77"/>
      <c r="G809" s="77"/>
      <c r="H809" s="77"/>
      <c r="I809" s="77"/>
      <c r="J809" s="77"/>
      <c r="K809" s="69" t="s">
        <v>3125</v>
      </c>
      <c r="L809" s="69" t="str">
        <f>VLOOKUP(LinkTable6789[[#This Row],[Coluna1]],[4]AlarmCatalog!$A:$M,11,FALSE)</f>
        <v>Severidade 8</v>
      </c>
    </row>
  </sheetData>
  <conditionalFormatting sqref="A2:A809 D2:E809">
    <cfRule type="containsBlanks" dxfId="6" priority="1">
      <formula>LEN(TRIM(A2))=0</formula>
    </cfRule>
  </conditionalFormatting>
  <dataValidations count="1">
    <dataValidation allowBlank="1" showInputMessage="1" showErrorMessage="1" error="entry not valid" sqref="G2:G807" xr:uid="{EFA7E462-0F50-47EA-B990-EFF2598DA211}"/>
  </dataValidations>
  <hyperlinks>
    <hyperlink ref="A629" r:id="rId1" xr:uid="{A81B3348-FC4D-43F3-9231-DFE87C5AAEC6}"/>
    <hyperlink ref="A630" r:id="rId2" xr:uid="{D582C62D-8B2A-43E1-BEAB-D4183867A8CC}"/>
    <hyperlink ref="A543" r:id="rId3" xr:uid="{C1D9EC64-8699-47B5-9B25-35B0DE2CD399}"/>
    <hyperlink ref="A808" r:id="rId4" xr:uid="{A7EEA79D-DA57-438D-8B95-25B32A703548}"/>
    <hyperlink ref="A276" r:id="rId5" xr:uid="{2845EC95-E2FA-407F-B1F6-F7352AC15EAB}"/>
    <hyperlink ref="A267" r:id="rId6" xr:uid="{669F0689-DFC0-4B9F-83F7-AE50D07A85DA}"/>
    <hyperlink ref="A419" r:id="rId7" xr:uid="{79F5BADA-B5A3-45DB-BE9C-7D500F0E5C80}"/>
    <hyperlink ref="A567" r:id="rId8" xr:uid="{AB468510-9642-4E7D-AEF3-8B4CBCE9D9CC}"/>
  </hyperlinks>
  <pageMargins left="0.511811024" right="0.511811024" top="0.78740157499999996" bottom="0.78740157499999996" header="0.31496062000000002" footer="0.31496062000000002"/>
  <legacyDrawing r:id="rId9"/>
  <tableParts count="1">
    <tablePart r:id="rId10"/>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3E123-7B4D-4B7B-83CB-E51773747990}">
  <sheetPr codeName="Planilha8">
    <tabColor theme="5"/>
  </sheetPr>
  <dimension ref="A1:I21"/>
  <sheetViews>
    <sheetView workbookViewId="0">
      <selection activeCell="F7" sqref="F7"/>
    </sheetView>
  </sheetViews>
  <sheetFormatPr defaultRowHeight="15" x14ac:dyDescent="0.25"/>
  <cols>
    <col min="1" max="1" width="8.5703125" bestFit="1" customWidth="1"/>
    <col min="2" max="2" width="31.7109375" bestFit="1" customWidth="1"/>
    <col min="3" max="3" width="12.5703125" customWidth="1"/>
    <col min="4" max="4" width="24.7109375" customWidth="1"/>
    <col min="5" max="6" width="32.85546875" customWidth="1"/>
    <col min="7" max="7" width="49.5703125" customWidth="1"/>
    <col min="8" max="8" width="24.140625" customWidth="1"/>
    <col min="9" max="9" width="24.28515625" customWidth="1"/>
  </cols>
  <sheetData>
    <row r="1" spans="1:9" x14ac:dyDescent="0.25">
      <c r="A1" s="1" t="s">
        <v>0</v>
      </c>
      <c r="B1" s="1" t="s">
        <v>1</v>
      </c>
      <c r="C1" s="1" t="s">
        <v>2</v>
      </c>
      <c r="D1" s="1" t="s">
        <v>1157</v>
      </c>
      <c r="E1" s="1" t="s">
        <v>4</v>
      </c>
      <c r="F1" s="1" t="s">
        <v>2994</v>
      </c>
      <c r="G1" s="1" t="s">
        <v>2998</v>
      </c>
      <c r="H1" s="1" t="s">
        <v>3000</v>
      </c>
      <c r="I1" s="1" t="s">
        <v>3001</v>
      </c>
    </row>
    <row r="2" spans="1:9" s="60" customFormat="1" ht="25.5" x14ac:dyDescent="0.25">
      <c r="A2" s="5" t="s">
        <v>364</v>
      </c>
      <c r="B2" s="5" t="s">
        <v>365</v>
      </c>
      <c r="C2" s="5" t="s">
        <v>11</v>
      </c>
      <c r="D2" s="5" t="s">
        <v>12</v>
      </c>
      <c r="E2" s="5" t="s">
        <v>2991</v>
      </c>
      <c r="F2" s="2" t="s">
        <v>2995</v>
      </c>
      <c r="G2" s="2"/>
      <c r="H2" s="2" t="s">
        <v>3005</v>
      </c>
      <c r="I2" s="2" t="s">
        <v>3006</v>
      </c>
    </row>
    <row r="3" spans="1:9" x14ac:dyDescent="0.25">
      <c r="A3" s="5" t="s">
        <v>478</v>
      </c>
      <c r="B3" s="5" t="s">
        <v>479</v>
      </c>
      <c r="C3" s="2" t="s">
        <v>11</v>
      </c>
      <c r="D3" s="2" t="s">
        <v>123</v>
      </c>
      <c r="E3" s="2" t="s">
        <v>2982</v>
      </c>
      <c r="F3" s="2" t="s">
        <v>2996</v>
      </c>
      <c r="G3" s="2" t="s">
        <v>2999</v>
      </c>
      <c r="H3" s="2" t="s">
        <v>3007</v>
      </c>
      <c r="I3" s="2">
        <v>632</v>
      </c>
    </row>
    <row r="4" spans="1:9" ht="25.5" x14ac:dyDescent="0.25">
      <c r="A4" s="2" t="s">
        <v>2821</v>
      </c>
      <c r="B4" s="5" t="s">
        <v>2822</v>
      </c>
      <c r="C4" s="2" t="s">
        <v>11</v>
      </c>
      <c r="D4" s="5" t="s">
        <v>35</v>
      </c>
      <c r="E4" s="2" t="s">
        <v>2984</v>
      </c>
      <c r="F4" s="2" t="s">
        <v>2996</v>
      </c>
      <c r="G4" s="2" t="s">
        <v>2997</v>
      </c>
      <c r="H4" s="2" t="s">
        <v>3004</v>
      </c>
      <c r="I4" s="2" t="s">
        <v>3003</v>
      </c>
    </row>
    <row r="5" spans="1:9" x14ac:dyDescent="0.25">
      <c r="A5" s="5" t="s">
        <v>989</v>
      </c>
      <c r="B5" s="5" t="s">
        <v>989</v>
      </c>
      <c r="C5" s="2" t="s">
        <v>451</v>
      </c>
      <c r="D5" s="2" t="s">
        <v>35</v>
      </c>
      <c r="E5" s="2" t="s">
        <v>2985</v>
      </c>
      <c r="F5" s="2" t="s">
        <v>2996</v>
      </c>
      <c r="G5" s="2" t="s">
        <v>4249</v>
      </c>
      <c r="H5" s="2" t="s">
        <v>3002</v>
      </c>
      <c r="I5" s="2">
        <v>266</v>
      </c>
    </row>
    <row r="6" spans="1:9" ht="63.75" x14ac:dyDescent="0.25">
      <c r="A6" s="2" t="s">
        <v>1036</v>
      </c>
      <c r="B6" s="5" t="s">
        <v>1037</v>
      </c>
      <c r="C6" s="5" t="s">
        <v>11</v>
      </c>
      <c r="D6" s="2" t="s">
        <v>35</v>
      </c>
      <c r="E6" s="2" t="s">
        <v>2986</v>
      </c>
      <c r="F6" s="2" t="s">
        <v>3010</v>
      </c>
      <c r="G6" s="2" t="s">
        <v>2999</v>
      </c>
      <c r="H6" s="2" t="s">
        <v>3008</v>
      </c>
      <c r="I6" s="2" t="s">
        <v>3009</v>
      </c>
    </row>
    <row r="7" spans="1:9" x14ac:dyDescent="0.25">
      <c r="A7" s="2" t="s">
        <v>1128</v>
      </c>
      <c r="B7" s="5" t="s">
        <v>1239</v>
      </c>
      <c r="C7" s="5" t="s">
        <v>11</v>
      </c>
      <c r="D7" s="2" t="s">
        <v>35</v>
      </c>
      <c r="E7" s="2" t="s">
        <v>2987</v>
      </c>
      <c r="F7" s="2" t="s">
        <v>3012</v>
      </c>
      <c r="G7" s="2" t="s">
        <v>2999</v>
      </c>
      <c r="H7" s="2" t="s">
        <v>3011</v>
      </c>
      <c r="I7" s="2">
        <v>9320</v>
      </c>
    </row>
    <row r="8" spans="1:9" ht="25.5" x14ac:dyDescent="0.25">
      <c r="A8" s="2" t="s">
        <v>1129</v>
      </c>
      <c r="B8" s="5" t="s">
        <v>2805</v>
      </c>
      <c r="C8" s="2" t="s">
        <v>11</v>
      </c>
      <c r="D8" s="2" t="s">
        <v>1234</v>
      </c>
      <c r="E8" s="2" t="s">
        <v>2988</v>
      </c>
      <c r="F8" s="2" t="s">
        <v>2996</v>
      </c>
      <c r="G8" s="2" t="s">
        <v>2999</v>
      </c>
      <c r="H8" s="2" t="s">
        <v>3013</v>
      </c>
      <c r="I8" s="2" t="s">
        <v>3014</v>
      </c>
    </row>
    <row r="9" spans="1:9" x14ac:dyDescent="0.25">
      <c r="A9" s="4" t="s">
        <v>1132</v>
      </c>
      <c r="B9" s="5" t="s">
        <v>1240</v>
      </c>
      <c r="C9" s="2" t="s">
        <v>11</v>
      </c>
      <c r="D9" s="2" t="s">
        <v>1234</v>
      </c>
      <c r="E9" s="2" t="s">
        <v>2989</v>
      </c>
      <c r="F9" s="2" t="s">
        <v>3016</v>
      </c>
      <c r="G9" s="2" t="s">
        <v>3015</v>
      </c>
      <c r="H9" s="2"/>
      <c r="I9" s="2" t="s">
        <v>4221</v>
      </c>
    </row>
    <row r="10" spans="1:9" x14ac:dyDescent="0.25">
      <c r="A10" s="4" t="s">
        <v>1133</v>
      </c>
      <c r="B10" s="5" t="s">
        <v>1241</v>
      </c>
      <c r="C10" s="2" t="s">
        <v>11</v>
      </c>
      <c r="D10" s="2" t="s">
        <v>1234</v>
      </c>
      <c r="E10" s="2" t="s">
        <v>2989</v>
      </c>
      <c r="F10" s="2" t="s">
        <v>3016</v>
      </c>
      <c r="G10" s="2" t="s">
        <v>3015</v>
      </c>
      <c r="H10" s="2"/>
      <c r="I10" s="2" t="s">
        <v>4221</v>
      </c>
    </row>
    <row r="11" spans="1:9" x14ac:dyDescent="0.25">
      <c r="A11" s="4" t="s">
        <v>1134</v>
      </c>
      <c r="B11" s="5" t="s">
        <v>1242</v>
      </c>
      <c r="C11" s="2" t="s">
        <v>11</v>
      </c>
      <c r="D11" s="2" t="s">
        <v>1234</v>
      </c>
      <c r="E11" s="2" t="s">
        <v>2989</v>
      </c>
      <c r="F11" s="2" t="s">
        <v>3016</v>
      </c>
      <c r="G11" s="2" t="s">
        <v>3015</v>
      </c>
      <c r="H11" s="2"/>
      <c r="I11" s="2" t="s">
        <v>4221</v>
      </c>
    </row>
    <row r="12" spans="1:9" x14ac:dyDescent="0.25">
      <c r="A12" s="4" t="s">
        <v>1135</v>
      </c>
      <c r="B12" s="5" t="s">
        <v>1243</v>
      </c>
      <c r="C12" s="2" t="s">
        <v>11</v>
      </c>
      <c r="D12" s="2" t="s">
        <v>1234</v>
      </c>
      <c r="E12" s="2" t="s">
        <v>2989</v>
      </c>
      <c r="F12" s="2" t="s">
        <v>3016</v>
      </c>
      <c r="G12" s="2" t="s">
        <v>3015</v>
      </c>
      <c r="H12" s="2"/>
      <c r="I12" s="2" t="s">
        <v>4221</v>
      </c>
    </row>
    <row r="13" spans="1:9" x14ac:dyDescent="0.25">
      <c r="A13" s="4" t="s">
        <v>1136</v>
      </c>
      <c r="B13" s="5" t="s">
        <v>1244</v>
      </c>
      <c r="C13" s="2" t="s">
        <v>11</v>
      </c>
      <c r="D13" s="2" t="s">
        <v>1234</v>
      </c>
      <c r="E13" s="2" t="s">
        <v>2989</v>
      </c>
      <c r="F13" s="2" t="s">
        <v>3016</v>
      </c>
      <c r="G13" s="2" t="s">
        <v>3015</v>
      </c>
      <c r="H13" s="2"/>
      <c r="I13" s="2" t="s">
        <v>4221</v>
      </c>
    </row>
    <row r="14" spans="1:9" x14ac:dyDescent="0.25">
      <c r="A14" s="2" t="s">
        <v>1137</v>
      </c>
      <c r="B14" s="5" t="s">
        <v>1137</v>
      </c>
      <c r="C14" s="2" t="s">
        <v>11</v>
      </c>
      <c r="D14" s="5" t="s">
        <v>35</v>
      </c>
      <c r="E14" s="2" t="s">
        <v>2991</v>
      </c>
      <c r="F14" s="2" t="s">
        <v>3017</v>
      </c>
      <c r="G14" s="2" t="s">
        <v>2999</v>
      </c>
      <c r="H14" s="2" t="s">
        <v>3018</v>
      </c>
      <c r="I14" s="2">
        <v>26</v>
      </c>
    </row>
    <row r="15" spans="1:9" ht="25.5" x14ac:dyDescent="0.25">
      <c r="A15" s="2" t="s">
        <v>1139</v>
      </c>
      <c r="B15" s="5" t="s">
        <v>1245</v>
      </c>
      <c r="C15" s="2" t="s">
        <v>11</v>
      </c>
      <c r="D15" s="2" t="s">
        <v>35</v>
      </c>
      <c r="E15" s="2" t="s">
        <v>2986</v>
      </c>
      <c r="F15" s="2" t="s">
        <v>3019</v>
      </c>
      <c r="G15" s="2" t="s">
        <v>2999</v>
      </c>
      <c r="H15" s="2" t="s">
        <v>3022</v>
      </c>
      <c r="I15" s="2" t="s">
        <v>3023</v>
      </c>
    </row>
    <row r="16" spans="1:9" x14ac:dyDescent="0.25">
      <c r="A16" s="2" t="s">
        <v>1140</v>
      </c>
      <c r="B16" s="5" t="s">
        <v>1246</v>
      </c>
      <c r="C16" s="2" t="s">
        <v>11</v>
      </c>
      <c r="D16" s="2" t="s">
        <v>35</v>
      </c>
      <c r="E16" s="2" t="s">
        <v>2992</v>
      </c>
      <c r="F16" s="2" t="s">
        <v>3019</v>
      </c>
      <c r="G16" s="2" t="s">
        <v>2999</v>
      </c>
      <c r="H16" s="2" t="s">
        <v>3025</v>
      </c>
      <c r="I16" s="2">
        <v>16080</v>
      </c>
    </row>
    <row r="17" spans="1:9" ht="25.5" x14ac:dyDescent="0.25">
      <c r="A17" s="2" t="s">
        <v>1141</v>
      </c>
      <c r="B17" s="5" t="s">
        <v>1247</v>
      </c>
      <c r="C17" s="2" t="s">
        <v>11</v>
      </c>
      <c r="D17" s="2" t="s">
        <v>35</v>
      </c>
      <c r="E17" s="2" t="s">
        <v>2986</v>
      </c>
      <c r="F17" s="2" t="s">
        <v>3019</v>
      </c>
      <c r="G17" s="2" t="s">
        <v>2999</v>
      </c>
      <c r="H17" s="2" t="s">
        <v>3020</v>
      </c>
      <c r="I17" s="2" t="s">
        <v>3021</v>
      </c>
    </row>
    <row r="18" spans="1:9" x14ac:dyDescent="0.25">
      <c r="A18" s="2" t="s">
        <v>1142</v>
      </c>
      <c r="B18" s="5" t="s">
        <v>1248</v>
      </c>
      <c r="C18" s="2" t="s">
        <v>11</v>
      </c>
      <c r="D18" s="2" t="s">
        <v>35</v>
      </c>
      <c r="E18" s="2" t="s">
        <v>2992</v>
      </c>
      <c r="F18" s="2" t="s">
        <v>3019</v>
      </c>
      <c r="G18" s="2" t="s">
        <v>2999</v>
      </c>
      <c r="H18" s="2" t="s">
        <v>3024</v>
      </c>
      <c r="I18" s="2">
        <v>16081</v>
      </c>
    </row>
    <row r="19" spans="1:9" ht="25.5" x14ac:dyDescent="0.25">
      <c r="A19" s="2" t="s">
        <v>195</v>
      </c>
      <c r="B19" s="2" t="s">
        <v>196</v>
      </c>
      <c r="C19" s="5" t="s">
        <v>39</v>
      </c>
      <c r="D19" s="2" t="s">
        <v>12</v>
      </c>
      <c r="E19" s="2" t="s">
        <v>2991</v>
      </c>
      <c r="F19" s="2" t="s">
        <v>3028</v>
      </c>
      <c r="G19" s="2" t="s">
        <v>2999</v>
      </c>
      <c r="H19" s="2" t="s">
        <v>3026</v>
      </c>
      <c r="I19" s="2" t="s">
        <v>3027</v>
      </c>
    </row>
    <row r="20" spans="1:9" ht="25.5" x14ac:dyDescent="0.25">
      <c r="A20" s="2" t="s">
        <v>979</v>
      </c>
      <c r="B20" s="2" t="s">
        <v>978</v>
      </c>
      <c r="C20" s="2" t="s">
        <v>11</v>
      </c>
      <c r="D20" s="5" t="s">
        <v>35</v>
      </c>
      <c r="E20" s="2" t="s">
        <v>2991</v>
      </c>
      <c r="F20" s="2" t="s">
        <v>3029</v>
      </c>
      <c r="G20" s="2" t="s">
        <v>2999</v>
      </c>
      <c r="H20" s="2" t="s">
        <v>3030</v>
      </c>
      <c r="I20" s="2" t="s">
        <v>3031</v>
      </c>
    </row>
    <row r="21" spans="1:9" x14ac:dyDescent="0.25">
      <c r="A21" s="2" t="s">
        <v>909</v>
      </c>
      <c r="B21" s="2" t="s">
        <v>1268</v>
      </c>
      <c r="C21" s="2" t="s">
        <v>11</v>
      </c>
      <c r="D21" s="2" t="s">
        <v>123</v>
      </c>
      <c r="E21" s="2" t="s">
        <v>2993</v>
      </c>
      <c r="F21" s="2" t="s">
        <v>3016</v>
      </c>
      <c r="G21" s="2" t="s">
        <v>3033</v>
      </c>
      <c r="H21" s="2" t="s">
        <v>3032</v>
      </c>
      <c r="I21" s="2"/>
    </row>
  </sheetData>
  <autoFilter ref="A1:I21" xr:uid="{F713E123-7B4D-4B7B-83CB-E51773747990}"/>
  <conditionalFormatting sqref="B1">
    <cfRule type="duplicateValues" dxfId="5" priority="7"/>
  </conditionalFormatting>
  <conditionalFormatting sqref="B2">
    <cfRule type="duplicateValues" dxfId="4" priority="6"/>
  </conditionalFormatting>
  <conditionalFormatting sqref="B3:B18">
    <cfRule type="duplicateValues" dxfId="3" priority="80"/>
  </conditionalFormatting>
  <conditionalFormatting sqref="B19">
    <cfRule type="duplicateValues" dxfId="2" priority="4"/>
  </conditionalFormatting>
  <conditionalFormatting sqref="B20">
    <cfRule type="duplicateValues" dxfId="1" priority="3"/>
  </conditionalFormatting>
  <conditionalFormatting sqref="B21">
    <cfRule type="duplicateValues" dxfId="0" priority="2"/>
  </conditionalFormatting>
  <pageMargins left="0.511811024" right="0.511811024" top="0.78740157499999996" bottom="0.78740157499999996" header="0.31496062000000002" footer="0.31496062000000002"/>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4CCEEB3-BAFF-4B24-A5DB-2E91E596A755}">
          <x14:formula1>
            <xm:f>Severidades!$G$3:$G$9</xm:f>
          </x14:formula1>
          <xm:sqref>D1:D21</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C7DD0-F326-4E85-8913-B16C8BC52F27}">
  <sheetPr codeName="Planilha9">
    <tabColor theme="5"/>
  </sheetPr>
  <dimension ref="A1:H205"/>
  <sheetViews>
    <sheetView workbookViewId="0">
      <selection sqref="A1:B3"/>
    </sheetView>
  </sheetViews>
  <sheetFormatPr defaultRowHeight="15" x14ac:dyDescent="0.25"/>
  <cols>
    <col min="1" max="1" width="11.5703125" bestFit="1" customWidth="1"/>
    <col min="2" max="2" width="60.85546875" customWidth="1"/>
    <col min="3" max="3" width="50.5703125" customWidth="1"/>
  </cols>
  <sheetData>
    <row r="1" spans="1:8" x14ac:dyDescent="0.25">
      <c r="A1" s="1" t="s">
        <v>0</v>
      </c>
      <c r="B1" s="1" t="s">
        <v>1</v>
      </c>
      <c r="C1" s="1" t="s">
        <v>4186</v>
      </c>
    </row>
    <row r="2" spans="1:8" x14ac:dyDescent="0.25">
      <c r="A2" s="2" t="s">
        <v>2881</v>
      </c>
      <c r="B2" s="5" t="s">
        <v>2934</v>
      </c>
      <c r="C2" s="2" t="s">
        <v>2999</v>
      </c>
    </row>
    <row r="3" spans="1:8" x14ac:dyDescent="0.25">
      <c r="A3" s="2" t="s">
        <v>2882</v>
      </c>
      <c r="B3" s="5" t="s">
        <v>2935</v>
      </c>
      <c r="C3" s="2" t="s">
        <v>2999</v>
      </c>
    </row>
    <row r="4" spans="1:8" x14ac:dyDescent="0.25">
      <c r="A4" s="2" t="s">
        <v>2885</v>
      </c>
      <c r="B4" s="5"/>
      <c r="C4" s="2" t="s">
        <v>2999</v>
      </c>
    </row>
    <row r="5" spans="1:8" x14ac:dyDescent="0.25">
      <c r="A5" s="2" t="s">
        <v>2899</v>
      </c>
      <c r="B5" s="5"/>
      <c r="C5" s="2" t="s">
        <v>2999</v>
      </c>
    </row>
    <row r="6" spans="1:8" x14ac:dyDescent="0.25">
      <c r="A6" s="2" t="s">
        <v>2901</v>
      </c>
      <c r="B6" s="5"/>
      <c r="C6" s="2" t="s">
        <v>2999</v>
      </c>
    </row>
    <row r="7" spans="1:8" x14ac:dyDescent="0.25">
      <c r="A7" s="4" t="s">
        <v>2915</v>
      </c>
      <c r="B7" s="5"/>
      <c r="C7" s="5" t="s">
        <v>4183</v>
      </c>
    </row>
    <row r="8" spans="1:8" x14ac:dyDescent="0.25">
      <c r="A8" s="4" t="s">
        <v>2916</v>
      </c>
      <c r="B8" s="5"/>
      <c r="C8" s="5" t="s">
        <v>4182</v>
      </c>
    </row>
    <row r="9" spans="1:8" x14ac:dyDescent="0.25">
      <c r="A9" s="2" t="s">
        <v>2926</v>
      </c>
      <c r="B9" s="5" t="s">
        <v>2969</v>
      </c>
      <c r="C9" s="2" t="s">
        <v>4184</v>
      </c>
    </row>
    <row r="10" spans="1:8" x14ac:dyDescent="0.25">
      <c r="A10" s="2" t="s">
        <v>2928</v>
      </c>
      <c r="B10" s="5" t="s">
        <v>2975</v>
      </c>
      <c r="C10" s="2" t="s">
        <v>4185</v>
      </c>
    </row>
    <row r="11" spans="1:8" x14ac:dyDescent="0.25">
      <c r="A11" s="2" t="s">
        <v>2929</v>
      </c>
      <c r="B11" s="5" t="s">
        <v>2976</v>
      </c>
      <c r="C11" s="2"/>
    </row>
    <row r="12" spans="1:8" x14ac:dyDescent="0.25">
      <c r="A12" s="2" t="s">
        <v>2884</v>
      </c>
      <c r="B12" s="2" t="s">
        <v>2938</v>
      </c>
      <c r="C12" s="2" t="s">
        <v>2999</v>
      </c>
      <c r="D12" s="2"/>
      <c r="E12" s="2"/>
      <c r="F12" s="2"/>
      <c r="G12" s="2"/>
      <c r="H12" s="2"/>
    </row>
    <row r="142" spans="2:2" x14ac:dyDescent="0.25"/>
    <row r="144" spans="2:2" x14ac:dyDescent="0.25"/>
    <row r="146" spans="2:2" x14ac:dyDescent="0.25"/>
    <row r="204" spans="2:2" x14ac:dyDescent="0.25"/>
    <row r="205" spans="2:2" x14ac:dyDescent="0.25"/>
  </sheetData>
  <autoFilter ref="A1:C11" xr:uid="{14DC7DD0-F326-4E85-8913-B16C8BC52F27}"/>
  <pageMargins left="0.511811024" right="0.511811024" top="0.78740157499999996" bottom="0.78740157499999996" header="0.31496062000000002" footer="0.31496062000000002"/>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6E9D79B74AF542A49E35C0ED1A9805" ma:contentTypeVersion="0" ma:contentTypeDescription="Create a new document." ma:contentTypeScope="" ma:versionID="67d42e7f298fa3ff4744898fae3f08ad">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F702BF-ACE8-430A-84F5-3A191CB3A3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DC72AAB5-449B-4B2C-B4A7-A4D26F969D3A}">
  <ds:schemaRefs>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schemas.microsoft.com/office/infopath/2007/PartnerControls"/>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FEAB4976-FFA6-4F04-A4DE-D9B8F2B8E7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DiscreteSignals</vt:lpstr>
      <vt:lpstr>AnalogSignals</vt:lpstr>
      <vt:lpstr>DE-&gt;PARA</vt:lpstr>
      <vt:lpstr>Severidades</vt:lpstr>
      <vt:lpstr>Information</vt:lpstr>
      <vt:lpstr>DMS Signal Explanation</vt:lpstr>
      <vt:lpstr>Message Mapping</vt:lpstr>
      <vt:lpstr>MANUT_DiscreteSignals</vt:lpstr>
      <vt:lpstr>Manut_AnalogSignals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Júlia Linck</dc:creator>
  <cp:lastModifiedBy>Rafael Weber</cp:lastModifiedBy>
  <dcterms:created xsi:type="dcterms:W3CDTF">2025-04-15T19:53:20Z</dcterms:created>
  <dcterms:modified xsi:type="dcterms:W3CDTF">2026-04-13T17:13:24Z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0x010100466E9D79B74AF542A49E35C0ED1A9805</vt:lpwstr>
  </property>
  <property fmtid="{D5CDD505-2E9C-101B-9397-08002B2CF9AE}" pid="3" name="MSIP_Label_263c2570-622b-435c-a1e7-755f37a0817f_Enabled">
    <vt:lpwstr>true</vt:lpwstr>
  </property>
  <property fmtid="{D5CDD505-2E9C-101B-9397-08002B2CF9AE}" pid="4" name="MSIP_Label_263c2570-622b-435c-a1e7-755f37a0817f_SetDate">
    <vt:lpwstr>2025-04-15T20:31:40Z</vt:lpwstr>
  </property>
  <property fmtid="{D5CDD505-2E9C-101B-9397-08002B2CF9AE}" pid="5" name="MSIP_Label_263c2570-622b-435c-a1e7-755f37a0817f_Method">
    <vt:lpwstr>Privileged</vt:lpwstr>
  </property>
  <property fmtid="{D5CDD505-2E9C-101B-9397-08002B2CF9AE}" pid="6" name="MSIP_Label_263c2570-622b-435c-a1e7-755f37a0817f_Name">
    <vt:lpwstr>Publico</vt:lpwstr>
  </property>
  <property fmtid="{D5CDD505-2E9C-101B-9397-08002B2CF9AE}" pid="7" name="MSIP_Label_263c2570-622b-435c-a1e7-755f37a0817f_SiteId">
    <vt:lpwstr>93546618-e20a-4fd3-a884-9e33ca7234a7</vt:lpwstr>
  </property>
  <property fmtid="{D5CDD505-2E9C-101B-9397-08002B2CF9AE}" pid="8" name="MSIP_Label_263c2570-622b-435c-a1e7-755f37a0817f_ActionId">
    <vt:lpwstr>5106757e-b4ee-465c-aefb-5501f250a6eb</vt:lpwstr>
  </property>
  <property fmtid="{D5CDD505-2E9C-101B-9397-08002B2CF9AE}" pid="9" name="MSIP_Label_263c2570-622b-435c-a1e7-755f37a0817f_ContentBits">
    <vt:lpwstr>1</vt:lpwstr>
  </property>
  <property fmtid="{D5CDD505-2E9C-101B-9397-08002B2CF9AE}" pid="10" name="MSIP_Label_263c2570-622b-435c-a1e7-755f37a0817f_Tag">
    <vt:lpwstr>10, 0, 1, 1</vt:lpwstr>
  </property>
</Properties>
</file>